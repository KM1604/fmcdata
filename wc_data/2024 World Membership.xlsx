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Git\fmcdata\wc_data\"/>
    </mc:Choice>
  </mc:AlternateContent>
  <xr:revisionPtr revIDLastSave="0" documentId="13_ncr:1_{4A9710F7-AB60-4C43-B809-843A8D8BCF4E}" xr6:coauthVersionLast="47" xr6:coauthVersionMax="47" xr10:uidLastSave="{00000000-0000-0000-0000-000000000000}"/>
  <bookViews>
    <workbookView xWindow="-120" yWindow="-120" windowWidth="38640" windowHeight="21120" xr2:uid="{00000000-000D-0000-FFFF-FFFF00000000}"/>
  </bookViews>
  <sheets>
    <sheet name="yearbook_page" sheetId="1" r:id="rId1"/>
    <sheet name="world_ministry_list" sheetId="3" state="hidden" r:id="rId2"/>
    <sheet name="wc_reports_2024" sheetId="2" state="hidden" r:id="rId3"/>
  </sheets>
  <definedNames>
    <definedName name="ExternalData_1" localSheetId="2" hidden="1">wc_reports_2024!$A$1:$S$99</definedName>
    <definedName name="ExternalData_1" localSheetId="1" hidden="1">world_ministry_list!$A$1:$D$98</definedName>
    <definedName name="_xlnm.Print_Area" localSheetId="0">yearbook_page!$A$3:$K$111</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96" i="1" l="1" a="1"/>
  <c r="B96" i="1" s="1"/>
  <c r="B80" i="1" a="1"/>
  <c r="B80" i="1" s="1"/>
  <c r="B77" i="1" a="1"/>
  <c r="B77" i="1" s="1"/>
  <c r="B91" i="1" a="1"/>
  <c r="B91" i="1" s="1"/>
  <c r="B90" i="1" a="1"/>
  <c r="B90" i="1" s="1"/>
  <c r="B105" i="1" a="1"/>
  <c r="B105" i="1" s="1"/>
  <c r="B26" i="1" l="1"/>
  <c r="B22" i="1" a="1"/>
  <c r="B22" i="1" s="1"/>
  <c r="B107" i="1" a="1"/>
  <c r="B107" i="1" s="1"/>
  <c r="B106" i="1" a="1"/>
  <c r="B106" i="1" s="1"/>
  <c r="B103" i="1" a="1"/>
  <c r="B103" i="1" s="1"/>
  <c r="B102" i="1" a="1"/>
  <c r="B102" i="1" s="1"/>
  <c r="B101" i="1" a="1"/>
  <c r="B101" i="1" s="1"/>
  <c r="B100" i="1" a="1"/>
  <c r="B100" i="1" s="1"/>
  <c r="B99" i="1" a="1"/>
  <c r="B99" i="1" s="1"/>
  <c r="B97" i="1" a="1"/>
  <c r="B97" i="1" s="1"/>
  <c r="B95" i="1" a="1"/>
  <c r="B95" i="1" s="1"/>
  <c r="B94" i="1" a="1"/>
  <c r="B94" i="1" s="1"/>
  <c r="B93" i="1" a="1"/>
  <c r="B93" i="1" s="1"/>
  <c r="B92" i="1" a="1"/>
  <c r="B92" i="1" s="1"/>
  <c r="B89" i="1" a="1"/>
  <c r="B89" i="1" s="1"/>
  <c r="B88" i="1" a="1"/>
  <c r="B88" i="1" s="1"/>
  <c r="B85" i="1" a="1"/>
  <c r="B85" i="1" s="1"/>
  <c r="B84" i="1" a="1"/>
  <c r="B84" i="1" s="1"/>
  <c r="B83" i="1" a="1"/>
  <c r="B83" i="1" s="1"/>
  <c r="B82" i="1" a="1"/>
  <c r="B82" i="1" s="1"/>
  <c r="B81" i="1" a="1"/>
  <c r="B81" i="1" s="1"/>
  <c r="B79" i="1" a="1"/>
  <c r="B79" i="1" s="1"/>
  <c r="B78" i="1" a="1"/>
  <c r="B78" i="1" s="1"/>
  <c r="B76" i="1" a="1"/>
  <c r="B76" i="1" s="1"/>
  <c r="B75" i="1" a="1"/>
  <c r="B75" i="1" s="1"/>
  <c r="B74" i="1" a="1"/>
  <c r="B74" i="1" s="1"/>
  <c r="B73" i="1" a="1"/>
  <c r="B73" i="1" s="1"/>
  <c r="B72" i="1" a="1"/>
  <c r="B72" i="1" s="1"/>
  <c r="B71" i="1" a="1"/>
  <c r="B71" i="1" s="1"/>
  <c r="B70" i="1" a="1"/>
  <c r="B70" i="1" s="1"/>
  <c r="B69" i="1" a="1"/>
  <c r="B69" i="1" s="1"/>
  <c r="B68" i="1" a="1"/>
  <c r="B68" i="1" s="1"/>
  <c r="B67" i="1" a="1"/>
  <c r="B67" i="1" s="1"/>
  <c r="B66" i="1" a="1"/>
  <c r="B66" i="1" s="1"/>
  <c r="B65" i="1" a="1"/>
  <c r="B65" i="1" s="1"/>
  <c r="B64" i="1" a="1"/>
  <c r="B64" i="1" s="1"/>
  <c r="B63" i="1" a="1"/>
  <c r="B63" i="1" s="1"/>
  <c r="B62" i="1" a="1"/>
  <c r="B62" i="1" s="1"/>
  <c r="B61" i="1" a="1"/>
  <c r="B61" i="1" s="1"/>
  <c r="B60" i="1" a="1"/>
  <c r="B60" i="1" s="1"/>
  <c r="B59" i="1" a="1"/>
  <c r="B59" i="1" s="1"/>
  <c r="B58" i="1" a="1"/>
  <c r="B58" i="1" s="1"/>
  <c r="B57" i="1" a="1"/>
  <c r="B57" i="1" s="1"/>
  <c r="B54" i="1" a="1"/>
  <c r="B54" i="1" s="1"/>
  <c r="B53" i="1" a="1"/>
  <c r="B53" i="1" s="1"/>
  <c r="B52" i="1" a="1"/>
  <c r="B52" i="1" s="1"/>
  <c r="B51" i="1" a="1"/>
  <c r="B51" i="1" s="1"/>
  <c r="B50" i="1" a="1"/>
  <c r="B50" i="1" s="1"/>
  <c r="B49" i="1" a="1"/>
  <c r="B49" i="1" s="1"/>
  <c r="B48" i="1" a="1"/>
  <c r="B48" i="1" s="1"/>
  <c r="B47" i="1" a="1"/>
  <c r="B47" i="1" s="1"/>
  <c r="B44" i="1" a="1"/>
  <c r="B44" i="1" s="1"/>
  <c r="B43" i="1" a="1"/>
  <c r="B43" i="1" s="1"/>
  <c r="B42" i="1" a="1"/>
  <c r="B42" i="1" s="1"/>
  <c r="B41" i="1" a="1"/>
  <c r="B41" i="1" s="1"/>
  <c r="B40" i="1" a="1"/>
  <c r="B40" i="1" s="1"/>
  <c r="B39" i="1" a="1"/>
  <c r="B39" i="1" s="1"/>
  <c r="B38" i="1" a="1"/>
  <c r="B38" i="1" s="1"/>
  <c r="B36" i="1" a="1"/>
  <c r="B36" i="1" s="1"/>
  <c r="B35" i="1" a="1"/>
  <c r="B35" i="1" s="1"/>
  <c r="B34" i="1" a="1"/>
  <c r="B34" i="1" s="1"/>
  <c r="B33" i="1" a="1"/>
  <c r="B33" i="1" s="1"/>
  <c r="B32" i="1" a="1"/>
  <c r="B32" i="1" s="1"/>
  <c r="B31" i="1" a="1"/>
  <c r="B31" i="1" s="1"/>
  <c r="B30" i="1" a="1"/>
  <c r="B30" i="1" s="1"/>
  <c r="B29" i="1" a="1"/>
  <c r="B29" i="1" s="1"/>
  <c r="B28" i="1" a="1"/>
  <c r="B28"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B8" i="1" a="1"/>
  <c r="B8" i="1" s="1"/>
  <c r="B7" i="1" a="1"/>
  <c r="B7" i="1" s="1"/>
  <c r="B6" i="1" a="1"/>
  <c r="B6" i="1" s="1"/>
  <c r="B5" i="1" a="1"/>
  <c r="B5" i="1" s="1"/>
  <c r="K23" i="1"/>
  <c r="J23" i="1"/>
  <c r="I23" i="1"/>
  <c r="H23" i="1"/>
  <c r="G23" i="1"/>
  <c r="F23" i="1"/>
  <c r="E23" i="1"/>
  <c r="D23" i="1"/>
  <c r="C23" i="1"/>
  <c r="K26" i="1"/>
  <c r="J26" i="1"/>
  <c r="I26" i="1"/>
  <c r="H26" i="1"/>
  <c r="G26" i="1"/>
  <c r="F26" i="1"/>
  <c r="E26" i="1"/>
  <c r="D26" i="1"/>
  <c r="C26" i="1"/>
  <c r="K45" i="1"/>
  <c r="J45" i="1"/>
  <c r="I45" i="1"/>
  <c r="H45" i="1"/>
  <c r="G45" i="1"/>
  <c r="F45" i="1"/>
  <c r="E45" i="1"/>
  <c r="D45" i="1"/>
  <c r="C45" i="1"/>
  <c r="K55" i="1"/>
  <c r="J55" i="1"/>
  <c r="I55" i="1"/>
  <c r="H55" i="1"/>
  <c r="G55" i="1"/>
  <c r="F55" i="1"/>
  <c r="E55" i="1"/>
  <c r="D55" i="1"/>
  <c r="C55" i="1"/>
  <c r="K86" i="1"/>
  <c r="J86" i="1"/>
  <c r="I86" i="1"/>
  <c r="H86" i="1"/>
  <c r="G86" i="1"/>
  <c r="F86" i="1"/>
  <c r="E86" i="1"/>
  <c r="D86" i="1"/>
  <c r="C86" i="1"/>
  <c r="K108" i="1"/>
  <c r="J108" i="1"/>
  <c r="I108" i="1"/>
  <c r="H108" i="1"/>
  <c r="G108" i="1"/>
  <c r="F108" i="1"/>
  <c r="E108" i="1"/>
  <c r="D108" i="1"/>
  <c r="C108" i="1"/>
  <c r="B108" i="1" l="1"/>
  <c r="C109" i="1"/>
  <c r="D109" i="1"/>
  <c r="E109" i="1"/>
  <c r="F109" i="1"/>
  <c r="H109" i="1"/>
  <c r="I109" i="1"/>
  <c r="J109" i="1"/>
  <c r="G109" i="1"/>
  <c r="K109" i="1"/>
  <c r="B23" i="1"/>
  <c r="B45" i="1"/>
  <c r="B55" i="1"/>
  <c r="B86" i="1"/>
  <c r="B109"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<sst xmlns="http://schemas.openxmlformats.org/spreadsheetml/2006/main" count="1470" uniqueCount="641">
  <si>
    <t>CONFERENCES</t>
  </si>
  <si>
    <t xml:space="preserve">GENERAL </t>
  </si>
  <si>
    <t>Canada</t>
  </si>
  <si>
    <t>Rwanda</t>
  </si>
  <si>
    <t>Zimbabwe*</t>
  </si>
  <si>
    <t>General Conferences Subtotal</t>
  </si>
  <si>
    <t xml:space="preserve">PROVISIONAL GENERAL </t>
  </si>
  <si>
    <t>Provisional General Conferences Subtotal</t>
  </si>
  <si>
    <t xml:space="preserve">ANNUAL </t>
  </si>
  <si>
    <t>Nigeria South Central</t>
  </si>
  <si>
    <t>Annual Conferences Subtotal</t>
  </si>
  <si>
    <t xml:space="preserve">PROVISIONAL ANNUAL </t>
  </si>
  <si>
    <t>Provisional Annual Conferences Subtotal</t>
  </si>
  <si>
    <t>MISSION DISTRICTS</t>
  </si>
  <si>
    <t>Belgium</t>
  </si>
  <si>
    <t>Costa Rica</t>
  </si>
  <si>
    <t>Ecuador</t>
  </si>
  <si>
    <t>Peru</t>
  </si>
  <si>
    <t>Portugal</t>
  </si>
  <si>
    <t>Spain</t>
  </si>
  <si>
    <t>Mission Districts Subtotal</t>
  </si>
  <si>
    <t>Churches-in-Formation Subtotal</t>
  </si>
  <si>
    <t>GRAND TOTAL WORLD MEMBERSHIP</t>
  </si>
  <si>
    <t>Honduras</t>
  </si>
  <si>
    <t>Argentina</t>
  </si>
  <si>
    <t>Jordan</t>
  </si>
  <si>
    <t>Iraq</t>
  </si>
  <si>
    <t>CHURCHES IN FORMATION</t>
  </si>
  <si>
    <t>entry_id</t>
  </si>
  <si>
    <t>preparer_name</t>
  </si>
  <si>
    <t>preparer_email</t>
  </si>
  <si>
    <t>security_restrict</t>
  </si>
  <si>
    <t>security_comments</t>
  </si>
  <si>
    <t>ministry_name</t>
  </si>
  <si>
    <t>officer_name</t>
  </si>
  <si>
    <t>operating_income</t>
  </si>
  <si>
    <t>leader_name</t>
  </si>
  <si>
    <t>leader_email</t>
  </si>
  <si>
    <t>leader_phone</t>
  </si>
  <si>
    <t>office_email</t>
  </si>
  <si>
    <t>office_phone</t>
  </si>
  <si>
    <t>office_address</t>
  </si>
  <si>
    <t>church_count</t>
  </si>
  <si>
    <t>member_count</t>
  </si>
  <si>
    <t>elder_count</t>
  </si>
  <si>
    <t>cmc_count</t>
  </si>
  <si>
    <t>n</t>
  </si>
  <si>
    <t>Sherry Cahill</t>
  </si>
  <si>
    <t>sherry.cahill83@gmail.com</t>
  </si>
  <si>
    <t>No</t>
  </si>
  <si>
    <t>NOTE: I believe they are annual conference now, I will check and confirm.</t>
  </si>
  <si>
    <t>Annual Conference-Cambodia</t>
  </si>
  <si>
    <t>Daniel Sar Sokhapong</t>
  </si>
  <si>
    <t>daniel4asia@gmail.com</t>
  </si>
  <si>
    <t>#21, St. 2011, Sangkat Kork Khleang, Khan Sen Sok, Phnom Penh, Phnom Penh 855, Cambodia</t>
  </si>
  <si>
    <t>Beth Gomez</t>
  </si>
  <si>
    <t>gomezministry@gmail.com</t>
  </si>
  <si>
    <t>Annual Conference-Chile</t>
  </si>
  <si>
    <t>Samuel Soto</t>
  </si>
  <si>
    <t>superintendentedechile@gmail.com</t>
  </si>
  <si>
    <t>56 9 85190818</t>
  </si>
  <si>
    <t/>
  </si>
  <si>
    <t>Yes</t>
  </si>
  <si>
    <t>CA:CA</t>
  </si>
  <si>
    <t>Annual Conference-Creative Access Asia CA</t>
  </si>
  <si>
    <t>Eric Spangler</t>
  </si>
  <si>
    <t>eric4Asia@gmail.com</t>
  </si>
  <si>
    <t>eric4asia@gmail.com</t>
  </si>
  <si>
    <t>(**I have left all contact information blank for Creative Access countries.)</t>
  </si>
  <si>
    <t>CA:HK</t>
  </si>
  <si>
    <t>Annual Conference-Creative Access Asia HK</t>
  </si>
  <si>
    <t>Chan Fung Wan</t>
  </si>
  <si>
    <t>Creative Access</t>
  </si>
  <si>
    <t>Annual Conference-Creative Access Asia MR</t>
  </si>
  <si>
    <t>Kep Lian Thang</t>
  </si>
  <si>
    <t>Creative Access Countery</t>
  </si>
  <si>
    <t>Annual Conference-Creative Access Asia NP</t>
  </si>
  <si>
    <t>Abraham Lama</t>
  </si>
  <si>
    <t>(**I have left all contact information blank for Creative Access countries.), NOTE: I believe NP is an annual conference now. I will confirm with Eric and let you know.</t>
  </si>
  <si>
    <t>Yes, Creative Access. Also, VN is now annual conference</t>
  </si>
  <si>
    <t>Annual Conference-Creative Access Asia VN</t>
  </si>
  <si>
    <t>Hien Truong Van</t>
  </si>
  <si>
    <t>(**I have left all contact information blank for Creative Access countries.), NOTE: VN is now annual conference status</t>
  </si>
  <si>
    <t>We need to be careful not to post anything publicaly that shows political bias or that talks about money with the name of this country.  Use first names of leaders only, and no pictures with those leaders identified.  Otherwise,we can list prayer requests and celebratory reports.</t>
  </si>
  <si>
    <t>Annual Conference-Creative Access Latin America X</t>
  </si>
  <si>
    <t>Ivan Milla</t>
  </si>
  <si>
    <t>ivanfmilla@gmail.com</t>
  </si>
  <si>
    <t>58 424 9300981</t>
  </si>
  <si>
    <t>Michael Reynen</t>
  </si>
  <si>
    <t>mjreynen@yahoo.com</t>
  </si>
  <si>
    <t>Annual Conference-Malawi Central</t>
  </si>
  <si>
    <t>Dapper Magwaza</t>
  </si>
  <si>
    <t>jamesontitusmalenga1@gmail.com</t>
  </si>
  <si>
    <t>+265 991 471 788</t>
  </si>
  <si>
    <t>Chiwoko FMC, GCBS Campus, Lilongwe, Malawi</t>
  </si>
  <si>
    <t>Annual Conference-Nigeria Pioneer</t>
  </si>
  <si>
    <t>Emmanuel Eyoh Bassey</t>
  </si>
  <si>
    <t>emabas2018@gmail.com</t>
  </si>
  <si>
    <t>+2348136042037</t>
  </si>
  <si>
    <t>Eyo-Okponung, Udung Uko LGA, Akwa Ibom, Nigeria</t>
  </si>
  <si>
    <t>Annual Conference-Nigeria South Central</t>
  </si>
  <si>
    <t>Odu Dickson Nkanang</t>
  </si>
  <si>
    <t>odunkanang@yahoo.com</t>
  </si>
  <si>
    <t>+2348161517239</t>
  </si>
  <si>
    <t>Real Free Methodist Church, Ikot Afanga, Akwa Ibom, Nigeria</t>
  </si>
  <si>
    <t>Annual Conference-Paraguay</t>
  </si>
  <si>
    <t>Ceferino Ramírez</t>
  </si>
  <si>
    <t>ceferinoramirez1962@gmail.com</t>
  </si>
  <si>
    <t>595 994 288315</t>
  </si>
  <si>
    <t>Annual Conference-Puerto Rico and Antigua</t>
  </si>
  <si>
    <t>Mercedes Reynoso</t>
  </si>
  <si>
    <t>conferenciametodistalibrepr@gmail.com</t>
  </si>
  <si>
    <t>1 787 649 8709</t>
  </si>
  <si>
    <t>Annual Conference-Taiwan</t>
  </si>
  <si>
    <t>Yin-Chung Chen</t>
  </si>
  <si>
    <t>a0921520963@gmail.com</t>
  </si>
  <si>
    <t>9F., No.36, Zihciang 1st Rd. Kaohsiung, Cianjin District, 8, Kaohsiung, Cianjin District 801009, Taiwan (Republic of China)</t>
  </si>
  <si>
    <t>EBUELA  AOCI ERGY</t>
  </si>
  <si>
    <t>methodistelibrerdc@gmail.com</t>
  </si>
  <si>
    <t>no</t>
  </si>
  <si>
    <t>Annual Conference-Tanzania</t>
  </si>
  <si>
    <t>Venance W'EHUSHA LUBUNGA</t>
  </si>
  <si>
    <t>lwehusha@gmail.com</t>
  </si>
  <si>
    <t>+243824511337</t>
  </si>
  <si>
    <t>+243844990327</t>
  </si>
  <si>
    <t>NYASAKA-MWANZA, MWANZA, MWANZA 255, Tanzania; officially the United Republic of Tanzania</t>
  </si>
  <si>
    <t>Allyson Kuczmynda</t>
  </si>
  <si>
    <t>allyson.kuczmynda@fmcusa.org</t>
  </si>
  <si>
    <t>Annual Conference-United Kingdom</t>
  </si>
  <si>
    <t>John Townley</t>
  </si>
  <si>
    <t>j.townley@freemethodist.org.uk</t>
  </si>
  <si>
    <t>office@freemethodist.org.uk</t>
  </si>
  <si>
    <t>FMCUK Conference Office c/o Freedom Church, Acorn House, Kingswood Estate, Britannia Road, Kingswood, Bristol BS15 8DB, United Kingdom</t>
  </si>
  <si>
    <t>Paulo Bettiol</t>
  </si>
  <si>
    <t>pbettiol@gmail.com</t>
  </si>
  <si>
    <t>Church In Formation-Albania</t>
  </si>
  <si>
    <t>Algent Bregu</t>
  </si>
  <si>
    <t>algentberber@gmail.com</t>
  </si>
  <si>
    <t>+355694059324</t>
  </si>
  <si>
    <t>Church In Formation-Bolivia</t>
  </si>
  <si>
    <t>Teresa Saravia</t>
  </si>
  <si>
    <t>msaravia@udabol.edu.bo</t>
  </si>
  <si>
    <t>591 7737886</t>
  </si>
  <si>
    <t>Creative Access country, very sensitive</t>
  </si>
  <si>
    <t>Church In Formation-Creative Access Asia BH</t>
  </si>
  <si>
    <t>Creative Access Country</t>
  </si>
  <si>
    <t>Church In Formation-Creative Access Asia IA</t>
  </si>
  <si>
    <t>Creative Access, sensitive area</t>
  </si>
  <si>
    <t>Church In Formation-Creative Access Asia MY</t>
  </si>
  <si>
    <t>kevin.eccles@fmcusa.org</t>
  </si>
  <si>
    <t>Church In Formation-El Salvador</t>
  </si>
  <si>
    <t>Jenny .</t>
  </si>
  <si>
    <t>orozcojeny134@gmail.com</t>
  </si>
  <si>
    <t>Church In Formation-Greece</t>
  </si>
  <si>
    <t>Michael Long</t>
  </si>
  <si>
    <t>michael.long@fmcusa.org</t>
  </si>
  <si>
    <t>+30 697 724 1747</t>
  </si>
  <si>
    <t>14 Tzavella Street,, Stavroupolis, Thessaloniki 56430, Greece</t>
  </si>
  <si>
    <t>Church In Formation-Guatemala</t>
  </si>
  <si>
    <t>Victor Maroquín</t>
  </si>
  <si>
    <t>Church In Formation-Guinea Bissau</t>
  </si>
  <si>
    <t>Mande Rito</t>
  </si>
  <si>
    <t>ritomande@gmail.com</t>
  </si>
  <si>
    <t>+245 965958649</t>
  </si>
  <si>
    <t>Ingore, Guinea Bissau</t>
  </si>
  <si>
    <t>Michael Jay Reynen</t>
  </si>
  <si>
    <t>Church In Formation-Guinea Conakry</t>
  </si>
  <si>
    <t>in transition in transition</t>
  </si>
  <si>
    <t>13179798381</t>
  </si>
  <si>
    <t>Church In Formation-Malta</t>
  </si>
  <si>
    <t>Josh Fajardo</t>
  </si>
  <si>
    <t>josh.fajardo@fmcusa.org</t>
  </si>
  <si>
    <t>+34 663 37 46 55</t>
  </si>
  <si>
    <t>Church In Formation-New Zealand</t>
  </si>
  <si>
    <t>Church In Formation-Panama</t>
  </si>
  <si>
    <t>Thaddeus Roller</t>
  </si>
  <si>
    <t>thadroller@gmail.com</t>
  </si>
  <si>
    <t>57 322 7446044</t>
  </si>
  <si>
    <t>Church In Formation-Republic of Congo (Brazzaville)</t>
  </si>
  <si>
    <t>KINTELE BRAZZAVILLE, BRAZZAVILLE, BRAZZAVILLE 242, Congo, Republic of the (Brazzaville)</t>
  </si>
  <si>
    <t>Pam Braman</t>
  </si>
  <si>
    <t>sup@genesisfmc.com</t>
  </si>
  <si>
    <t>We normally publish just first names</t>
  </si>
  <si>
    <t>Church In Formation-Senegal</t>
  </si>
  <si>
    <t>Adama Sene</t>
  </si>
  <si>
    <t>adamasene07@gmail.com</t>
  </si>
  <si>
    <t>221 77 8592114</t>
  </si>
  <si>
    <t>?(585) 617-5421?</t>
  </si>
  <si>
    <t>Genesis Conference, PO Box 206, North Chili, NY 14514, United States</t>
  </si>
  <si>
    <t>Church In Formation-Sinagpore</t>
  </si>
  <si>
    <t>Church In Formation-Ukraine</t>
  </si>
  <si>
    <t>Misha Petrochenko</t>
  </si>
  <si>
    <t>mishapetrochenko86@gmail.com</t>
  </si>
  <si>
    <t>+380 67 742 4274</t>
  </si>
  <si>
    <t>3a Konovaltsya str., Rivne 33000, Ukraine</t>
  </si>
  <si>
    <t>jose ildo swartele de mello</t>
  </si>
  <si>
    <t>ildomello@gmail.com</t>
  </si>
  <si>
    <t>General Conference-Brazil</t>
  </si>
  <si>
    <t>jose de mello</t>
  </si>
  <si>
    <t>(551) 199-4322 x904</t>
  </si>
  <si>
    <t>imelconbras@gmail.com</t>
  </si>
  <si>
    <t>(112) 276-4885</t>
  </si>
  <si>
    <t>RUA GUAIRA, 51, SAO PAULO, SP 04142020, Brazil</t>
  </si>
  <si>
    <t>NSHIMIYIMANA DEOGRATIAS</t>
  </si>
  <si>
    <t>deofmcburundi@gmail.com</t>
  </si>
  <si>
    <t>General Conference-Burundi</t>
  </si>
  <si>
    <t>Nshimiyimana Deogratias</t>
  </si>
  <si>
    <t>+25779996217</t>
  </si>
  <si>
    <t>info@fmc-burundi.org</t>
  </si>
  <si>
    <t>(+257)69 978 263/69 616 471</t>
  </si>
  <si>
    <t>B.P.667 Bujumbura Burundi, masango-bisoro, Burundi</t>
  </si>
  <si>
    <t>Monique Alexander</t>
  </si>
  <si>
    <t>monique.alexander@fmcic.ca</t>
  </si>
  <si>
    <t>N/A</t>
  </si>
  <si>
    <t>General Conference-Canada</t>
  </si>
  <si>
    <t>Linda Adams</t>
  </si>
  <si>
    <t>linda.adams@fmcic.ca</t>
  </si>
  <si>
    <t>905-848-2600</t>
  </si>
  <si>
    <t>9058482600</t>
  </si>
  <si>
    <t>5 International Boulevard, Etobicoke, Ontario M9W 6H3, Canada</t>
  </si>
  <si>
    <t>Yes, Creative Access Country</t>
  </si>
  <si>
    <t>General Conference-Creative Access Asia IN (Agape)</t>
  </si>
  <si>
    <t>John Gollapalli</t>
  </si>
  <si>
    <t>General Conference-Creative Access Asia IN (Alpha)</t>
  </si>
  <si>
    <t>Shirish Ahaley</t>
  </si>
  <si>
    <t>General Conference-Creative Access Asia IN (Immanuel)</t>
  </si>
  <si>
    <t>Joab Lohara</t>
  </si>
  <si>
    <t>Non</t>
  </si>
  <si>
    <t>General Conference-Democratic Republic of Congo</t>
  </si>
  <si>
    <t>N°27, Avenue MWANGA,  Quartier Nyalukemba, Commune d'Ibanda, Bukavu, Sud-Kivu 2110, Democratic Republic of the Congo (Kinshasa)</t>
  </si>
  <si>
    <t>Flor Núñez</t>
  </si>
  <si>
    <t>Flornunesz2010@hotmail.com</t>
  </si>
  <si>
    <t>General Conference-Dominican Republic</t>
  </si>
  <si>
    <t>Cecilio Osoria</t>
  </si>
  <si>
    <t>cecilioinocencio19@gmail.com</t>
  </si>
  <si>
    <t>8097533478</t>
  </si>
  <si>
    <t>obispadoimrd@hotmail.com</t>
  </si>
  <si>
    <t>8095652497</t>
  </si>
  <si>
    <t>Av. Juan Pablo Duarte #110  Santiago, Gurocuya 62, Santo Domingo, Santo DOMINGO 10014, Dominican Republic</t>
  </si>
  <si>
    <t>Bishop Bassem sameb</t>
  </si>
  <si>
    <t>basmsaleb838@yahoo.com</t>
  </si>
  <si>
    <t>General Conference-Egypt</t>
  </si>
  <si>
    <t>Bishop bassem saleb Pastor gad gerges</t>
  </si>
  <si>
    <t>basemsaleb838@yahoo.com</t>
  </si>
  <si>
    <t>+201270071100</t>
  </si>
  <si>
    <t>Asuot egypt</t>
  </si>
  <si>
    <t>General Conference-Japan</t>
  </si>
  <si>
    <t>Ichirou Baba</t>
  </si>
  <si>
    <t>ib_john1516@yahoo.co.jp</t>
  </si>
  <si>
    <t>1-18-13, Akashishi uenomaru, Hyougoken, 673-0846 Japan, Akashishi uenomaru, Hyougoken 673-0846, Japan</t>
  </si>
  <si>
    <t>Bishop Hawkins Mugaya</t>
  </si>
  <si>
    <t>hmugaya@yahoo.com</t>
  </si>
  <si>
    <t>General Conference-Kenya</t>
  </si>
  <si>
    <t>Hawkins Mugaya</t>
  </si>
  <si>
    <t>+254722816932</t>
  </si>
  <si>
    <t>P.O.BOX 806-00502, NAIROBI, NAIROBI 00502, Kenya</t>
  </si>
  <si>
    <t>Rev.perdro Ricardo Ngulele</t>
  </si>
  <si>
    <t>pedroricardo0359@gmail.com</t>
  </si>
  <si>
    <t>Sim</t>
  </si>
  <si>
    <t>General Conference-Mozambique</t>
  </si>
  <si>
    <t>Viegas Simão</t>
  </si>
  <si>
    <t>pedroviegassimao@gmail.com</t>
  </si>
  <si>
    <t>258-846844523</t>
  </si>
  <si>
    <t>imlmoc@tdm.co.mz</t>
  </si>
  <si>
    <t>258-843752969</t>
  </si>
  <si>
    <t>Maputo Rua Gare de mercadoria,n 617- bairro polana caniço., 258-867781255, Maputo, Maputo cidade 1102, Mozambique</t>
  </si>
  <si>
    <t>RONILO BAGUION BATING</t>
  </si>
  <si>
    <t>ronilo.bating1978@gmail.com</t>
  </si>
  <si>
    <t>we have no comments regarding security or publication of information. We give FMCWC the rights for publication.</t>
  </si>
  <si>
    <t>General Conference-Philippines</t>
  </si>
  <si>
    <t>TERESO JR. LANZON</t>
  </si>
  <si>
    <t>tplanzon@gmail.com</t>
  </si>
  <si>
    <t>+639124199064</t>
  </si>
  <si>
    <t>pgcfmc@gmail.com</t>
  </si>
  <si>
    <t>+639485490026</t>
  </si>
  <si>
    <t>400 NARRA ROAD, 1ST ST. GUINGONA SUB.,, JP RIZAL, BUTUAN CITY (CAPITAL), AGUSAN DEL NORTE 8600, Philippines</t>
  </si>
  <si>
    <t>Mr. Muragwa James</t>
  </si>
  <si>
    <t>muragwajam1@gmail.com</t>
  </si>
  <si>
    <t>General Conference-Rwanda</t>
  </si>
  <si>
    <t>Samuel KAYINAMURA</t>
  </si>
  <si>
    <t>bishopsamka@gmail.com</t>
  </si>
  <si>
    <t>(250) 788-8639 x69</t>
  </si>
  <si>
    <t>Gasabo, kigali, Kigali, Rwanda</t>
  </si>
  <si>
    <t>Kicukiro, Kigali, Rwanda, Rwanda</t>
  </si>
  <si>
    <t>Nomkhosi Rosemary Cele</t>
  </si>
  <si>
    <t>nomkhosicele@gmail.con</t>
  </si>
  <si>
    <t>General Conference-South Africa</t>
  </si>
  <si>
    <t>Simon Chanza</t>
  </si>
  <si>
    <t>michellechanza@gmail.com</t>
  </si>
  <si>
    <t>+27 72 567 9529</t>
  </si>
  <si>
    <t>P.0.Box 3542, White River 1240, Mpumalanga Province, South Africa, P.0.Box 2089    No:8 Verbena Road, Primrose, 1401 Germiston, Johannesburg, South Africa, White River, Mpumalanga Province 1240, South Africa</t>
  </si>
  <si>
    <t>None</t>
  </si>
  <si>
    <t>Simon Pius Chanza</t>
  </si>
  <si>
    <t>+27725679529</t>
  </si>
  <si>
    <t>P.0.Box 3542, White River 1240, Mpumalanga Province, South Africa, P.0.Box 2089    No:8 Verbena Road, Primrose, 1401 Germiston, Johannesburg, South Africa, White River 1240, South Africa</t>
  </si>
  <si>
    <t>Hamlet Kabushenga Mbabazi</t>
  </si>
  <si>
    <t>hamletkabushenga@gmail.com</t>
  </si>
  <si>
    <t>General Conference-Uganda</t>
  </si>
  <si>
    <t>(256) 776-4958 x54</t>
  </si>
  <si>
    <t>(256) 780-4301 x78</t>
  </si>
  <si>
    <t>Redeemwe Cathedral, Kanungu Yown, Kanungu Box 50, Uganda</t>
  </si>
  <si>
    <t>+256776495854</t>
  </si>
  <si>
    <t>freemethodistuganda@gmail.com</t>
  </si>
  <si>
    <t>+256774404275</t>
  </si>
  <si>
    <t>Redeemer Cathedral, Kanungu Town, Kanungu Box 50, Uganda</t>
  </si>
  <si>
    <t>KM Eccles</t>
  </si>
  <si>
    <t>General Conference-United States - FMCUSA</t>
  </si>
  <si>
    <t>Bishops Board of</t>
  </si>
  <si>
    <t>FMCBishops@fmcusa.org</t>
  </si>
  <si>
    <t>administration@fmcusa.org</t>
  </si>
  <si>
    <t>(800) 342-5531</t>
  </si>
  <si>
    <t>5235 Decatur Blvd, PO Box 51710, Indianapolis, IN 46251, United States</t>
  </si>
  <si>
    <t>MARKO LILEMA</t>
  </si>
  <si>
    <t>markli2200@yahoo.co.uk</t>
  </si>
  <si>
    <t>NO</t>
  </si>
  <si>
    <t>General Conference-Zambia</t>
  </si>
  <si>
    <t>(260) 977-7596 x56</t>
  </si>
  <si>
    <t>Plot 45/107 off Ben Bella Road, Chibolya, Lusaka, Zambia, plot 34856, kamwala south 1080, Lusaka, Lusaka 001, Zambia</t>
  </si>
  <si>
    <t>Mission District-360</t>
  </si>
  <si>
    <t>Dr. Ricardo Gómez</t>
  </si>
  <si>
    <t>Dennis León</t>
  </si>
  <si>
    <t>PuraVida506@gmail.com</t>
  </si>
  <si>
    <t>Ana Tafelli</t>
  </si>
  <si>
    <t>Mission District-Angola</t>
  </si>
  <si>
    <t>Fortunato Morais</t>
  </si>
  <si>
    <t>prnatoimel@gmail.com</t>
  </si>
  <si>
    <t>+244 916133990</t>
  </si>
  <si>
    <t>Mission District-Argentina</t>
  </si>
  <si>
    <t>Rodrigo Rosado</t>
  </si>
  <si>
    <t>rodrigorosado10@gmail.com</t>
  </si>
  <si>
    <t>1 813 408 1496</t>
  </si>
  <si>
    <t>Mission District-Australia</t>
  </si>
  <si>
    <t>Dr. Eric Spangler</t>
  </si>
  <si>
    <t>Please change this to Mission District-Balkans.  Presiding Officer: Rev Josh Fajardo</t>
  </si>
  <si>
    <t>Mission District-Balkans</t>
  </si>
  <si>
    <t>Chance &amp; Dee Galloway</t>
  </si>
  <si>
    <t>deedee@ifosj.com</t>
  </si>
  <si>
    <t>+359895306552</t>
  </si>
  <si>
    <t>fellowshipofstjohn@gmail.com</t>
  </si>
  <si>
    <t>+359895309028 / +1 7063914122</t>
  </si>
  <si>
    <t>Tsar Osobovoditel 155, Kyustendil 2500, Bulgaria</t>
  </si>
  <si>
    <t>Mission District-Belgium</t>
  </si>
  <si>
    <t>Rev Josue Fajardo</t>
  </si>
  <si>
    <t>Eliazar Habiyakare</t>
  </si>
  <si>
    <t>e.bakunze2008@gmail.com</t>
  </si>
  <si>
    <t>+32 465 513822</t>
  </si>
  <si>
    <t>+32 465 51 38 22 / +32 491 94 08 55</t>
  </si>
  <si>
    <t>Square Jacques Franck 2,11/5, 1060, Belgium</t>
  </si>
  <si>
    <t>Mission District-Cameroon</t>
  </si>
  <si>
    <t>Wilson Esambe</t>
  </si>
  <si>
    <t>evangelistwilson@yahoo.com</t>
  </si>
  <si>
    <t>+237 678043246</t>
  </si>
  <si>
    <t>P O Box 75 Mbanga, Douala</t>
  </si>
  <si>
    <t>Mission District-Costa Rica</t>
  </si>
  <si>
    <t>Pedro Flores</t>
  </si>
  <si>
    <t>pfpastora@gmail.com</t>
  </si>
  <si>
    <t>506 86252188</t>
  </si>
  <si>
    <t>506 8798 5030</t>
  </si>
  <si>
    <t>Yes, very sensitive, creative access country</t>
  </si>
  <si>
    <t>Mission District-Creative Access Asia LO</t>
  </si>
  <si>
    <t>Creative Access country</t>
  </si>
  <si>
    <t>Mission District-Creative Access Asia PN</t>
  </si>
  <si>
    <t>Maqbool Bashir</t>
  </si>
  <si>
    <t>Only use first names of leaders and no pictures at this time</t>
  </si>
  <si>
    <t>Mission District-Creative Access Latin America RA</t>
  </si>
  <si>
    <t>Jenny Orozco</t>
  </si>
  <si>
    <t>505 7613 1592</t>
  </si>
  <si>
    <t>Mission District-Ecuador</t>
  </si>
  <si>
    <t>Mariana Mafla</t>
  </si>
  <si>
    <t>marianitas777@hotmail.com</t>
  </si>
  <si>
    <t>593 98 878 1430</t>
  </si>
  <si>
    <t>Mission District-France</t>
  </si>
  <si>
    <t>Joel Louidor</t>
  </si>
  <si>
    <t>louidorj@yahoo.fr</t>
  </si>
  <si>
    <t>+33 6 68 12 69 76</t>
  </si>
  <si>
    <t>freemethodistcergye@gmail.com</t>
  </si>
  <si>
    <t>18 Chaussée Jules César, Saint-ouen l'aumône, VAL D'OISE 95310, France</t>
  </si>
  <si>
    <t>Mission District-Honduras</t>
  </si>
  <si>
    <t>Manuel Herrera</t>
  </si>
  <si>
    <t>manuelherrerah3@gmail.com</t>
  </si>
  <si>
    <t>504 9582 1538</t>
  </si>
  <si>
    <t>Mission District-Hungary</t>
  </si>
  <si>
    <t>Josue Fajardo</t>
  </si>
  <si>
    <t>Ábel Jeno utca 2/a, Budapest 1113, Hungary</t>
  </si>
  <si>
    <t>Hany Salah Estmalek</t>
  </si>
  <si>
    <t>hany.estmalek@fmcusa.org</t>
  </si>
  <si>
    <t>Iraq is a dangerous country so please restrict publication as much as possible</t>
  </si>
  <si>
    <t>Mission District-Iraq</t>
  </si>
  <si>
    <t>Dale Woods</t>
  </si>
  <si>
    <t>Deler Yaldiko</t>
  </si>
  <si>
    <t>hanysalah@impactmiddleeast.org</t>
  </si>
  <si>
    <t>(206) 307-2780</t>
  </si>
  <si>
    <t>Mission District-Ivory Coast</t>
  </si>
  <si>
    <t>Maho Gouessien  Olivier</t>
  </si>
  <si>
    <t>mahogoussienolivier@gmail.com</t>
  </si>
  <si>
    <t>+225 0544663520</t>
  </si>
  <si>
    <t>0</t>
  </si>
  <si>
    <t>No Publication please</t>
  </si>
  <si>
    <t>Mission District-Jordan</t>
  </si>
  <si>
    <t>Rami Sharaiha</t>
  </si>
  <si>
    <t>Mission District-Peru</t>
  </si>
  <si>
    <t>Alí León</t>
  </si>
  <si>
    <t>aleon@impactlatinamerica.org</t>
  </si>
  <si>
    <t>51 970 735 363</t>
  </si>
  <si>
    <t>Mission District-Portugal</t>
  </si>
  <si>
    <t>Cindi Angelo</t>
  </si>
  <si>
    <t>cindi.angelo@fmcusa.org</t>
  </si>
  <si>
    <t>+351 964 030 755</t>
  </si>
  <si>
    <t>Rua Álvaro Ferreira Alves, 17 B, Corroios 2855-591, Portugal</t>
  </si>
  <si>
    <t>Mission District-Spain</t>
  </si>
  <si>
    <t>Raul Arana</t>
  </si>
  <si>
    <t>r.arana@metodistalibre.es</t>
  </si>
  <si>
    <t>+34 611 524 389</t>
  </si>
  <si>
    <t>metodistalibreweb@gmail.com</t>
  </si>
  <si>
    <t>Calle Picos de Urbión 67, Rivas-Vaciamadrid, Madrid 28522, Spain</t>
  </si>
  <si>
    <t>Vinola Pakkianathen</t>
  </si>
  <si>
    <t>vinola.Pakkianathen@fmcic.ca</t>
  </si>
  <si>
    <t>Mission District-Sri Lanka</t>
  </si>
  <si>
    <t>Bishop Linda Adams</t>
  </si>
  <si>
    <t>Jegatheesan Kandiah</t>
  </si>
  <si>
    <t>rubyhumedica@gmail.com</t>
  </si>
  <si>
    <t>+94 77 071 1217</t>
  </si>
  <si>
    <t>freemethodistsl@gmail.com</t>
  </si>
  <si>
    <t>+94 76 900 9794</t>
  </si>
  <si>
    <t>Free Methodist Church in Srilanka, 48/11, Galehena Road, Thirappuwa, Handessa., 20480, Sri Lanka</t>
  </si>
  <si>
    <t>Mission District-Sweden</t>
  </si>
  <si>
    <t>Valentin Sikitoka</t>
  </si>
  <si>
    <t>sikitoka@yahoo.com</t>
  </si>
  <si>
    <t>46 76 436 36 60</t>
  </si>
  <si>
    <t>No Publication</t>
  </si>
  <si>
    <t>Mission District-The Holy Land</t>
  </si>
  <si>
    <t>Rev. Nabil Samara</t>
  </si>
  <si>
    <t>Nabil Samara</t>
  </si>
  <si>
    <t>Mission District-Uruguay</t>
  </si>
  <si>
    <t>Sebastián Carballo</t>
  </si>
  <si>
    <t>sebastiancarballo1986@gmail.com</t>
  </si>
  <si>
    <t>598 91 677 317</t>
  </si>
  <si>
    <t>Provisional Annual Conference-Creative Access Asia BG</t>
  </si>
  <si>
    <t>Provisional Annual Conference-Ghana</t>
  </si>
  <si>
    <t>Ahmed Quarshie</t>
  </si>
  <si>
    <t>hmd.kenneth@gmail.com</t>
  </si>
  <si>
    <t>+233 246 860 478</t>
  </si>
  <si>
    <t>freemethoghana@gmail.com</t>
  </si>
  <si>
    <t>+233 302 903 282</t>
  </si>
  <si>
    <t>P. O. Box KW 325, Kwabenya, Accra., Office Location:Bible League Ghana, New Ashongman, Near Kwabenya East Police Station., Accra, Ghana</t>
  </si>
  <si>
    <t>Glenn Lorenz</t>
  </si>
  <si>
    <t>glenn.lorenz@fmcusa.org</t>
  </si>
  <si>
    <t>Provisional Annual Conference-Liberia</t>
  </si>
  <si>
    <t>Isaac Gayne</t>
  </si>
  <si>
    <t>revisaacgayne@gmail.com</t>
  </si>
  <si>
    <t>revisaacgayne@gamil.com</t>
  </si>
  <si>
    <t>Provisional Annual Conference-Nigeria Middle Belt</t>
  </si>
  <si>
    <t>Mathias Emenike</t>
  </si>
  <si>
    <t>mathiasemenike@gmail.com</t>
  </si>
  <si>
    <t>(234) 806-4413 x299</t>
  </si>
  <si>
    <t>5/6 Enugu-Onitsha express way Enugu, Nigeria</t>
  </si>
  <si>
    <t>Provisional Annual Conference-Nigeria Northern Mission</t>
  </si>
  <si>
    <t>John Raji</t>
  </si>
  <si>
    <t>johnraji38@gmail.com</t>
  </si>
  <si>
    <t>+2348058719120</t>
  </si>
  <si>
    <t>Wada road, Ganaja-Lokoja, Kogi, Nigeria</t>
  </si>
  <si>
    <t>I believe Thailand is Annual Conference, I will double check and let you know also.</t>
  </si>
  <si>
    <t>Provisional Annual Conference-Thailand</t>
  </si>
  <si>
    <t>Joshua Anuchit Konsawan</t>
  </si>
  <si>
    <t>anuchit.konsawan@gmail.com</t>
  </si>
  <si>
    <t>224/14 M. 4 Ban Rong Or, T. San Phi Sua, Chiang Mai, A. Mueang Chiang Mai 50300, Thailand</t>
  </si>
  <si>
    <t>Provisional Annual Conference-Togo</t>
  </si>
  <si>
    <t>Hougnada Takpale</t>
  </si>
  <si>
    <t>hougnada@gmail.com</t>
  </si>
  <si>
    <t>+22890162412</t>
  </si>
  <si>
    <t>Hougnada@gmail.com</t>
  </si>
  <si>
    <t>23 BP 103, Lome, Togo</t>
  </si>
  <si>
    <t>org_type</t>
  </si>
  <si>
    <t>org_name</t>
  </si>
  <si>
    <t>contact_name</t>
  </si>
  <si>
    <t>contact_email</t>
  </si>
  <si>
    <t>Annual Conference</t>
  </si>
  <si>
    <t>Cambodia</t>
  </si>
  <si>
    <t>eric4asia@gmail.com; sherry.cahill83@gmail.com;</t>
  </si>
  <si>
    <t>Chile</t>
  </si>
  <si>
    <t>Pastors Ricardo &amp; Beth Gomez</t>
  </si>
  <si>
    <t>ricardogomeziml@gmail.com; gomezministry@gmail.com</t>
  </si>
  <si>
    <t>Creative Access Asia CA</t>
  </si>
  <si>
    <t>Creative Access Asia HK</t>
  </si>
  <si>
    <t>Creative Access Asia MR</t>
  </si>
  <si>
    <t>Creative Access Asia NP</t>
  </si>
  <si>
    <t>Creative Access Asia VN</t>
  </si>
  <si>
    <t>Creative Access Latin America X</t>
  </si>
  <si>
    <t>Ethiopia</t>
  </si>
  <si>
    <t>Pastor Mike Reynen</t>
  </si>
  <si>
    <t>Malawi Central</t>
  </si>
  <si>
    <t>Malawi North</t>
  </si>
  <si>
    <t>Malawi South</t>
  </si>
  <si>
    <t>Nigeria Pioneer</t>
  </si>
  <si>
    <t>Paraguay</t>
  </si>
  <si>
    <t>Puerto Rico and Antigua</t>
  </si>
  <si>
    <t>Taiwan</t>
  </si>
  <si>
    <t>Tanzania</t>
  </si>
  <si>
    <t>Bishop Lubunga W'Ehusha</t>
  </si>
  <si>
    <t>United Kingdom</t>
  </si>
  <si>
    <t>Bishop Cowart</t>
  </si>
  <si>
    <t>Church In Formation</t>
  </si>
  <si>
    <t>Albania</t>
  </si>
  <si>
    <t>Pastor Josh Fajardo</t>
  </si>
  <si>
    <t>jfajardomarte@gmail.com; pbettiol@gmail.com;</t>
  </si>
  <si>
    <t>Bolivia</t>
  </si>
  <si>
    <t>Botswana</t>
  </si>
  <si>
    <t>Bishop Isaiah Masiya</t>
  </si>
  <si>
    <t>isaiahisayamasiya@gmail.com</t>
  </si>
  <si>
    <t>Creative Access Africa BA</t>
  </si>
  <si>
    <t>Creative Access Asia BH</t>
  </si>
  <si>
    <t>Creative Access Asia IA</t>
  </si>
  <si>
    <t>Creative Access Asia MY</t>
  </si>
  <si>
    <t>El Salvador</t>
  </si>
  <si>
    <t>Greece</t>
  </si>
  <si>
    <t>Guatemala</t>
  </si>
  <si>
    <t>Guinea Bissau</t>
  </si>
  <si>
    <t>Guinea Conakry</t>
  </si>
  <si>
    <t>Malta</t>
  </si>
  <si>
    <t>New Zealand</t>
  </si>
  <si>
    <t>Republic of Congo (Brazzaville)</t>
  </si>
  <si>
    <t>Senegal</t>
  </si>
  <si>
    <t>Superintendent Pam Braman</t>
  </si>
  <si>
    <t>Sierra Leone</t>
  </si>
  <si>
    <t>Sinagpore</t>
  </si>
  <si>
    <t>Ukraine</t>
  </si>
  <si>
    <t>General Conference</t>
  </si>
  <si>
    <t>Brazil</t>
  </si>
  <si>
    <t>Bishop José Ildo Swartele de Mello</t>
  </si>
  <si>
    <t>Burundi</t>
  </si>
  <si>
    <t>Bishop Nshimiyimana Deogratias</t>
  </si>
  <si>
    <t>monique.alexander@fmcic.ca; linda.adams@fmcic.ca;</t>
  </si>
  <si>
    <t>Creative Access Asia IN (Agape)</t>
  </si>
  <si>
    <t>Creative Access Asia IN (Alpha)</t>
  </si>
  <si>
    <t>Creative Access Asia IN (Immanuel)</t>
  </si>
  <si>
    <t>Democratic Republic of Congo</t>
  </si>
  <si>
    <t>Lubunga W'Ehusha</t>
  </si>
  <si>
    <t>Dominican Republic</t>
  </si>
  <si>
    <t>Bishop Cecilio I. Osoria Ureña</t>
  </si>
  <si>
    <t>rev_cecilio@hotmail.com</t>
  </si>
  <si>
    <t>Egypt</t>
  </si>
  <si>
    <t>Bishop Saleb Basem</t>
  </si>
  <si>
    <t>Haiti</t>
  </si>
  <si>
    <t>Bishop Eliodor Desvariste</t>
  </si>
  <si>
    <t>bishop.desvariste@gmail.com</t>
  </si>
  <si>
    <t>Japan</t>
  </si>
  <si>
    <t>Kenya</t>
  </si>
  <si>
    <t>Mozambique</t>
  </si>
  <si>
    <t>BISHOP PEDRO SIMAO</t>
  </si>
  <si>
    <t>Philippines</t>
  </si>
  <si>
    <t>Bishop Tereso Lanzon Jr</t>
  </si>
  <si>
    <t>Bishop Samuel Kayinamura</t>
  </si>
  <si>
    <t>bishopsamka@gmail.com; muragwajam1@gmail.com;</t>
  </si>
  <si>
    <t>South Africa</t>
  </si>
  <si>
    <t>Bishop Simon Chanza Pius</t>
  </si>
  <si>
    <t>nomkhosicele144@gmail.com</t>
  </si>
  <si>
    <t>Uganda</t>
  </si>
  <si>
    <t>Bishop Hamlet Kabushenga Mbabazi</t>
  </si>
  <si>
    <t>United States - FMCUSA</t>
  </si>
  <si>
    <t>Rev. KM Eccles</t>
  </si>
  <si>
    <t>kevin.eccles@fmcusa.org;</t>
  </si>
  <si>
    <t>Zambia</t>
  </si>
  <si>
    <t>Bishop Marko Lilema</t>
  </si>
  <si>
    <t>Zimbabwe</t>
  </si>
  <si>
    <t>Mission District</t>
  </si>
  <si>
    <t>360</t>
  </si>
  <si>
    <t>Angola</t>
  </si>
  <si>
    <t>Australia</t>
  </si>
  <si>
    <t>Balkans</t>
  </si>
  <si>
    <t>Cameroon</t>
  </si>
  <si>
    <t>Creative Access Asia LO</t>
  </si>
  <si>
    <t>Creative Access Asia PN</t>
  </si>
  <si>
    <t>Creative Access Latin America RA</t>
  </si>
  <si>
    <t>Fiji</t>
  </si>
  <si>
    <t>Pastor (Lex) Illiesa Naituku Weleilakeba</t>
  </si>
  <si>
    <t>weleilakebailiesa@gmail.com;</t>
  </si>
  <si>
    <t>France</t>
  </si>
  <si>
    <t>Hungary</t>
  </si>
  <si>
    <t>Pastor Hany Salah</t>
  </si>
  <si>
    <t>Ivory Coast</t>
  </si>
  <si>
    <t>North Macedonia</t>
  </si>
  <si>
    <t>Sri Lanka</t>
  </si>
  <si>
    <t>Sweden</t>
  </si>
  <si>
    <t>The Holy Land</t>
  </si>
  <si>
    <t>Uruguay</t>
  </si>
  <si>
    <t>Provisional Annual Conference</t>
  </si>
  <si>
    <t>Creative Access Asia BG</t>
  </si>
  <si>
    <t>Ghana</t>
  </si>
  <si>
    <t>Liberia</t>
  </si>
  <si>
    <t>Pastor Mike Reynen and Pastor Glenn Lorenz</t>
  </si>
  <si>
    <t>mjreynen@yahoo.com; glenn.lorenz@fmcusa.org;</t>
  </si>
  <si>
    <t>Nigeria Middle Belt</t>
  </si>
  <si>
    <t>Nigeria Northern Mission</t>
  </si>
  <si>
    <t>Thailand</t>
  </si>
  <si>
    <t>Togo</t>
  </si>
  <si>
    <t>Provisional General Conference</t>
  </si>
  <si>
    <t>Mexico</t>
  </si>
  <si>
    <t>Bishop Hector Perez</t>
  </si>
  <si>
    <t>distritomisioneromex09@gmail.com</t>
  </si>
  <si>
    <t>Creative Access Asia IN</t>
  </si>
  <si>
    <t>Haiti*</t>
  </si>
  <si>
    <t>Ethiopia*</t>
  </si>
  <si>
    <t>*no current statistics or partial current statistics, previous year's membership used</t>
  </si>
  <si>
    <t>Membership of the World Free Methodist Church 2024</t>
  </si>
  <si>
    <t>Creative Access Latin America C</t>
  </si>
  <si>
    <t>Jan Coates</t>
  </si>
  <si>
    <t>Janet.coates@fmcusa.org</t>
  </si>
  <si>
    <t>This mission district is under the Zimbabwe General Conference</t>
  </si>
  <si>
    <t>Church In Formation-Botswana</t>
  </si>
  <si>
    <t>Rev. Mapholisa</t>
  </si>
  <si>
    <t>janet.coates@fmcusa.org</t>
  </si>
  <si>
    <t>This is Creative Access. Do not publish the leaders last name.</t>
  </si>
  <si>
    <t>Church In Formation-Creative Access Africa BA</t>
  </si>
  <si>
    <t>Rebecca Zidouwemba</t>
  </si>
  <si>
    <t>There will be a change in national leadership in December so I have just filled in the Area Director's name at this time</t>
  </si>
  <si>
    <t>Church In Formation-Sierra Leone</t>
  </si>
  <si>
    <t>Mike Reynen</t>
  </si>
  <si>
    <t>At this point no but it could change. This ministry is in the affiliation process so the numbers reflect those joining the FMC so the membership number is approximate</t>
  </si>
  <si>
    <t>Church In Formation-South Sudan (under FMCUSA)</t>
  </si>
  <si>
    <t>Rev. David Awan</t>
  </si>
  <si>
    <t>Mission District-Fiji</t>
  </si>
  <si>
    <t>Rev. Dr. Eric Spangler</t>
  </si>
  <si>
    <t>Iliesa "Lex" Weleilakeba</t>
  </si>
  <si>
    <t>Mission District-North Macedonia</t>
  </si>
  <si>
    <t>Chance &amp; Dee Dee Galloway</t>
  </si>
  <si>
    <t>This mission district is under the Dominican Republic and I received this for the 2025=2026 Prayer Directory</t>
  </si>
  <si>
    <t>Provisional Annual Conference-Creative Access Latin America C</t>
  </si>
  <si>
    <t>Cecilio Osoria Urena</t>
  </si>
  <si>
    <t>Colombia and Panama</t>
  </si>
  <si>
    <t>Sao Tome and Principe</t>
  </si>
  <si>
    <t>Eswatini</t>
  </si>
  <si>
    <t>Malawi</t>
  </si>
  <si>
    <t>Janet.Coates@fmcusa.org</t>
  </si>
  <si>
    <t>This work is under Mozambique</t>
  </si>
  <si>
    <t>Church In Formation-Eswatini</t>
  </si>
  <si>
    <t>Pedro Viegas Simon</t>
  </si>
  <si>
    <t>Mission District-Colombia and Panama</t>
  </si>
  <si>
    <t>Mission District-Sao Tome and Principe</t>
  </si>
  <si>
    <t>Moises Souza</t>
  </si>
  <si>
    <t>moisesejacione@hotmail.com</t>
  </si>
  <si>
    <t>Paulo Bettiol (Europe Area 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</si>
</sst>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b/>
      <sz val="7"/>
      <name val="Arial"/>
      <family val="2"/>
    </font>
    <font>
      <sz val="7"/>
      <name val="Arial"/>
      <family val="2"/>
    </font>
    <font>
      <sz val="7"/>
      <color indexed="8"/>
      <name val="Arial"/>
      <family val="2"/>
    </font>
    <font>
      <b/>
      <sz val="7"/>
      <color indexed="12"/>
      <name val="Arial"/>
      <family val="2"/>
    </font>
    <font>
      <b/>
      <sz val="7"/>
      <color indexed="10"/>
      <name val="Arial"/>
      <family val="2"/>
    </font>
    <font>
      <sz val="7"/>
      <color rgb="FFFF0000"/>
      <name val="Arial"/>
      <family val="2"/>
    </font>
    <font>
      <sz val="7"/>
      <color theme="1"/>
      <name val="Arial"/>
      <family val="2"/>
    </font>
    <font>
      <sz val="12"/>
      <name val="Arial Rounded MT Bold"/>
      <family val="2"/>
    </font>
  </fonts>
  <fills count="5">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thin">
        <color indexed="64"/>
      </right>
      <top style="thin">
        <color auto="1"/>
      </top>
      <bottom style="thin">
        <color auto="1"/>
      </bottom>
      <diagonal/>
    </border>
  </borders>
  <cellStyleXfs count="1">
    <xf numFmtId="0" fontId="0" fillId="0" borderId="0"/>
  </cellStyleXfs>
  <cellXfs count="62">
    <xf numFmtId="0" fontId="0" fillId="0" borderId="0" xfId="0"/>
    <xf numFmtId="0" fontId="2" fillId="0" borderId="0" xfId="0" applyFont="1" applyAlignment="1">
      <alignment vertical="center"/>
    </xf>
    <xf numFmtId="3" fontId="2" fillId="0" borderId="0" xfId="0" applyNumberFormat="1"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6"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49" fontId="2" fillId="0" borderId="0" xfId="0" applyNumberFormat="1" applyFont="1"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3" fontId="1" fillId="0" borderId="1" xfId="0" applyNumberFormat="1" applyFont="1" applyBorder="1" applyAlignment="1">
      <alignment horizontal="right" vertical="center"/>
    </xf>
    <xf numFmtId="0" fontId="2" fillId="0" borderId="1" xfId="0" applyFont="1" applyBorder="1" applyAlignment="1">
      <alignment horizontal="left" vertical="center"/>
    </xf>
    <xf numFmtId="3" fontId="2" fillId="0" borderId="1" xfId="0" applyNumberFormat="1" applyFont="1" applyBorder="1" applyAlignment="1">
      <alignment horizontal="right" vertical="center"/>
    </xf>
    <xf numFmtId="0" fontId="1" fillId="0" borderId="1" xfId="0" applyFont="1" applyBorder="1" applyAlignment="1">
      <alignment horizontal="left" vertical="center"/>
    </xf>
    <xf numFmtId="0" fontId="1" fillId="3" borderId="1" xfId="0" applyFont="1" applyFill="1" applyBorder="1" applyAlignment="1">
      <alignment vertical="center"/>
    </xf>
    <xf numFmtId="0" fontId="2" fillId="4" borderId="1" xfId="0" applyFont="1" applyFill="1" applyBorder="1" applyAlignment="1">
      <alignment vertical="center"/>
    </xf>
    <xf numFmtId="0" fontId="2" fillId="2" borderId="2" xfId="0" applyFont="1" applyFill="1" applyBorder="1" applyAlignment="1">
      <alignment vertical="center"/>
    </xf>
    <xf numFmtId="0" fontId="2" fillId="2" borderId="1" xfId="0" applyFont="1" applyFill="1" applyBorder="1" applyAlignment="1">
      <alignment vertical="center"/>
    </xf>
    <xf numFmtId="0" fontId="2" fillId="2" borderId="0" xfId="0" applyFont="1" applyFill="1" applyAlignment="1">
      <alignment vertical="center"/>
    </xf>
    <xf numFmtId="0" fontId="1" fillId="0" borderId="1" xfId="0" applyFont="1" applyBorder="1" applyAlignment="1">
      <alignment horizontal="center" vertical="top"/>
    </xf>
    <xf numFmtId="49" fontId="1" fillId="0" borderId="0" xfId="0" applyNumberFormat="1" applyFont="1" applyAlignment="1">
      <alignment vertical="center"/>
    </xf>
    <xf numFmtId="3" fontId="1" fillId="3" borderId="1" xfId="0" applyNumberFormat="1" applyFont="1" applyFill="1" applyBorder="1" applyAlignment="1">
      <alignment horizontal="right" vertical="center"/>
    </xf>
    <xf numFmtId="0" fontId="1" fillId="0" borderId="1" xfId="0" applyFont="1" applyBorder="1" applyAlignment="1">
      <alignment horizont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3" xfId="0" applyFont="1" applyBorder="1"/>
    <xf numFmtId="0" fontId="2" fillId="2" borderId="0" xfId="0" applyFont="1" applyFill="1"/>
    <xf numFmtId="0" fontId="2" fillId="0" borderId="0" xfId="0" applyFont="1"/>
    <xf numFmtId="49" fontId="1" fillId="0" borderId="0" xfId="0" applyNumberFormat="1" applyFont="1"/>
    <xf numFmtId="0" fontId="1" fillId="0" borderId="0" xfId="0" applyFont="1"/>
    <xf numFmtId="3" fontId="3" fillId="0" borderId="1" xfId="0" applyNumberFormat="1" applyFont="1" applyBorder="1" applyProtection="1">
      <protection locked="0"/>
    </xf>
    <xf numFmtId="3" fontId="2" fillId="0" borderId="1" xfId="0" applyNumberFormat="1" applyFont="1" applyBorder="1" applyProtection="1">
      <protection locked="0"/>
    </xf>
    <xf numFmtId="3" fontId="2" fillId="4" borderId="1" xfId="0" applyNumberFormat="1" applyFont="1" applyFill="1" applyBorder="1" applyProtection="1">
      <protection locked="0"/>
    </xf>
    <xf numFmtId="3" fontId="2" fillId="2" borderId="0" xfId="0" applyNumberFormat="1" applyFont="1" applyFill="1" applyProtection="1">
      <protection locked="0"/>
    </xf>
    <xf numFmtId="3" fontId="2" fillId="2" borderId="1" xfId="0" applyNumberFormat="1" applyFont="1" applyFill="1" applyBorder="1" applyProtection="1">
      <protection locked="0"/>
    </xf>
    <xf numFmtId="3" fontId="2" fillId="0" borderId="1" xfId="0" applyNumberFormat="1" applyFont="1" applyBorder="1" applyAlignment="1" applyProtection="1">
      <alignment horizontal="right" vertical="center"/>
      <protection locked="0"/>
    </xf>
    <xf numFmtId="3" fontId="2" fillId="0" borderId="1" xfId="0" applyNumberFormat="1" applyFont="1" applyBorder="1" applyAlignment="1" applyProtection="1">
      <alignment vertical="center"/>
      <protection locked="0"/>
    </xf>
    <xf numFmtId="3" fontId="3" fillId="0" borderId="1" xfId="0" applyNumberFormat="1" applyFont="1" applyBorder="1" applyAlignment="1" applyProtection="1">
      <alignment horizontal="right" vertical="center"/>
      <protection locked="0"/>
    </xf>
    <xf numFmtId="3" fontId="3" fillId="0" borderId="1" xfId="0" applyNumberFormat="1" applyFont="1" applyBorder="1" applyAlignment="1" applyProtection="1">
      <alignment vertical="center"/>
      <protection locked="0"/>
    </xf>
    <xf numFmtId="3" fontId="2" fillId="4" borderId="1" xfId="0" applyNumberFormat="1" applyFont="1" applyFill="1" applyBorder="1" applyAlignment="1" applyProtection="1">
      <alignment vertical="center"/>
      <protection locked="0"/>
    </xf>
    <xf numFmtId="3" fontId="2" fillId="4" borderId="1" xfId="0" applyNumberFormat="1" applyFont="1" applyFill="1" applyBorder="1" applyAlignment="1" applyProtection="1">
      <alignment horizontal="right" vertical="center"/>
      <protection locked="0"/>
    </xf>
    <xf numFmtId="3" fontId="7" fillId="0" borderId="1" xfId="0" applyNumberFormat="1" applyFont="1" applyBorder="1" applyAlignment="1" applyProtection="1">
      <alignment vertical="center"/>
      <protection locked="0"/>
    </xf>
    <xf numFmtId="3" fontId="7" fillId="4" borderId="1" xfId="0" applyNumberFormat="1" applyFont="1" applyFill="1" applyBorder="1" applyAlignment="1" applyProtection="1">
      <alignment vertical="center"/>
      <protection locked="0"/>
    </xf>
    <xf numFmtId="3" fontId="2" fillId="2" borderId="0" xfId="0" applyNumberFormat="1" applyFont="1" applyFill="1" applyAlignment="1" applyProtection="1">
      <alignment horizontal="right" vertical="center"/>
      <protection locked="0"/>
    </xf>
    <xf numFmtId="3" fontId="2" fillId="2" borderId="1" xfId="0" applyNumberFormat="1" applyFont="1" applyFill="1" applyBorder="1" applyAlignment="1" applyProtection="1">
      <alignment horizontal="right" vertical="center"/>
      <protection locked="0"/>
    </xf>
    <xf numFmtId="3" fontId="2" fillId="2" borderId="0" xfId="0" applyNumberFormat="1" applyFont="1" applyFill="1" applyAlignment="1" applyProtection="1">
      <alignment vertical="center"/>
      <protection locked="0"/>
    </xf>
    <xf numFmtId="3" fontId="2" fillId="2" borderId="1" xfId="0" applyNumberFormat="1" applyFont="1" applyFill="1" applyBorder="1" applyAlignment="1" applyProtection="1">
      <alignment vertical="center"/>
      <protection locked="0"/>
    </xf>
    <xf numFmtId="3" fontId="3" fillId="0" borderId="1" xfId="0" applyNumberFormat="1" applyFont="1" applyBorder="1" applyAlignment="1">
      <alignment horizontal="right" vertical="center"/>
    </xf>
    <xf numFmtId="3" fontId="2" fillId="4" borderId="1" xfId="0" applyNumberFormat="1" applyFont="1" applyFill="1" applyBorder="1" applyAlignment="1">
      <alignment horizontal="right" vertical="center"/>
    </xf>
    <xf numFmtId="3" fontId="2" fillId="2" borderId="0" xfId="0" applyNumberFormat="1" applyFont="1" applyFill="1" applyAlignment="1">
      <alignment horizontal="right" vertical="center"/>
    </xf>
    <xf numFmtId="3" fontId="2" fillId="2" borderId="1" xfId="0" applyNumberFormat="1" applyFont="1" applyFill="1" applyBorder="1" applyAlignment="1">
      <alignment horizontal="right" vertical="center"/>
    </xf>
    <xf numFmtId="0" fontId="8" fillId="0" borderId="0" xfId="0" applyFont="1" applyAlignment="1">
      <alignment vertical="center" wrapText="1"/>
    </xf>
    <xf numFmtId="0" fontId="8" fillId="0" borderId="0" xfId="0" applyFont="1" applyAlignment="1">
      <alignment vertical="center"/>
    </xf>
    <xf numFmtId="3" fontId="6" fillId="0" borderId="1" xfId="0" applyNumberFormat="1" applyFont="1" applyBorder="1" applyAlignment="1">
      <alignment horizontal="right" vertical="center"/>
    </xf>
    <xf numFmtId="3" fontId="6" fillId="0" borderId="1" xfId="0" applyNumberFormat="1" applyFont="1" applyBorder="1" applyProtection="1">
      <protection locked="0"/>
    </xf>
    <xf numFmtId="3" fontId="6" fillId="0" borderId="1" xfId="0" applyNumberFormat="1" applyFont="1" applyBorder="1" applyAlignment="1" applyProtection="1">
      <alignment horizontal="right" vertical="center"/>
      <protection locked="0"/>
    </xf>
    <xf numFmtId="3" fontId="6" fillId="0" borderId="1" xfId="0" applyNumberFormat="1" applyFont="1" applyBorder="1" applyAlignment="1" applyProtection="1">
      <alignment vertical="center"/>
      <protection locked="0"/>
    </xf>
    <xf numFmtId="3" fontId="2" fillId="2" borderId="4" xfId="0" applyNumberFormat="1" applyFont="1" applyFill="1" applyBorder="1" applyAlignment="1" applyProtection="1">
      <alignment vertical="center"/>
      <protection locked="0"/>
    </xf>
    <xf numFmtId="0" fontId="2" fillId="2" borderId="4" xfId="0" applyFont="1" applyFill="1" applyBorder="1" applyAlignment="1">
      <alignment vertic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C47B5E-0DA5-4014-966D-587A95B4D83A}" name="world_ministry_list" displayName="world_ministry_list" ref="A1:D98" totalsRowShown="0">
  <autoFilter ref="A1:D98" xr:uid="{0DC47B5E-0DA5-4014-966D-587A95B4D83A}"/>
  <tableColumns count="4">
    <tableColumn id="1" xr3:uid="{962D42DA-6E30-4585-B61B-771751CE7202}" name="org_type" dataDxfId="15"/>
    <tableColumn id="2" xr3:uid="{9C109578-3D4F-4F13-9859-8438C718D780}" name="org_name" dataDxfId="14"/>
    <tableColumn id="3" xr3:uid="{E9141B2E-A87B-4EFF-B8CC-AD1B5E67863D}" name="contact_name" dataDxfId="13"/>
    <tableColumn id="4" xr3:uid="{3538CA05-789F-4527-95DB-314B56571007}" name="contact_email"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B20A2B-E6E5-43DB-9E85-A03123B32FB0}" name="wc_reports_2024" displayName="wc_reports_2024" ref="A1:S99" totalsRowShown="0">
  <autoFilter ref="A1:S99" xr:uid="{06B20A2B-E6E5-43DB-9E85-A03123B32FB0}"/>
  <sortState xmlns:xlrd2="http://schemas.microsoft.com/office/spreadsheetml/2017/richdata2" ref="A2:S99">
    <sortCondition ref="A1:A99"/>
  </sortState>
  <tableColumns count="19">
    <tableColumn id="1" xr3:uid="{82C9759A-A6D6-40F6-A432-7765297FCB8D}" name="entry_id"/>
    <tableColumn id="2" xr3:uid="{98C62AC6-6977-4C3C-9225-CC7885998AA3}" name="preparer_name" dataDxfId="11"/>
    <tableColumn id="3" xr3:uid="{6A8077BA-914D-4FFF-8B35-CBCF83527986}" name="preparer_email" dataDxfId="10"/>
    <tableColumn id="4" xr3:uid="{99E363E6-AAD1-466F-8E95-C9E25D9E90F3}" name="security_restrict" dataDxfId="9"/>
    <tableColumn id="5" xr3:uid="{13B9CC5B-E376-4C0B-973B-6EF93F6E4862}" name="security_comments" dataDxfId="8"/>
    <tableColumn id="6" xr3:uid="{FFE45CF5-C648-4B0A-9869-CB886961C65D}" name="ministry_name" dataDxfId="7"/>
    <tableColumn id="7" xr3:uid="{1CF8F9C9-D4B9-45C7-86E8-9154A33BD93F}" name="officer_name" dataDxfId="6"/>
    <tableColumn id="8" xr3:uid="{6A7AEE57-8A49-47B9-9FF0-7BD41917B563}" name="operating_income"/>
    <tableColumn id="9" xr3:uid="{F58BCD51-3F1C-48F0-892A-E9672EC6A839}" name="leader_name" dataDxfId="5"/>
    <tableColumn id="10" xr3:uid="{0AC68C2D-3E0B-4F2E-8F25-78C523ADE5F3}" name="leader_email" dataDxfId="4"/>
    <tableColumn id="11" xr3:uid="{ACFCE94F-FEC9-4563-8193-02076D3AF205}" name="leader_phone" dataDxfId="3"/>
    <tableColumn id="12" xr3:uid="{A3AB989C-448D-482A-9240-22274076D50C}" name="office_email" dataDxfId="2"/>
    <tableColumn id="13" xr3:uid="{FBB45CEE-92E9-4B00-8FD2-9FCC8927D866}" name="office_phone" dataDxfId="1"/>
    <tableColumn id="14" xr3:uid="{DC6C7318-CB4B-4192-8B22-06EE26ED88C3}" name="office_address" dataDxfId="0"/>
    <tableColumn id="15" xr3:uid="{6813B031-43C1-4205-AC60-12563CEB2594}" name="church_count"/>
    <tableColumn id="16" xr3:uid="{A9E795AA-D117-44CF-8E75-DE815CD5CCCD}" name="member_count"/>
    <tableColumn id="17" xr3:uid="{407B26D3-EAA1-435A-AE68-CD58B422A311}" name="elder_count"/>
    <tableColumn id="18" xr3:uid="{45E0A27A-D0AE-4CF1-ADA1-93F38AB3E0F9}" name="cmc_count"/>
    <tableColumn id="19" xr3:uid="{E65BCFBA-0E18-4F58-AD66-AB62893B5BEC}" nam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2"/>
  <sheetViews>
    <sheetView tabSelected="1" zoomScaleNormal="100" zoomScalePageLayoutView="145" workbookViewId="0"/>
  </sheetViews>
  <sheetFormatPr defaultColWidth="9.7109375" defaultRowHeight="9.9499999999999993" customHeight="1" x14ac:dyDescent="0.15"/>
  <cols>
    <col min="1" max="1" width="28.140625" style="1" customWidth="1"/>
    <col min="2" max="3" width="8.85546875" style="1" customWidth="1"/>
    <col min="4" max="4" width="8.85546875" style="30" customWidth="1"/>
    <col min="5" max="11" width="8.85546875" style="1" customWidth="1"/>
    <col min="12" max="16384" width="9.7109375" style="1"/>
  </cols>
  <sheetData>
    <row r="1" spans="1:12" ht="9.9499999999999993" customHeight="1" x14ac:dyDescent="0.2">
      <c r="A1" s="55" t="s">
        <v>603</v>
      </c>
      <c r="B1" s="54"/>
      <c r="C1" s="54"/>
      <c r="D1" s="54"/>
      <c r="E1" s="54"/>
      <c r="F1" s="54"/>
      <c r="G1" s="26"/>
      <c r="H1" s="26"/>
      <c r="I1" s="26"/>
      <c r="J1" s="26"/>
      <c r="K1" s="26"/>
    </row>
    <row r="2" spans="1:12" ht="9.9499999999999993" customHeight="1" x14ac:dyDescent="0.2">
      <c r="A2" s="27"/>
      <c r="B2" s="27"/>
      <c r="C2" s="27"/>
      <c r="D2" s="28"/>
      <c r="E2" s="27"/>
      <c r="F2" s="27"/>
      <c r="G2" s="27"/>
      <c r="H2" s="27"/>
      <c r="I2" s="27"/>
      <c r="J2" s="27"/>
      <c r="K2" s="27"/>
    </row>
    <row r="3" spans="1:12" ht="9.9499999999999993" customHeight="1" x14ac:dyDescent="0.15">
      <c r="A3" s="12" t="s">
        <v>0</v>
      </c>
      <c r="B3" s="25">
        <v>2024</v>
      </c>
      <c r="C3" s="25">
        <v>2023</v>
      </c>
      <c r="D3" s="25">
        <v>2022</v>
      </c>
      <c r="E3" s="25">
        <v>2021</v>
      </c>
      <c r="F3" s="25">
        <v>2020</v>
      </c>
      <c r="G3" s="25">
        <v>2019</v>
      </c>
      <c r="H3" s="9">
        <v>2018</v>
      </c>
      <c r="I3" s="9">
        <v>2017</v>
      </c>
      <c r="J3" s="9">
        <v>2016</v>
      </c>
      <c r="K3" s="22">
        <v>2015</v>
      </c>
    </row>
    <row r="4" spans="1:12" ht="9.9499999999999993" customHeight="1" x14ac:dyDescent="0.15">
      <c r="A4" s="19" t="s">
        <v>1</v>
      </c>
      <c r="B4" s="21"/>
      <c r="C4" s="21"/>
      <c r="D4" s="29"/>
      <c r="E4" s="21"/>
      <c r="F4" s="21"/>
      <c r="G4" s="21"/>
      <c r="H4" s="21"/>
      <c r="I4" s="21"/>
      <c r="J4" s="21"/>
      <c r="K4" s="61"/>
    </row>
    <row r="5" spans="1:12" ht="9.9499999999999993" customHeight="1" x14ac:dyDescent="0.2">
      <c r="A5" s="10" t="s">
        <v>527</v>
      </c>
      <c r="B5" s="38" cm="1">
        <f t="array" ref="B5">_xlfn.LET(
_xlpm.recent,(wc_reports_2024[n]=1),
_xlpm.members,(wc_reports_2024[member_count]),
_xlpm.name_match,(ISNUMBER(SEARCH(A5,wc_reports_2024[ministry_name]))),
_xlpm.result,SUM(_xlfn._xlws.FILTER(_xlpm.members,_xlpm.name_match*_xlpm.recent)),
IFERROR(_xlpm.result,C5)
)</f>
        <v>13523</v>
      </c>
      <c r="C5" s="38">
        <v>5914</v>
      </c>
      <c r="D5" s="38">
        <v>5847</v>
      </c>
      <c r="E5" s="38">
        <v>7702</v>
      </c>
      <c r="F5" s="38">
        <v>7702</v>
      </c>
      <c r="G5" s="38">
        <v>7702</v>
      </c>
      <c r="H5" s="38">
        <v>7347</v>
      </c>
      <c r="I5" s="39">
        <v>7347</v>
      </c>
      <c r="J5" s="39">
        <v>7359</v>
      </c>
      <c r="K5" s="39">
        <v>8123</v>
      </c>
    </row>
    <row r="6" spans="1:12" ht="9.9499999999999993" customHeight="1" x14ac:dyDescent="0.15">
      <c r="A6" s="11" t="s">
        <v>529</v>
      </c>
      <c r="B6" s="38" cm="1">
        <f t="array" ref="B6">_xlfn.LET(
_xlpm.recent,(wc_reports_2024[n]=1),
_xlpm.members,(wc_reports_2024[member_count]),
_xlpm.name_match,(ISNUMBER(SEARCH(A6,wc_reports_2024[ministry_name]))),
_xlpm.result,SUM(_xlfn._xlws.FILTER(_xlpm.members,_xlpm.name_match*_xlpm.recent)),
IFERROR(_xlpm.result,C6)
)</f>
        <v>267421</v>
      </c>
      <c r="C6" s="50">
        <v>326901</v>
      </c>
      <c r="D6" s="33">
        <v>240225</v>
      </c>
      <c r="E6" s="40">
        <v>233893</v>
      </c>
      <c r="F6" s="40">
        <v>195821</v>
      </c>
      <c r="G6" s="40">
        <v>178955</v>
      </c>
      <c r="H6" s="40">
        <v>179628</v>
      </c>
      <c r="I6" s="41">
        <v>176998</v>
      </c>
      <c r="J6" s="41">
        <v>163130</v>
      </c>
      <c r="K6" s="41">
        <v>101944</v>
      </c>
    </row>
    <row r="7" spans="1:12" ht="9.9499999999999993" customHeight="1" x14ac:dyDescent="0.15">
      <c r="A7" s="10" t="s">
        <v>2</v>
      </c>
      <c r="B7" s="38" cm="1">
        <f t="array" ref="B7">_xlfn.LET(
_xlpm.recent,(wc_reports_2024[n]=1),
_xlpm.members,(wc_reports_2024[member_count]),
_xlpm.name_match,(ISNUMBER(SEARCH(A7,wc_reports_2024[ministry_name]))),
_xlpm.result,SUM(_xlfn._xlws.FILTER(_xlpm.members,_xlpm.name_match*_xlpm.recent)),
IFERROR(_xlpm.result,C7)
)</f>
        <v>4777</v>
      </c>
      <c r="C7" s="15">
        <v>4801</v>
      </c>
      <c r="D7" s="34">
        <v>5042</v>
      </c>
      <c r="E7" s="38">
        <v>5017</v>
      </c>
      <c r="F7" s="38">
        <v>5102</v>
      </c>
      <c r="G7" s="38">
        <v>7133</v>
      </c>
      <c r="H7" s="38">
        <v>8773</v>
      </c>
      <c r="I7" s="39">
        <v>10794</v>
      </c>
      <c r="J7" s="39">
        <v>6389</v>
      </c>
      <c r="K7" s="39">
        <v>9417</v>
      </c>
    </row>
    <row r="8" spans="1:12" ht="9.9499999999999993" customHeight="1" x14ac:dyDescent="0.15">
      <c r="A8" s="10" t="s">
        <v>535</v>
      </c>
      <c r="B8" s="38" cm="1">
        <f t="array" ref="B8">_xlfn.LET(
_xlpm.recent,(wc_reports_2024[n]=1),
_xlpm.members,(wc_reports_2024[member_count]),
_xlpm.name_match,(ISNUMBER(SEARCH(A8,wc_reports_2024[ministry_name]))),
_xlpm.result,SUM(_xlfn._xlws.FILTER(_xlpm.members,_xlpm.name_match*_xlpm.recent)),
IFERROR(_xlpm.result,C8)
)</f>
        <v>118462</v>
      </c>
      <c r="C8" s="15">
        <v>121378</v>
      </c>
      <c r="D8" s="34">
        <v>121076</v>
      </c>
      <c r="E8" s="38">
        <v>119270</v>
      </c>
      <c r="F8" s="38">
        <v>122331</v>
      </c>
      <c r="G8" s="38">
        <v>119195</v>
      </c>
      <c r="H8" s="38">
        <v>119195</v>
      </c>
      <c r="I8" s="39">
        <v>110000</v>
      </c>
      <c r="J8" s="39">
        <v>130000</v>
      </c>
      <c r="K8" s="39">
        <v>135000</v>
      </c>
    </row>
    <row r="9" spans="1:12" ht="9.9499999999999993" customHeight="1" x14ac:dyDescent="0.15">
      <c r="A9" s="10" t="s">
        <v>537</v>
      </c>
      <c r="B9" s="38" cm="1">
        <f t="array" ref="B9">_xlfn.LET(
_xlpm.recent,(wc_reports_2024[n]=1),
_xlpm.members,(wc_reports_2024[member_count]),
_xlpm.name_match,(ISNUMBER(SEARCH(A9,wc_reports_2024[ministry_name]))),
_xlpm.result,SUM(_xlfn._xlws.FILTER(_xlpm.members,_xlpm.name_match*_xlpm.recent)),
IFERROR(_xlpm.result,C9)
)</f>
        <v>35214</v>
      </c>
      <c r="C9" s="15">
        <v>36107</v>
      </c>
      <c r="D9" s="34">
        <v>34403</v>
      </c>
      <c r="E9" s="38">
        <v>33323</v>
      </c>
      <c r="F9" s="38">
        <v>32747</v>
      </c>
      <c r="G9" s="38">
        <v>33307</v>
      </c>
      <c r="H9" s="38">
        <v>29040</v>
      </c>
      <c r="I9" s="39">
        <v>28887</v>
      </c>
      <c r="J9" s="39">
        <v>28387</v>
      </c>
      <c r="K9" s="39">
        <v>27853</v>
      </c>
      <c r="L9" s="4"/>
    </row>
    <row r="10" spans="1:12" ht="9.9499999999999993" customHeight="1" x14ac:dyDescent="0.15">
      <c r="A10" s="11" t="s">
        <v>540</v>
      </c>
      <c r="B10" s="38" cm="1">
        <f t="array" ref="B10">_xlfn.LET(
_xlpm.recent,(wc_reports_2024[n]=1),
_xlpm.members,(wc_reports_2024[member_count]),
_xlpm.name_match,(ISNUMBER(SEARCH(A10,wc_reports_2024[ministry_name]))),
_xlpm.result,SUM(_xlfn._xlws.FILTER(_xlpm.members,_xlpm.name_match*_xlpm.recent)),
IFERROR(_xlpm.result,C10)
)</f>
        <v>25000</v>
      </c>
      <c r="C10" s="50">
        <v>30000</v>
      </c>
      <c r="D10" s="33">
        <v>30000</v>
      </c>
      <c r="E10" s="40">
        <v>30000</v>
      </c>
      <c r="F10" s="40">
        <v>30000</v>
      </c>
      <c r="G10" s="40">
        <v>30000</v>
      </c>
      <c r="H10" s="40">
        <v>30000</v>
      </c>
      <c r="I10" s="41">
        <v>30000</v>
      </c>
      <c r="J10" s="41">
        <v>30500</v>
      </c>
      <c r="K10" s="41">
        <v>30500</v>
      </c>
    </row>
    <row r="11" spans="1:12" ht="9.9499999999999993" customHeight="1" x14ac:dyDescent="0.15">
      <c r="A11" s="10" t="s">
        <v>600</v>
      </c>
      <c r="B11" s="38" cm="1">
        <f t="array" ref="B11">_xlfn.LET(
_xlpm.recent,(wc_reports_2024[n]=1),
_xlpm.members,(wc_reports_2024[member_count]),
_xlpm.name_match,(ISNUMBER(SEARCH(A11,wc_reports_2024[ministry_name]))),
_xlpm.result,SUM(_xlfn._xlws.FILTER(_xlpm.members,_xlpm.name_match*_xlpm.recent)),
IFERROR(_xlpm.result,C11)
)</f>
        <v>28390</v>
      </c>
      <c r="C11" s="15">
        <v>28390</v>
      </c>
      <c r="D11" s="34">
        <v>28390</v>
      </c>
      <c r="E11" s="38">
        <v>28390</v>
      </c>
      <c r="F11" s="38">
        <v>28390</v>
      </c>
      <c r="G11" s="38">
        <v>33771</v>
      </c>
      <c r="H11" s="38">
        <v>33771</v>
      </c>
      <c r="I11" s="39">
        <v>44602</v>
      </c>
      <c r="J11" s="39">
        <v>35715</v>
      </c>
      <c r="K11" s="39">
        <v>33395</v>
      </c>
    </row>
    <row r="12" spans="1:12" ht="9.9499999999999993" customHeight="1" x14ac:dyDescent="0.15">
      <c r="A12" s="10" t="s">
        <v>599</v>
      </c>
      <c r="B12" s="38" cm="1">
        <f t="array" ref="B12">_xlfn.LET(
_xlpm.recent,(wc_reports_2024[n]=1),
_xlpm.members,(wc_reports_2024[member_count]),
_xlpm.name_match,(ISNUMBER(SEARCH(A12,wc_reports_2024[ministry_name]))),
_xlpm.result,SUM(_xlfn._xlws.FILTER(_xlpm.members,_xlpm.name_match*_xlpm.recent)),
IFERROR(_xlpm.result,C12)
)</f>
        <v>189555</v>
      </c>
      <c r="C12" s="15">
        <v>199278</v>
      </c>
      <c r="D12" s="34">
        <v>183653</v>
      </c>
      <c r="E12" s="38">
        <v>206075</v>
      </c>
      <c r="F12" s="38">
        <v>220473</v>
      </c>
      <c r="G12" s="38">
        <v>213736</v>
      </c>
      <c r="H12" s="38">
        <v>186522</v>
      </c>
      <c r="I12" s="39">
        <v>227100</v>
      </c>
      <c r="J12" s="39">
        <v>223049</v>
      </c>
      <c r="K12" s="39">
        <v>200940</v>
      </c>
    </row>
    <row r="13" spans="1:12" ht="9.9499999999999993" customHeight="1" x14ac:dyDescent="0.15">
      <c r="A13" s="10" t="s">
        <v>545</v>
      </c>
      <c r="B13" s="38" cm="1">
        <f t="array" ref="B13">_xlfn.LET(
_xlpm.recent,(wc_reports_2024[n]=1),
_xlpm.members,(wc_reports_2024[member_count]),
_xlpm.name_match,(ISNUMBER(SEARCH(A13,wc_reports_2024[ministry_name]))),
_xlpm.result,SUM(_xlfn._xlws.FILTER(_xlpm.members,_xlpm.name_match*_xlpm.recent)),
IFERROR(_xlpm.result,C13)
)</f>
        <v>1653</v>
      </c>
      <c r="C13" s="15">
        <v>1753</v>
      </c>
      <c r="D13" s="34">
        <v>1758</v>
      </c>
      <c r="E13" s="38">
        <v>1728</v>
      </c>
      <c r="F13" s="38">
        <v>1782</v>
      </c>
      <c r="G13" s="38">
        <v>1815</v>
      </c>
      <c r="H13" s="38">
        <v>1817</v>
      </c>
      <c r="I13" s="39">
        <v>1874</v>
      </c>
      <c r="J13" s="39">
        <v>2128</v>
      </c>
      <c r="K13" s="39">
        <v>2128</v>
      </c>
      <c r="L13" s="2"/>
    </row>
    <row r="14" spans="1:12" ht="9.9499999999999993" customHeight="1" x14ac:dyDescent="0.15">
      <c r="A14" s="10" t="s">
        <v>546</v>
      </c>
      <c r="B14" s="38" cm="1">
        <f t="array" ref="B14">_xlfn.LET(
_xlpm.recent,(wc_reports_2024[n]=1),
_xlpm.members,(wc_reports_2024[member_count]),
_xlpm.name_match,(ISNUMBER(SEARCH(A14,wc_reports_2024[ministry_name]))),
_xlpm.result,SUM(_xlfn._xlws.FILTER(_xlpm.members,_xlpm.name_match*_xlpm.recent)),
IFERROR(_xlpm.result,C14)
)</f>
        <v>7014</v>
      </c>
      <c r="C14" s="15">
        <v>5770</v>
      </c>
      <c r="D14" s="34">
        <v>5571</v>
      </c>
      <c r="E14" s="38">
        <v>6262</v>
      </c>
      <c r="F14" s="38">
        <v>6262</v>
      </c>
      <c r="G14" s="38"/>
      <c r="H14" s="38"/>
      <c r="I14" s="39"/>
      <c r="J14" s="39"/>
      <c r="K14" s="39"/>
      <c r="L14" s="2"/>
    </row>
    <row r="15" spans="1:12" ht="9.9499999999999993" customHeight="1" x14ac:dyDescent="0.15">
      <c r="A15" s="10" t="s">
        <v>547</v>
      </c>
      <c r="B15" s="38" cm="1">
        <f t="array" ref="B15">_xlfn.LET(
_xlpm.recent,(wc_reports_2024[n]=1),
_xlpm.members,(wc_reports_2024[member_count]),
_xlpm.name_match,(ISNUMBER(SEARCH(A15,wc_reports_2024[ministry_name]))),
_xlpm.result,SUM(_xlfn._xlws.FILTER(_xlpm.members,_xlpm.name_match*_xlpm.recent)),
IFERROR(_xlpm.result,C15)
)</f>
        <v>19720</v>
      </c>
      <c r="C15" s="15">
        <v>19519</v>
      </c>
      <c r="D15" s="34">
        <v>20721</v>
      </c>
      <c r="E15" s="38">
        <v>19070</v>
      </c>
      <c r="F15" s="38">
        <v>20402</v>
      </c>
      <c r="G15" s="38">
        <v>19564</v>
      </c>
      <c r="H15" s="38">
        <v>17251</v>
      </c>
      <c r="I15" s="39">
        <v>11090</v>
      </c>
      <c r="J15" s="39">
        <v>11090</v>
      </c>
      <c r="K15" s="39">
        <v>11090</v>
      </c>
    </row>
    <row r="16" spans="1:12" ht="9.9499999999999993" customHeight="1" x14ac:dyDescent="0.15">
      <c r="A16" s="10" t="s">
        <v>549</v>
      </c>
      <c r="B16" s="38" cm="1">
        <f t="array" ref="B16">_xlfn.LET(
_xlpm.recent,(wc_reports_2024[n]=1),
_xlpm.members,(wc_reports_2024[member_count]),
_xlpm.name_match,(ISNUMBER(SEARCH(A16,wc_reports_2024[ministry_name]))),
_xlpm.result,SUM(_xlfn._xlws.FILTER(_xlpm.members,_xlpm.name_match*_xlpm.recent)),
IFERROR(_xlpm.result,C16)
)</f>
        <v>39390</v>
      </c>
      <c r="C16" s="15">
        <v>36290</v>
      </c>
      <c r="D16" s="34">
        <v>36764</v>
      </c>
      <c r="E16" s="38">
        <v>34660</v>
      </c>
      <c r="F16" s="38">
        <v>34569</v>
      </c>
      <c r="G16" s="38">
        <v>32531</v>
      </c>
      <c r="H16" s="38">
        <v>32531</v>
      </c>
      <c r="I16" s="39">
        <v>30226</v>
      </c>
      <c r="J16" s="39">
        <v>28009</v>
      </c>
      <c r="K16" s="39">
        <v>28043</v>
      </c>
      <c r="L16" s="2"/>
    </row>
    <row r="17" spans="1:12" ht="9.9499999999999993" customHeight="1" x14ac:dyDescent="0.15">
      <c r="A17" s="10" t="s">
        <v>3</v>
      </c>
      <c r="B17" s="38" cm="1">
        <f t="array" ref="B17">_xlfn.LET(
_xlpm.recent,(wc_reports_2024[n]=1),
_xlpm.members,(wc_reports_2024[member_count]),
_xlpm.name_match,(ISNUMBER(SEARCH(A17,wc_reports_2024[ministry_name]))),
_xlpm.result,SUM(_xlfn._xlws.FILTER(_xlpm.members,_xlpm.name_match*_xlpm.recent)),
IFERROR(_xlpm.result,C17)
)</f>
        <v>520728</v>
      </c>
      <c r="C17" s="15">
        <v>520728</v>
      </c>
      <c r="D17" s="34">
        <v>520728</v>
      </c>
      <c r="E17" s="38">
        <v>520728</v>
      </c>
      <c r="F17" s="38">
        <v>170728</v>
      </c>
      <c r="G17" s="38">
        <v>142962</v>
      </c>
      <c r="H17" s="38">
        <v>136517</v>
      </c>
      <c r="I17" s="39">
        <v>128733</v>
      </c>
      <c r="J17" s="39">
        <v>121046</v>
      </c>
      <c r="K17" s="39">
        <v>116248</v>
      </c>
    </row>
    <row r="18" spans="1:12" ht="9.9499999999999993" customHeight="1" x14ac:dyDescent="0.15">
      <c r="A18" s="10" t="s">
        <v>553</v>
      </c>
      <c r="B18" s="38" cm="1">
        <f t="array" ref="B18">_xlfn.LET(
_xlpm.recent,(wc_reports_2024[n]=1),
_xlpm.members,(wc_reports_2024[member_count]),
_xlpm.name_match,(ISNUMBER(SEARCH(A18,wc_reports_2024[ministry_name]))),
_xlpm.result,SUM(_xlfn._xlws.FILTER(_xlpm.members,_xlpm.name_match*_xlpm.recent)),
IFERROR(_xlpm.result,C18)
)</f>
        <v>32175</v>
      </c>
      <c r="C18" s="15">
        <v>32321</v>
      </c>
      <c r="D18" s="34">
        <v>32321</v>
      </c>
      <c r="E18" s="38">
        <v>25739</v>
      </c>
      <c r="F18" s="38">
        <v>21321</v>
      </c>
      <c r="G18" s="38">
        <v>18500</v>
      </c>
      <c r="H18" s="38">
        <v>14950</v>
      </c>
      <c r="I18" s="39">
        <v>3190</v>
      </c>
      <c r="J18" s="39">
        <v>4096</v>
      </c>
      <c r="K18" s="39">
        <v>983</v>
      </c>
    </row>
    <row r="19" spans="1:12" ht="9.9499999999999993" customHeight="1" x14ac:dyDescent="0.15">
      <c r="A19" s="10" t="s">
        <v>556</v>
      </c>
      <c r="B19" s="38" cm="1">
        <f t="array" ref="B19">_xlfn.LET(
_xlpm.recent,(wc_reports_2024[n]=1),
_xlpm.members,(wc_reports_2024[member_count]),
_xlpm.name_match,(ISNUMBER(SEARCH(A19,wc_reports_2024[ministry_name]))),
_xlpm.result,SUM(_xlfn._xlws.FILTER(_xlpm.members,_xlpm.name_match*_xlpm.recent)),
IFERROR(_xlpm.result,C19)
)</f>
        <v>10500</v>
      </c>
      <c r="C19" s="15">
        <v>7691</v>
      </c>
      <c r="D19" s="34">
        <v>5855</v>
      </c>
      <c r="E19" s="38">
        <v>5911</v>
      </c>
      <c r="F19" s="38">
        <v>5608</v>
      </c>
      <c r="G19" s="38"/>
      <c r="H19" s="38">
        <v>345</v>
      </c>
      <c r="I19" s="39">
        <v>686</v>
      </c>
      <c r="J19" s="39">
        <v>686</v>
      </c>
      <c r="K19" s="39">
        <v>642</v>
      </c>
    </row>
    <row r="20" spans="1:12" ht="9.9499999999999993" customHeight="1" x14ac:dyDescent="0.15">
      <c r="A20" s="18" t="s">
        <v>558</v>
      </c>
      <c r="B20" s="38" cm="1">
        <f t="array" ref="B20">_xlfn.LET(
_xlpm.recent,(wc_reports_2024[n]=1),
_xlpm.members,(wc_reports_2024[member_count]),
_xlpm.name_match,(ISNUMBER(SEARCH(A20,wc_reports_2024[ministry_name]))),
_xlpm.result,SUM(_xlfn._xlws.FILTER(_xlpm.members,_xlpm.name_match*_xlpm.recent)),
IFERROR(_xlpm.result,C20)
)</f>
        <v>65759</v>
      </c>
      <c r="C20" s="51">
        <v>66182</v>
      </c>
      <c r="D20" s="35">
        <v>65162</v>
      </c>
      <c r="E20" s="43">
        <v>64863</v>
      </c>
      <c r="F20" s="43">
        <v>66993</v>
      </c>
      <c r="G20" s="43">
        <v>66163</v>
      </c>
      <c r="H20" s="43">
        <v>68356</v>
      </c>
      <c r="I20" s="42">
        <v>68440</v>
      </c>
      <c r="J20" s="42">
        <v>66274</v>
      </c>
      <c r="K20" s="42">
        <v>69302</v>
      </c>
    </row>
    <row r="21" spans="1:12" ht="9.9499999999999993" customHeight="1" x14ac:dyDescent="0.15">
      <c r="A21" s="18" t="s">
        <v>561</v>
      </c>
      <c r="B21" s="38" cm="1">
        <f t="array" ref="B21">_xlfn.LET(
_xlpm.recent,(wc_reports_2024[n]=1),
_xlpm.members,(wc_reports_2024[member_count]),
_xlpm.name_match,(ISNUMBER(SEARCH(A21,wc_reports_2024[ministry_name]))),
_xlpm.result,SUM(_xlfn._xlws.FILTER(_xlpm.members,_xlpm.name_match*_xlpm.recent)),
IFERROR(_xlpm.result,C21)
)</f>
        <v>4524</v>
      </c>
      <c r="C21" s="51">
        <v>4334</v>
      </c>
      <c r="D21" s="35">
        <v>4334</v>
      </c>
      <c r="E21" s="43"/>
      <c r="F21" s="43"/>
      <c r="G21" s="43">
        <v>3989</v>
      </c>
      <c r="H21" s="43">
        <v>3968</v>
      </c>
      <c r="I21" s="42">
        <v>3190</v>
      </c>
      <c r="J21" s="42">
        <v>597</v>
      </c>
      <c r="K21" s="42">
        <v>597</v>
      </c>
    </row>
    <row r="22" spans="1:12" s="4" customFormat="1" ht="9.9499999999999993" customHeight="1" x14ac:dyDescent="0.15">
      <c r="A22" s="10" t="s">
        <v>4</v>
      </c>
      <c r="B22" s="38" cm="1">
        <f t="array" ref="B22">_xlfn.LET(
_xlpm.recent,(wc_reports_2024[n]=1),
_xlpm.members,(wc_reports_2024[member_count]),
_xlpm.name_match,(ISNUMBER(SEARCH(A22,wc_reports_2024[ministry_name]))),
_xlpm.result,SUM(_xlfn._xlws.FILTER(_xlpm.members,_xlpm.name_match*_xlpm.recent)),
IFERROR(_xlpm.result,C22)
)</f>
        <v>2036</v>
      </c>
      <c r="C22" s="15">
        <v>2036</v>
      </c>
      <c r="D22" s="34">
        <v>2036</v>
      </c>
      <c r="E22" s="38">
        <v>2036</v>
      </c>
      <c r="F22" s="38">
        <v>2036</v>
      </c>
      <c r="G22" s="38">
        <v>2036</v>
      </c>
      <c r="H22" s="38">
        <v>2036</v>
      </c>
      <c r="I22" s="39">
        <v>2036</v>
      </c>
      <c r="J22" s="39">
        <v>2036</v>
      </c>
      <c r="K22" s="39">
        <v>3179</v>
      </c>
    </row>
    <row r="23" spans="1:12" ht="9.9499999999999993" customHeight="1" x14ac:dyDescent="0.2">
      <c r="A23" s="12" t="s">
        <v>5</v>
      </c>
      <c r="B23" s="13">
        <f>SUM(B5:B22)</f>
        <v>1385841</v>
      </c>
      <c r="C23" s="13">
        <f t="shared" ref="C23:K23" si="0">SUM(C5:C22)</f>
        <v>1449393</v>
      </c>
      <c r="D23" s="13">
        <f t="shared" si="0"/>
        <v>1343886</v>
      </c>
      <c r="E23" s="13">
        <f t="shared" si="0"/>
        <v>1344667</v>
      </c>
      <c r="F23" s="13">
        <f t="shared" si="0"/>
        <v>972267</v>
      </c>
      <c r="G23" s="13">
        <f t="shared" si="0"/>
        <v>911359</v>
      </c>
      <c r="H23" s="13">
        <f t="shared" si="0"/>
        <v>872047</v>
      </c>
      <c r="I23" s="13">
        <f t="shared" si="0"/>
        <v>885193</v>
      </c>
      <c r="J23" s="13">
        <f t="shared" si="0"/>
        <v>860491</v>
      </c>
      <c r="K23" s="13">
        <f t="shared" si="0"/>
        <v>779384</v>
      </c>
    </row>
    <row r="24" spans="1:12" ht="9.9499999999999993" customHeight="1" x14ac:dyDescent="0.15">
      <c r="A24" s="19" t="s">
        <v>6</v>
      </c>
      <c r="B24" s="21"/>
      <c r="C24" s="52"/>
      <c r="D24" s="36"/>
      <c r="E24" s="46"/>
      <c r="F24" s="46"/>
      <c r="G24" s="46"/>
      <c r="H24" s="46"/>
      <c r="I24" s="48"/>
      <c r="J24" s="48"/>
      <c r="K24" s="60"/>
    </row>
    <row r="25" spans="1:12" ht="9.9499999999999993" customHeight="1" x14ac:dyDescent="0.15">
      <c r="A25" s="18" t="s">
        <v>596</v>
      </c>
      <c r="B25" s="38">
        <v>3945</v>
      </c>
      <c r="C25" s="13"/>
      <c r="D25" s="35"/>
      <c r="E25" s="43"/>
      <c r="F25" s="43"/>
      <c r="G25" s="43">
        <v>6262</v>
      </c>
      <c r="H25" s="43">
        <v>5092</v>
      </c>
      <c r="I25" s="42">
        <v>5319</v>
      </c>
      <c r="J25" s="42">
        <v>7853</v>
      </c>
      <c r="K25" s="42">
        <v>3624</v>
      </c>
    </row>
    <row r="26" spans="1:12" ht="9.9499999999999993" customHeight="1" x14ac:dyDescent="0.2">
      <c r="A26" s="12" t="s">
        <v>7</v>
      </c>
      <c r="B26" s="13">
        <f>B25</f>
        <v>3945</v>
      </c>
      <c r="C26" s="13">
        <f t="shared" ref="C26:K26" si="1">SUM(C25:C25)</f>
        <v>0</v>
      </c>
      <c r="D26" s="13">
        <f t="shared" si="1"/>
        <v>0</v>
      </c>
      <c r="E26" s="13">
        <f t="shared" si="1"/>
        <v>0</v>
      </c>
      <c r="F26" s="13">
        <f t="shared" si="1"/>
        <v>0</v>
      </c>
      <c r="G26" s="13">
        <f t="shared" si="1"/>
        <v>6262</v>
      </c>
      <c r="H26" s="13">
        <f t="shared" si="1"/>
        <v>5092</v>
      </c>
      <c r="I26" s="13">
        <f t="shared" si="1"/>
        <v>5319</v>
      </c>
      <c r="J26" s="13">
        <f t="shared" si="1"/>
        <v>7853</v>
      </c>
      <c r="K26" s="13">
        <f t="shared" si="1"/>
        <v>3624</v>
      </c>
    </row>
    <row r="27" spans="1:12" ht="9.9499999999999993" customHeight="1" x14ac:dyDescent="0.15">
      <c r="A27" s="19" t="s">
        <v>8</v>
      </c>
      <c r="B27" s="21"/>
      <c r="C27" s="52"/>
      <c r="D27" s="36"/>
      <c r="E27" s="46"/>
      <c r="F27" s="46"/>
      <c r="G27" s="46"/>
      <c r="H27" s="46"/>
      <c r="I27" s="48"/>
      <c r="J27" s="48"/>
      <c r="K27" s="60"/>
    </row>
    <row r="28" spans="1:12" ht="9.9499999999999993" customHeight="1" x14ac:dyDescent="0.15">
      <c r="A28" s="10" t="s">
        <v>477</v>
      </c>
      <c r="B28" s="38" cm="1">
        <f t="array" ref="B28">_xlfn.LET(
_xlpm.recent,(wc_reports_2024[n]=1),
_xlpm.members,(wc_reports_2024[member_count]),
_xlpm.name_match,(ISNUMBER(SEARCH(A28,wc_reports_2024[ministry_name]))),
_xlpm.result,SUM(_xlfn._xlws.FILTER(_xlpm.members,_xlpm.name_match*_xlpm.recent)),
IFERROR(_xlpm.result,C28)
)</f>
        <v>1318</v>
      </c>
      <c r="C28" s="15">
        <v>1356</v>
      </c>
      <c r="D28" s="34">
        <v>1229</v>
      </c>
      <c r="E28" s="38">
        <v>1204</v>
      </c>
      <c r="F28" s="38">
        <v>1217</v>
      </c>
      <c r="G28" s="38">
        <v>934</v>
      </c>
      <c r="H28" s="38">
        <v>1230</v>
      </c>
      <c r="I28" s="39">
        <v>1476</v>
      </c>
      <c r="J28" s="39">
        <v>536</v>
      </c>
      <c r="K28" s="39">
        <v>652</v>
      </c>
    </row>
    <row r="29" spans="1:12" ht="9.9499999999999993" customHeight="1" x14ac:dyDescent="0.15">
      <c r="A29" s="10" t="s">
        <v>479</v>
      </c>
      <c r="B29" s="38" cm="1">
        <f t="array" ref="B29">_xlfn.LET(
_xlpm.recent,(wc_reports_2024[n]=1),
_xlpm.members,(wc_reports_2024[member_count]),
_xlpm.name_match,(ISNUMBER(SEARCH(A29,wc_reports_2024[ministry_name]))),
_xlpm.result,SUM(_xlfn._xlws.FILTER(_xlpm.members,_xlpm.name_match*_xlpm.recent)),
IFERROR(_xlpm.result,C29)
)</f>
        <v>2022</v>
      </c>
      <c r="C29" s="15">
        <v>2025</v>
      </c>
      <c r="D29" s="34">
        <v>1980</v>
      </c>
      <c r="E29" s="38">
        <v>1898</v>
      </c>
      <c r="F29" s="38">
        <v>1892</v>
      </c>
      <c r="G29" s="38">
        <v>1839</v>
      </c>
      <c r="H29" s="38">
        <v>1891</v>
      </c>
      <c r="I29" s="39">
        <v>1802</v>
      </c>
      <c r="J29" s="39">
        <v>1627</v>
      </c>
      <c r="K29" s="39">
        <v>1471</v>
      </c>
    </row>
    <row r="30" spans="1:12" ht="9.9499999999999993" customHeight="1" x14ac:dyDescent="0.15">
      <c r="A30" s="10" t="s">
        <v>482</v>
      </c>
      <c r="B30" s="38" cm="1">
        <f t="array" ref="B30">_xlfn.LET(
_xlpm.recent,(wc_reports_2024[n]=1),
_xlpm.members,(wc_reports_2024[member_count]),
_xlpm.name_match,(ISNUMBER(SEARCH(A30,wc_reports_2024[ministry_name]))),
_xlpm.result,SUM(_xlfn._xlws.FILTER(_xlpm.members,_xlpm.name_match*_xlpm.recent)),
IFERROR(_xlpm.result,C30)
)</f>
        <v>100000</v>
      </c>
      <c r="C30" s="15">
        <v>68000</v>
      </c>
      <c r="D30" s="34">
        <v>39724</v>
      </c>
      <c r="E30" s="38">
        <v>79441</v>
      </c>
      <c r="F30" s="38">
        <v>85146</v>
      </c>
      <c r="G30" s="38">
        <v>38137</v>
      </c>
      <c r="H30" s="38">
        <v>200000</v>
      </c>
      <c r="I30" s="39">
        <v>200000</v>
      </c>
      <c r="J30" s="39">
        <v>200000</v>
      </c>
      <c r="K30" s="39">
        <v>200000</v>
      </c>
    </row>
    <row r="31" spans="1:12" ht="9.9499999999999993" customHeight="1" x14ac:dyDescent="0.15">
      <c r="A31" s="10" t="s">
        <v>483</v>
      </c>
      <c r="B31" s="38" cm="1">
        <f t="array" ref="B31">_xlfn.LET(
_xlpm.recent,(wc_reports_2024[n]=1),
_xlpm.members,(wc_reports_2024[member_count]),
_xlpm.name_match,(ISNUMBER(SEARCH(A31,wc_reports_2024[ministry_name]))),
_xlpm.result,SUM(_xlfn._xlws.FILTER(_xlpm.members,_xlpm.name_match*_xlpm.recent)),
IFERROR(_xlpm.result,C31)
)</f>
        <v>3124</v>
      </c>
      <c r="C31" s="15">
        <v>2933</v>
      </c>
      <c r="D31" s="34">
        <v>2923</v>
      </c>
      <c r="E31" s="38">
        <v>4256</v>
      </c>
      <c r="F31" s="38">
        <v>2909</v>
      </c>
      <c r="G31" s="38">
        <v>1843</v>
      </c>
      <c r="H31" s="38">
        <v>2847</v>
      </c>
      <c r="I31" s="39">
        <v>1338</v>
      </c>
      <c r="J31" s="39">
        <v>2770</v>
      </c>
      <c r="K31" s="39">
        <v>1276</v>
      </c>
      <c r="L31" s="2"/>
    </row>
    <row r="32" spans="1:12" ht="9.9499999999999993" customHeight="1" x14ac:dyDescent="0.15">
      <c r="A32" s="10" t="s">
        <v>484</v>
      </c>
      <c r="B32" s="38" cm="1">
        <f t="array" ref="B32">_xlfn.LET(
_xlpm.recent,(wc_reports_2024[n]=1),
_xlpm.members,(wc_reports_2024[member_count]),
_xlpm.name_match,(ISNUMBER(SEARCH(A32,wc_reports_2024[ministry_name]))),
_xlpm.result,SUM(_xlfn._xlws.FILTER(_xlpm.members,_xlpm.name_match*_xlpm.recent)),
IFERROR(_xlpm.result,C32)
)</f>
        <v>2503</v>
      </c>
      <c r="C32" s="15">
        <v>2004</v>
      </c>
      <c r="D32" s="34">
        <v>1608</v>
      </c>
      <c r="E32" s="38">
        <v>1277</v>
      </c>
      <c r="F32" s="38">
        <v>1277</v>
      </c>
      <c r="G32" s="38">
        <v>1310</v>
      </c>
      <c r="H32" s="38">
        <v>1189</v>
      </c>
      <c r="I32" s="39">
        <v>1117</v>
      </c>
      <c r="J32" s="39">
        <v>1036</v>
      </c>
      <c r="K32" s="39">
        <v>1037</v>
      </c>
      <c r="L32" s="2"/>
    </row>
    <row r="33" spans="1:12" ht="9.9499999999999993" customHeight="1" x14ac:dyDescent="0.15">
      <c r="A33" s="10" t="s">
        <v>485</v>
      </c>
      <c r="B33" s="38" cm="1">
        <f t="array" ref="B33">_xlfn.LET(
_xlpm.recent,(wc_reports_2024[n]=1),
_xlpm.members,(wc_reports_2024[member_count]),
_xlpm.name_match,(ISNUMBER(SEARCH(A33,wc_reports_2024[ministry_name]))),
_xlpm.result,SUM(_xlfn._xlws.FILTER(_xlpm.members,_xlpm.name_match*_xlpm.recent)),
IFERROR(_xlpm.result,C33)
)</f>
        <v>18500</v>
      </c>
      <c r="C33" s="15">
        <v>17000</v>
      </c>
      <c r="D33" s="34">
        <v>15018</v>
      </c>
      <c r="E33" s="38">
        <v>15000</v>
      </c>
      <c r="F33" s="38">
        <v>15021</v>
      </c>
      <c r="G33" s="38">
        <v>15021</v>
      </c>
      <c r="H33" s="38">
        <v>17501</v>
      </c>
      <c r="I33" s="39">
        <v>11560</v>
      </c>
      <c r="J33" s="39">
        <v>3000</v>
      </c>
      <c r="K33" s="39">
        <v>1921</v>
      </c>
      <c r="L33" s="2"/>
    </row>
    <row r="34" spans="1:12" ht="9.9499999999999993" customHeight="1" x14ac:dyDescent="0.15">
      <c r="A34" s="10" t="s">
        <v>486</v>
      </c>
      <c r="B34" s="38" cm="1">
        <f t="array" ref="B34">_xlfn.LET(
_xlpm.recent,(wc_reports_2024[n]=1),
_xlpm.members,(wc_reports_2024[member_count]),
_xlpm.name_match,(ISNUMBER(SEARCH(A34,wc_reports_2024[ministry_name]))),
_xlpm.result,SUM(_xlfn._xlws.FILTER(_xlpm.members,_xlpm.name_match*_xlpm.recent)),
IFERROR(_xlpm.result,C34)
)</f>
        <v>2100</v>
      </c>
      <c r="C34" s="15">
        <v>1895</v>
      </c>
      <c r="D34" s="34">
        <v>1613</v>
      </c>
      <c r="E34" s="38">
        <v>1273</v>
      </c>
      <c r="F34" s="38">
        <v>1664</v>
      </c>
      <c r="G34" s="38">
        <v>1571</v>
      </c>
      <c r="H34" s="38">
        <v>1252</v>
      </c>
      <c r="I34" s="39">
        <v>1100</v>
      </c>
      <c r="J34" s="39">
        <v>2428</v>
      </c>
      <c r="K34" s="39">
        <v>50</v>
      </c>
      <c r="L34" s="2"/>
    </row>
    <row r="35" spans="1:12" ht="9.9499999999999993" customHeight="1" x14ac:dyDescent="0.15">
      <c r="A35" s="10" t="s">
        <v>487</v>
      </c>
      <c r="B35" s="38" cm="1">
        <f t="array" ref="B35">_xlfn.LET(
_xlpm.recent,(wc_reports_2024[n]=1),
_xlpm.members,(wc_reports_2024[member_count]),
_xlpm.name_match,(ISNUMBER(SEARCH(A35,wc_reports_2024[ministry_name]))),
_xlpm.result,SUM(_xlfn._xlws.FILTER(_xlpm.members,_xlpm.name_match*_xlpm.recent)),
IFERROR(_xlpm.result,C35)
)</f>
        <v>3860</v>
      </c>
      <c r="C35" s="15">
        <v>5115</v>
      </c>
      <c r="D35" s="34">
        <v>5102</v>
      </c>
      <c r="E35" s="38">
        <v>2950</v>
      </c>
      <c r="F35" s="38">
        <v>2419</v>
      </c>
      <c r="G35" s="38">
        <v>2399</v>
      </c>
      <c r="H35" s="38">
        <v>2455</v>
      </c>
      <c r="I35" s="39">
        <v>2665</v>
      </c>
      <c r="J35" s="39">
        <v>2428</v>
      </c>
      <c r="K35" s="39">
        <v>2428</v>
      </c>
    </row>
    <row r="36" spans="1:12" ht="9.9499999999999993" customHeight="1" x14ac:dyDescent="0.15">
      <c r="A36" s="10" t="s">
        <v>601</v>
      </c>
      <c r="B36" s="38" cm="1">
        <f t="array" ref="B36">_xlfn.LET(
_xlpm.recent,(wc_reports_2024[n]=1),
_xlpm.members,(wc_reports_2024[member_count]),
_xlpm.name_match,(ISNUMBER(SEARCH(A36,wc_reports_2024[ministry_name]))),
_xlpm.result,SUM(_xlfn._xlws.FILTER(_xlpm.members,_xlpm.name_match*_xlpm.recent)),
IFERROR(_xlpm.result,C36)
)</f>
        <v>11590</v>
      </c>
      <c r="C36" s="15">
        <v>11590</v>
      </c>
      <c r="D36" s="34">
        <v>8444</v>
      </c>
      <c r="E36" s="38">
        <v>8444</v>
      </c>
      <c r="F36" s="38">
        <v>8444</v>
      </c>
      <c r="G36" s="38">
        <v>8444</v>
      </c>
      <c r="H36" s="38">
        <v>8444</v>
      </c>
      <c r="I36" s="39">
        <v>8513</v>
      </c>
      <c r="J36" s="39">
        <v>8428</v>
      </c>
      <c r="K36" s="39">
        <v>8428</v>
      </c>
    </row>
    <row r="37" spans="1:12" ht="9.9499999999999993" customHeight="1" x14ac:dyDescent="0.15">
      <c r="A37" s="10" t="s">
        <v>631</v>
      </c>
      <c r="B37" s="15">
        <v>12527</v>
      </c>
      <c r="C37" s="15">
        <v>12527</v>
      </c>
      <c r="D37" s="34">
        <v>13970</v>
      </c>
      <c r="E37" s="38">
        <v>13970</v>
      </c>
      <c r="F37" s="38">
        <v>13970</v>
      </c>
      <c r="G37" s="38">
        <v>16772</v>
      </c>
      <c r="H37" s="38">
        <v>5697</v>
      </c>
      <c r="I37" s="39">
        <v>13458</v>
      </c>
      <c r="J37" s="39">
        <v>10570</v>
      </c>
      <c r="K37" s="39">
        <v>16398</v>
      </c>
    </row>
    <row r="38" spans="1:12" ht="9.9499999999999993" customHeight="1" x14ac:dyDescent="0.15">
      <c r="A38" s="10" t="s">
        <v>493</v>
      </c>
      <c r="B38" s="38" cm="1">
        <f t="array" ref="B38">_xlfn.LET(
_xlpm.recent,(wc_reports_2024[n]=1),
_xlpm.members,(wc_reports_2024[member_count]),
_xlpm.name_match,(ISNUMBER(SEARCH(A38,wc_reports_2024[ministry_name]))),
_xlpm.result,SUM(_xlfn._xlws.FILTER(_xlpm.members,_xlpm.name_match*_xlpm.recent)),
IFERROR(_xlpm.result,C38)
)</f>
        <v>650</v>
      </c>
      <c r="C38" s="15">
        <v>628</v>
      </c>
      <c r="D38" s="34">
        <v>628</v>
      </c>
      <c r="E38" s="38">
        <v>614</v>
      </c>
      <c r="F38" s="38">
        <v>614</v>
      </c>
      <c r="G38" s="38">
        <v>832</v>
      </c>
      <c r="H38" s="38">
        <v>3960</v>
      </c>
      <c r="I38" s="39">
        <v>2831</v>
      </c>
      <c r="J38" s="39">
        <v>2970</v>
      </c>
      <c r="K38" s="39">
        <v>2970</v>
      </c>
    </row>
    <row r="39" spans="1:12" ht="9.9499999999999993" customHeight="1" x14ac:dyDescent="0.15">
      <c r="A39" s="10" t="s">
        <v>9</v>
      </c>
      <c r="B39" s="38" cm="1">
        <f t="array" ref="B39">_xlfn.LET(
_xlpm.recent,(wc_reports_2024[n]=1),
_xlpm.members,(wc_reports_2024[member_count]),
_xlpm.name_match,(ISNUMBER(SEARCH(A39,wc_reports_2024[ministry_name]))),
_xlpm.result,SUM(_xlfn._xlws.FILTER(_xlpm.members,_xlpm.name_match*_xlpm.recent)),
IFERROR(_xlpm.result,C39)
)</f>
        <v>660</v>
      </c>
      <c r="C39" s="15">
        <v>660</v>
      </c>
      <c r="D39" s="34">
        <v>608</v>
      </c>
      <c r="E39" s="38">
        <v>6596</v>
      </c>
      <c r="F39" s="38">
        <v>6596</v>
      </c>
      <c r="G39" s="38">
        <v>6602</v>
      </c>
      <c r="H39" s="38">
        <v>10227</v>
      </c>
      <c r="I39" s="39">
        <v>4000</v>
      </c>
      <c r="J39" s="39"/>
      <c r="K39" s="39"/>
    </row>
    <row r="40" spans="1:12" ht="9.9499999999999993" customHeight="1" x14ac:dyDescent="0.15">
      <c r="A40" s="10" t="s">
        <v>494</v>
      </c>
      <c r="B40" s="38" cm="1">
        <f t="array" ref="B40">_xlfn.LET(
_xlpm.recent,(wc_reports_2024[n]=1),
_xlpm.members,(wc_reports_2024[member_count]),
_xlpm.name_match,(ISNUMBER(SEARCH(A40,wc_reports_2024[ministry_name]))),
_xlpm.result,SUM(_xlfn._xlws.FILTER(_xlpm.members,_xlpm.name_match*_xlpm.recent)),
IFERROR(_xlpm.result,C40)
)</f>
        <v>1270</v>
      </c>
      <c r="C40" s="15">
        <v>1029</v>
      </c>
      <c r="D40" s="34">
        <v>1063</v>
      </c>
      <c r="E40" s="38">
        <v>1148</v>
      </c>
      <c r="F40" s="38">
        <v>1143</v>
      </c>
      <c r="G40" s="38">
        <v>1030</v>
      </c>
      <c r="H40" s="38">
        <v>1185</v>
      </c>
      <c r="I40" s="39">
        <v>1278</v>
      </c>
      <c r="J40" s="39">
        <v>819</v>
      </c>
      <c r="K40" s="39">
        <v>858</v>
      </c>
    </row>
    <row r="41" spans="1:12" ht="9.9499999999999993" customHeight="1" x14ac:dyDescent="0.15">
      <c r="A41" s="10" t="s">
        <v>495</v>
      </c>
      <c r="B41" s="38" cm="1">
        <f t="array" ref="B41">_xlfn.LET(
_xlpm.recent,(wc_reports_2024[n]=1),
_xlpm.members,(wc_reports_2024[member_count]),
_xlpm.name_match,(ISNUMBER(SEARCH(A41,wc_reports_2024[ministry_name]))),
_xlpm.result,SUM(_xlfn._xlws.FILTER(_xlpm.members,_xlpm.name_match*_xlpm.recent)),
IFERROR(_xlpm.result,C41)
)</f>
        <v>944</v>
      </c>
      <c r="C41" s="15">
        <v>926</v>
      </c>
      <c r="D41" s="34">
        <v>880</v>
      </c>
      <c r="E41" s="38">
        <v>704</v>
      </c>
      <c r="F41" s="38">
        <v>661</v>
      </c>
      <c r="G41" s="38">
        <v>657</v>
      </c>
      <c r="H41" s="38">
        <v>647</v>
      </c>
      <c r="I41" s="39">
        <v>634</v>
      </c>
      <c r="J41" s="39">
        <v>634</v>
      </c>
      <c r="K41" s="39">
        <v>1048</v>
      </c>
    </row>
    <row r="42" spans="1:12" ht="9.9499999999999993" customHeight="1" x14ac:dyDescent="0.15">
      <c r="A42" s="10" t="s">
        <v>496</v>
      </c>
      <c r="B42" s="38" cm="1">
        <f t="array" ref="B42">_xlfn.LET(
_xlpm.recent,(wc_reports_2024[n]=1),
_xlpm.members,(wc_reports_2024[member_count]),
_xlpm.name_match,(ISNUMBER(SEARCH(A42,wc_reports_2024[ministry_name]))),
_xlpm.result,SUM(_xlfn._xlws.FILTER(_xlpm.members,_xlpm.name_match*_xlpm.recent)),
IFERROR(_xlpm.result,C42)
)</f>
        <v>5082</v>
      </c>
      <c r="C42" s="15">
        <v>5050</v>
      </c>
      <c r="D42" s="34">
        <v>5649</v>
      </c>
      <c r="E42" s="38">
        <v>5377</v>
      </c>
      <c r="F42" s="38">
        <v>7296</v>
      </c>
      <c r="G42" s="38">
        <v>7184</v>
      </c>
      <c r="H42" s="38">
        <v>7211</v>
      </c>
      <c r="I42" s="39">
        <v>7875</v>
      </c>
      <c r="J42" s="39">
        <v>7446</v>
      </c>
      <c r="K42" s="39">
        <v>8540</v>
      </c>
    </row>
    <row r="43" spans="1:12" ht="9.9499999999999993" customHeight="1" x14ac:dyDescent="0.15">
      <c r="A43" s="10" t="s">
        <v>497</v>
      </c>
      <c r="B43" s="38" cm="1">
        <f t="array" ref="B43">_xlfn.LET(
_xlpm.recent,(wc_reports_2024[n]=1),
_xlpm.members,(wc_reports_2024[member_count]),
_xlpm.name_match,(ISNUMBER(SEARCH(A43,wc_reports_2024[ministry_name]))),
_xlpm.result,SUM(_xlfn._xlws.FILTER(_xlpm.members,_xlpm.name_match*_xlpm.recent)),
IFERROR(_xlpm.result,C43)
)</f>
        <v>10563</v>
      </c>
      <c r="C43" s="15">
        <v>16953</v>
      </c>
      <c r="D43" s="34">
        <v>16884</v>
      </c>
      <c r="E43" s="38">
        <v>16226</v>
      </c>
      <c r="F43" s="38">
        <v>17540</v>
      </c>
      <c r="G43" s="38">
        <v>16904</v>
      </c>
      <c r="H43" s="38">
        <v>16904</v>
      </c>
      <c r="I43" s="44">
        <v>15700</v>
      </c>
      <c r="J43" s="39">
        <v>3300</v>
      </c>
      <c r="K43" s="39">
        <v>3250</v>
      </c>
    </row>
    <row r="44" spans="1:12" ht="9.9499999999999993" customHeight="1" x14ac:dyDescent="0.15">
      <c r="A44" s="18" t="s">
        <v>499</v>
      </c>
      <c r="B44" s="38" cm="1">
        <f t="array" ref="B44">_xlfn.LET(
_xlpm.recent,(wc_reports_2024[n]=1),
_xlpm.members,(wc_reports_2024[member_count]),
_xlpm.name_match,(ISNUMBER(SEARCH(A44,wc_reports_2024[ministry_name]))),
_xlpm.result,SUM(_xlfn._xlws.FILTER(_xlpm.members,_xlpm.name_match*_xlpm.recent)),
IFERROR(_xlpm.result,C44)
)</f>
        <v>3838</v>
      </c>
      <c r="C44" s="51">
        <v>3414</v>
      </c>
      <c r="D44" s="35">
        <v>2732</v>
      </c>
      <c r="E44" s="43">
        <v>3613</v>
      </c>
      <c r="F44" s="43">
        <v>3560</v>
      </c>
      <c r="G44" s="43">
        <v>3107</v>
      </c>
      <c r="H44" s="43">
        <v>2850</v>
      </c>
      <c r="I44" s="42">
        <v>2947</v>
      </c>
      <c r="J44" s="42">
        <v>2727</v>
      </c>
      <c r="K44" s="45">
        <v>2350</v>
      </c>
    </row>
    <row r="45" spans="1:12" ht="9.9499999999999993" customHeight="1" x14ac:dyDescent="0.2">
      <c r="A45" s="12" t="s">
        <v>10</v>
      </c>
      <c r="B45" s="13">
        <f>SUM(B28:B44)</f>
        <v>180551</v>
      </c>
      <c r="C45" s="13">
        <f t="shared" ref="C45:K45" si="2">SUM(C28:C44)</f>
        <v>153105</v>
      </c>
      <c r="D45" s="13">
        <f t="shared" si="2"/>
        <v>120055</v>
      </c>
      <c r="E45" s="13">
        <f t="shared" si="2"/>
        <v>163991</v>
      </c>
      <c r="F45" s="13">
        <f t="shared" si="2"/>
        <v>171369</v>
      </c>
      <c r="G45" s="13">
        <f t="shared" si="2"/>
        <v>124586</v>
      </c>
      <c r="H45" s="13">
        <f t="shared" si="2"/>
        <v>285490</v>
      </c>
      <c r="I45" s="13">
        <f t="shared" si="2"/>
        <v>278294</v>
      </c>
      <c r="J45" s="13">
        <f t="shared" si="2"/>
        <v>250719</v>
      </c>
      <c r="K45" s="13">
        <f t="shared" si="2"/>
        <v>252677</v>
      </c>
    </row>
    <row r="46" spans="1:12" ht="9.9499999999999993" customHeight="1" x14ac:dyDescent="0.15">
      <c r="A46" s="20" t="s">
        <v>11</v>
      </c>
      <c r="B46" s="20"/>
      <c r="C46" s="53"/>
      <c r="D46" s="37"/>
      <c r="E46" s="47"/>
      <c r="F46" s="47"/>
      <c r="G46" s="47"/>
      <c r="H46" s="47"/>
      <c r="I46" s="49"/>
      <c r="J46" s="49"/>
      <c r="K46" s="49"/>
    </row>
    <row r="47" spans="1:12" ht="9.9499999999999993" customHeight="1" x14ac:dyDescent="0.15">
      <c r="A47" s="10" t="s">
        <v>586</v>
      </c>
      <c r="B47" s="38" cm="1">
        <f t="array" ref="B47">_xlfn.LET(
_xlpm.recent,(wc_reports_2024[n]=1),
_xlpm.members,(wc_reports_2024[member_count]),
_xlpm.name_match,(ISNUMBER(SEARCH(A47,wc_reports_2024[ministry_name]))),
_xlpm.result,SUM(_xlfn._xlws.FILTER(_xlpm.members,_xlpm.name_match*_xlpm.recent)),
IFERROR(_xlpm.result,C47)
)</f>
        <v>587</v>
      </c>
      <c r="C47" s="15">
        <v>10695</v>
      </c>
      <c r="D47" s="34">
        <v>13456</v>
      </c>
      <c r="E47" s="38">
        <v>9693</v>
      </c>
      <c r="F47" s="38">
        <v>6310</v>
      </c>
      <c r="G47" s="38">
        <v>7022</v>
      </c>
      <c r="H47" s="38">
        <v>6688</v>
      </c>
      <c r="I47" s="39">
        <v>4200</v>
      </c>
      <c r="J47" s="39">
        <v>4200</v>
      </c>
      <c r="K47" s="39">
        <v>7901</v>
      </c>
    </row>
    <row r="48" spans="1:12" ht="9.9499999999999993" customHeight="1" x14ac:dyDescent="0.15">
      <c r="A48" s="10" t="s">
        <v>604</v>
      </c>
      <c r="B48" s="38" cm="1">
        <f t="array" ref="B48">_xlfn.LET(
_xlpm.recent,(wc_reports_2024[n]=1),
_xlpm.members,(wc_reports_2024[member_count]),
_xlpm.name_match,(ISNUMBER(SEARCH(A48,wc_reports_2024[ministry_name]))),
_xlpm.result,SUM(_xlfn._xlws.FILTER(_xlpm.members,_xlpm.name_match*_xlpm.recent)),
IFERROR(_xlpm.result,C48)
)</f>
        <v>1200</v>
      </c>
      <c r="C48" s="15">
        <v>1300</v>
      </c>
      <c r="D48" s="34">
        <v>1056</v>
      </c>
      <c r="E48" s="38">
        <v>785</v>
      </c>
      <c r="F48" s="38">
        <v>735</v>
      </c>
      <c r="G48" s="38">
        <v>735</v>
      </c>
      <c r="H48" s="38">
        <v>588</v>
      </c>
      <c r="I48" s="39">
        <v>588</v>
      </c>
      <c r="J48" s="39">
        <v>353</v>
      </c>
      <c r="K48" s="39">
        <v>353</v>
      </c>
    </row>
    <row r="49" spans="1:11" ht="9.9499999999999993" customHeight="1" x14ac:dyDescent="0.15">
      <c r="A49" s="10" t="s">
        <v>587</v>
      </c>
      <c r="B49" s="38" cm="1">
        <f t="array" ref="B49">_xlfn.LET(
_xlpm.recent,(wc_reports_2024[n]=1),
_xlpm.members,(wc_reports_2024[member_count]),
_xlpm.name_match,(ISNUMBER(SEARCH(A49,wc_reports_2024[ministry_name]))),
_xlpm.result,SUM(_xlfn._xlws.FILTER(_xlpm.members,_xlpm.name_match*_xlpm.recent)),
IFERROR(_xlpm.result,C49)
)</f>
        <v>1669</v>
      </c>
      <c r="C49" s="15">
        <v>3215</v>
      </c>
      <c r="D49" s="34">
        <v>2553</v>
      </c>
      <c r="E49" s="38">
        <v>2634</v>
      </c>
      <c r="F49" s="38">
        <v>2696</v>
      </c>
      <c r="G49" s="38">
        <v>2721</v>
      </c>
      <c r="H49" s="38">
        <v>2550</v>
      </c>
      <c r="I49" s="39">
        <v>1858</v>
      </c>
      <c r="J49" s="39">
        <v>1858</v>
      </c>
      <c r="K49" s="39">
        <v>854</v>
      </c>
    </row>
    <row r="50" spans="1:11" ht="9.9499999999999993" customHeight="1" x14ac:dyDescent="0.15">
      <c r="A50" s="10" t="s">
        <v>588</v>
      </c>
      <c r="B50" s="38" cm="1">
        <f t="array" ref="B50">_xlfn.LET(
_xlpm.recent,(wc_reports_2024[n]=1),
_xlpm.members,(wc_reports_2024[member_count]),
_xlpm.name_match,(ISNUMBER(SEARCH(A50,wc_reports_2024[ministry_name]))),
_xlpm.result,SUM(_xlfn._xlws.FILTER(_xlpm.members,_xlpm.name_match*_xlpm.recent)),
IFERROR(_xlpm.result,C50)
)</f>
        <v>867</v>
      </c>
      <c r="C50" s="15">
        <v>1000</v>
      </c>
      <c r="D50" s="34">
        <v>1000</v>
      </c>
      <c r="E50" s="38">
        <v>915</v>
      </c>
      <c r="F50" s="38">
        <v>895</v>
      </c>
      <c r="G50" s="38">
        <v>870</v>
      </c>
      <c r="H50" s="38">
        <v>804</v>
      </c>
      <c r="I50" s="39">
        <v>902</v>
      </c>
      <c r="J50" s="39">
        <v>1111</v>
      </c>
      <c r="K50" s="39">
        <v>694</v>
      </c>
    </row>
    <row r="51" spans="1:11" ht="9.9499999999999993" customHeight="1" x14ac:dyDescent="0.15">
      <c r="A51" s="10" t="s">
        <v>591</v>
      </c>
      <c r="B51" s="38" cm="1">
        <f t="array" ref="B51">_xlfn.LET(
_xlpm.recent,(wc_reports_2024[n]=1),
_xlpm.members,(wc_reports_2024[member_count]),
_xlpm.name_match,(ISNUMBER(SEARCH(A51,wc_reports_2024[ministry_name]))),
_xlpm.result,SUM(_xlfn._xlws.FILTER(_xlpm.members,_xlpm.name_match*_xlpm.recent)),
IFERROR(_xlpm.result,C51)
)</f>
        <v>315</v>
      </c>
      <c r="C51" s="15">
        <v>412</v>
      </c>
      <c r="D51" s="34">
        <v>412</v>
      </c>
      <c r="E51" s="38">
        <v>655</v>
      </c>
      <c r="F51" s="38"/>
      <c r="G51" s="38">
        <v>989</v>
      </c>
      <c r="H51" s="38"/>
      <c r="I51" s="39"/>
      <c r="J51" s="39"/>
      <c r="K51" s="39"/>
    </row>
    <row r="52" spans="1:11" ht="9.9499999999999993" customHeight="1" x14ac:dyDescent="0.15">
      <c r="A52" s="10" t="s">
        <v>592</v>
      </c>
      <c r="B52" s="38" cm="1">
        <f t="array" ref="B52">_xlfn.LET(
_xlpm.recent,(wc_reports_2024[n]=1),
_xlpm.members,(wc_reports_2024[member_count]),
_xlpm.name_match,(ISNUMBER(SEARCH(A52,wc_reports_2024[ministry_name]))),
_xlpm.result,SUM(_xlfn._xlws.FILTER(_xlpm.members,_xlpm.name_match*_xlpm.recent)),
IFERROR(_xlpm.result,C52)
)</f>
        <v>850</v>
      </c>
      <c r="C52" s="15">
        <v>851</v>
      </c>
      <c r="D52" s="34">
        <v>813</v>
      </c>
      <c r="E52" s="38">
        <v>670</v>
      </c>
      <c r="F52" s="38">
        <v>636</v>
      </c>
      <c r="G52" s="38"/>
      <c r="H52" s="38"/>
      <c r="I52" s="39"/>
      <c r="J52" s="39"/>
      <c r="K52" s="39"/>
    </row>
    <row r="53" spans="1:11" ht="9.9499999999999993" customHeight="1" x14ac:dyDescent="0.15">
      <c r="A53" s="10" t="s">
        <v>593</v>
      </c>
      <c r="B53" s="38" cm="1">
        <f t="array" ref="B53">_xlfn.LET(
_xlpm.recent,(wc_reports_2024[n]=1),
_xlpm.members,(wc_reports_2024[member_count]),
_xlpm.name_match,(ISNUMBER(SEARCH(A53,wc_reports_2024[ministry_name]))),
_xlpm.result,SUM(_xlfn._xlws.FILTER(_xlpm.members,_xlpm.name_match*_xlpm.recent)),
IFERROR(_xlpm.result,C53)
)</f>
        <v>2382</v>
      </c>
      <c r="C53" s="15">
        <v>2206</v>
      </c>
      <c r="D53" s="34">
        <v>1614</v>
      </c>
      <c r="E53" s="38">
        <v>579</v>
      </c>
      <c r="F53" s="38">
        <v>359</v>
      </c>
      <c r="G53" s="38">
        <v>312</v>
      </c>
      <c r="H53" s="38">
        <v>211</v>
      </c>
      <c r="I53" s="39">
        <v>217</v>
      </c>
      <c r="J53" s="39">
        <v>152</v>
      </c>
      <c r="K53" s="39">
        <v>80</v>
      </c>
    </row>
    <row r="54" spans="1:11" s="3" customFormat="1" ht="9.9499999999999993" customHeight="1" x14ac:dyDescent="0.15">
      <c r="A54" s="10" t="s">
        <v>594</v>
      </c>
      <c r="B54" s="38" cm="1">
        <f t="array" ref="B54">_xlfn.LET(
_xlpm.recent,(wc_reports_2024[n]=1),
_xlpm.members,(wc_reports_2024[member_count]),
_xlpm.name_match,(ISNUMBER(SEARCH(A54,wc_reports_2024[ministry_name]))),
_xlpm.result,SUM(_xlfn._xlws.FILTER(_xlpm.members,_xlpm.name_match*_xlpm.recent)),
IFERROR(_xlpm.result,C54)
)</f>
        <v>861</v>
      </c>
      <c r="C54" s="15">
        <v>741</v>
      </c>
      <c r="D54" s="34">
        <v>717</v>
      </c>
      <c r="E54" s="38">
        <v>553</v>
      </c>
      <c r="F54" s="38">
        <v>512</v>
      </c>
      <c r="G54" s="38">
        <v>419</v>
      </c>
      <c r="H54" s="38">
        <v>486</v>
      </c>
      <c r="I54" s="39">
        <v>424</v>
      </c>
      <c r="J54" s="39">
        <v>395</v>
      </c>
      <c r="K54" s="39">
        <v>453</v>
      </c>
    </row>
    <row r="55" spans="1:11" ht="9.9499999999999993" customHeight="1" x14ac:dyDescent="0.2">
      <c r="A55" s="16" t="s">
        <v>12</v>
      </c>
      <c r="B55" s="13">
        <f t="shared" ref="B55:K55" si="3">SUM(B47:B54)</f>
        <v>8731</v>
      </c>
      <c r="C55" s="13">
        <f t="shared" si="3"/>
        <v>20420</v>
      </c>
      <c r="D55" s="13">
        <f t="shared" si="3"/>
        <v>21621</v>
      </c>
      <c r="E55" s="13">
        <f t="shared" si="3"/>
        <v>16484</v>
      </c>
      <c r="F55" s="13">
        <f t="shared" si="3"/>
        <v>12143</v>
      </c>
      <c r="G55" s="13">
        <f t="shared" si="3"/>
        <v>13068</v>
      </c>
      <c r="H55" s="13">
        <f t="shared" si="3"/>
        <v>11327</v>
      </c>
      <c r="I55" s="13">
        <f t="shared" si="3"/>
        <v>8189</v>
      </c>
      <c r="J55" s="13">
        <f t="shared" si="3"/>
        <v>8069</v>
      </c>
      <c r="K55" s="13">
        <f t="shared" si="3"/>
        <v>10335</v>
      </c>
    </row>
    <row r="56" spans="1:11" ht="9.9499999999999993" customHeight="1" x14ac:dyDescent="0.15">
      <c r="A56" s="19" t="s">
        <v>13</v>
      </c>
      <c r="B56" s="21"/>
      <c r="C56" s="52"/>
      <c r="D56" s="36"/>
      <c r="E56" s="48"/>
      <c r="F56" s="48"/>
      <c r="G56" s="48"/>
      <c r="H56" s="46"/>
      <c r="I56" s="48"/>
      <c r="J56" s="48"/>
      <c r="K56" s="60"/>
    </row>
    <row r="57" spans="1:11" s="5" customFormat="1" ht="9.9499999999999993" customHeight="1" x14ac:dyDescent="0.15">
      <c r="A57" s="14">
        <v>360</v>
      </c>
      <c r="B57" s="38" cm="1">
        <f t="array" ref="B57">_xlfn.LET(
_xlpm.recent,(wc_reports_2024[n]=1),
_xlpm.members,(wc_reports_2024[member_count]),
_xlpm.name_match,(ISNUMBER(SEARCH(A57,wc_reports_2024[ministry_name]))),
_xlpm.result,SUM(_xlfn._xlws.FILTER(_xlpm.members,_xlpm.name_match*_xlpm.recent)),
IFERROR(_xlpm.result,C57)
)</f>
        <v>95</v>
      </c>
      <c r="C57" s="15">
        <v>90</v>
      </c>
      <c r="D57" s="34">
        <v>207</v>
      </c>
      <c r="E57" s="38">
        <v>206</v>
      </c>
      <c r="F57" s="38">
        <v>178</v>
      </c>
      <c r="G57" s="38">
        <v>177</v>
      </c>
      <c r="H57" s="38">
        <v>313</v>
      </c>
      <c r="I57" s="39">
        <v>240</v>
      </c>
      <c r="J57" s="38">
        <v>550</v>
      </c>
      <c r="K57" s="39">
        <v>550</v>
      </c>
    </row>
    <row r="58" spans="1:11" ht="9.9499999999999993" customHeight="1" x14ac:dyDescent="0.15">
      <c r="A58" s="14" t="s">
        <v>566</v>
      </c>
      <c r="B58" s="38" cm="1">
        <f t="array" ref="B58">_xlfn.LET(
_xlpm.recent,(wc_reports_2024[n]=1),
_xlpm.members,(wc_reports_2024[member_count]),
_xlpm.name_match,(ISNUMBER(SEARCH(A58,wc_reports_2024[ministry_name]))),
_xlpm.result,SUM(_xlfn._xlws.FILTER(_xlpm.members,_xlpm.name_match*_xlpm.recent)),
IFERROR(_xlpm.result,C58)
)</f>
        <v>4747</v>
      </c>
      <c r="C58" s="15">
        <v>4751</v>
      </c>
      <c r="D58" s="34">
        <v>4747</v>
      </c>
      <c r="E58" s="38">
        <v>1173</v>
      </c>
      <c r="F58" s="38">
        <v>1173</v>
      </c>
      <c r="G58" s="38">
        <v>1173</v>
      </c>
      <c r="H58" s="38">
        <v>2558</v>
      </c>
      <c r="I58" s="38">
        <v>2552</v>
      </c>
      <c r="J58" s="38">
        <v>774</v>
      </c>
      <c r="K58" s="38">
        <v>764</v>
      </c>
    </row>
    <row r="59" spans="1:11" ht="9.9499999999999993" customHeight="1" x14ac:dyDescent="0.15">
      <c r="A59" s="10" t="s">
        <v>24</v>
      </c>
      <c r="B59" s="38" cm="1">
        <f t="array" ref="B59">_xlfn.LET(
_xlpm.recent,(wc_reports_2024[n]=1),
_xlpm.members,(wc_reports_2024[member_count]),
_xlpm.name_match,(ISNUMBER(SEARCH(A59,wc_reports_2024[ministry_name]))),
_xlpm.result,SUM(_xlfn._xlws.FILTER(_xlpm.members,_xlpm.name_match*_xlpm.recent)),
IFERROR(_xlpm.result,C59)
)</f>
        <v>328</v>
      </c>
      <c r="C59" s="15">
        <v>336</v>
      </c>
      <c r="D59" s="34">
        <v>271</v>
      </c>
      <c r="E59" s="38">
        <v>243</v>
      </c>
      <c r="F59" s="38">
        <v>1622</v>
      </c>
      <c r="G59" s="38">
        <v>1596</v>
      </c>
      <c r="H59" s="38">
        <v>1587</v>
      </c>
      <c r="I59" s="39">
        <v>1446</v>
      </c>
      <c r="J59" s="38">
        <v>974</v>
      </c>
      <c r="K59" s="39">
        <v>1436</v>
      </c>
    </row>
    <row r="60" spans="1:11" ht="9.9499999999999993" customHeight="1" x14ac:dyDescent="0.15">
      <c r="A60" s="10" t="s">
        <v>567</v>
      </c>
      <c r="B60" s="38" cm="1">
        <f t="array" ref="B60">_xlfn.LET(
_xlpm.recent,(wc_reports_2024[n]=1),
_xlpm.members,(wc_reports_2024[member_count]),
_xlpm.name_match,(ISNUMBER(SEARCH(A60,wc_reports_2024[ministry_name]))),
_xlpm.result,SUM(_xlfn._xlws.FILTER(_xlpm.members,_xlpm.name_match*_xlpm.recent)),
IFERROR(_xlpm.result,C60)
)</f>
        <v>85</v>
      </c>
      <c r="C60" s="15">
        <v>105</v>
      </c>
      <c r="D60" s="34">
        <v>83</v>
      </c>
      <c r="E60" s="38"/>
      <c r="F60" s="38"/>
      <c r="G60" s="38"/>
      <c r="H60" s="38"/>
      <c r="I60" s="39"/>
      <c r="J60" s="38"/>
      <c r="K60" s="39"/>
    </row>
    <row r="61" spans="1:11" ht="9.9499999999999993" customHeight="1" x14ac:dyDescent="0.15">
      <c r="A61" s="10" t="s">
        <v>568</v>
      </c>
      <c r="B61" s="38" cm="1">
        <f t="array" ref="B61">_xlfn.LET(
_xlpm.recent,(wc_reports_2024[n]=1),
_xlpm.members,(wc_reports_2024[member_count]),
_xlpm.name_match,(ISNUMBER(SEARCH(A61,wc_reports_2024[ministry_name]))),
_xlpm.result,SUM(_xlfn._xlws.FILTER(_xlpm.members,_xlpm.name_match*_xlpm.recent)),
IFERROR(_xlpm.result,C61)
)</f>
        <v>902</v>
      </c>
      <c r="C61" s="15">
        <v>802</v>
      </c>
      <c r="D61" s="34">
        <v>802</v>
      </c>
      <c r="E61" s="38">
        <v>770</v>
      </c>
      <c r="F61" s="38">
        <v>669</v>
      </c>
      <c r="G61" s="38">
        <v>545</v>
      </c>
      <c r="H61" s="38"/>
      <c r="I61" s="39"/>
      <c r="J61" s="38"/>
      <c r="K61" s="39"/>
    </row>
    <row r="62" spans="1:11" ht="9.9499999999999993" customHeight="1" x14ac:dyDescent="0.15">
      <c r="A62" s="10" t="s">
        <v>14</v>
      </c>
      <c r="B62" s="38" cm="1">
        <f t="array" ref="B62">_xlfn.LET(
_xlpm.recent,(wc_reports_2024[n]=1),
_xlpm.members,(wc_reports_2024[member_count]),
_xlpm.name_match,(ISNUMBER(SEARCH(A62,wc_reports_2024[ministry_name]))),
_xlpm.result,SUM(_xlfn._xlws.FILTER(_xlpm.members,_xlpm.name_match*_xlpm.recent)),
IFERROR(_xlpm.result,C62)
)</f>
        <v>61</v>
      </c>
      <c r="C62" s="15">
        <v>63</v>
      </c>
      <c r="D62" s="34">
        <v>85</v>
      </c>
      <c r="E62" s="38">
        <v>85</v>
      </c>
      <c r="F62" s="38">
        <v>84</v>
      </c>
      <c r="G62" s="38">
        <v>81</v>
      </c>
      <c r="H62" s="38">
        <v>81</v>
      </c>
      <c r="I62" s="39">
        <v>86</v>
      </c>
      <c r="J62" s="38">
        <v>69</v>
      </c>
      <c r="K62" s="39">
        <v>69</v>
      </c>
    </row>
    <row r="63" spans="1:11" ht="9.9499999999999993" customHeight="1" x14ac:dyDescent="0.15">
      <c r="A63" s="10" t="s">
        <v>569</v>
      </c>
      <c r="B63" s="38" cm="1">
        <f t="array" ref="B63">_xlfn.LET(
_xlpm.recent,(wc_reports_2024[n]=1),
_xlpm.members,(wc_reports_2024[member_count]),
_xlpm.name_match,(ISNUMBER(SEARCH(A63,wc_reports_2024[ministry_name]))),
_xlpm.result,SUM(_xlfn._xlws.FILTER(_xlpm.members,_xlpm.name_match*_xlpm.recent)),
IFERROR(_xlpm.result,C63)
)</f>
        <v>900</v>
      </c>
      <c r="C63" s="15">
        <v>1015</v>
      </c>
      <c r="D63" s="34">
        <v>727</v>
      </c>
      <c r="E63" s="38">
        <v>701</v>
      </c>
      <c r="F63" s="38">
        <v>533</v>
      </c>
      <c r="G63" s="38">
        <v>648</v>
      </c>
      <c r="H63" s="38">
        <v>700</v>
      </c>
      <c r="I63" s="39">
        <v>453</v>
      </c>
      <c r="J63" s="38">
        <v>615</v>
      </c>
      <c r="K63" s="39">
        <v>550</v>
      </c>
    </row>
    <row r="64" spans="1:11" s="5" customFormat="1" ht="9.9499999999999993" customHeight="1" x14ac:dyDescent="0.15">
      <c r="A64" s="10" t="s">
        <v>628</v>
      </c>
      <c r="B64" s="38" cm="1">
        <f t="array" ref="B64">_xlfn.LET(
_xlpm.recent,(wc_reports_2024[n]=1),
_xlpm.members,(wc_reports_2024[member_count]),
_xlpm.name_match,(ISNUMBER(SEARCH(A64,wc_reports_2024[ministry_name]))),
_xlpm.result,SUM(_xlfn._xlws.FILTER(_xlpm.members,_xlpm.name_match*_xlpm.recent)),
IFERROR(_xlpm.result,C64)
)</f>
        <v>1039</v>
      </c>
      <c r="C64" s="15">
        <v>1159</v>
      </c>
      <c r="D64" s="34">
        <v>1190</v>
      </c>
      <c r="E64" s="38">
        <v>717</v>
      </c>
      <c r="F64" s="38">
        <v>704</v>
      </c>
      <c r="G64" s="38">
        <v>1205</v>
      </c>
      <c r="H64" s="38">
        <v>800</v>
      </c>
      <c r="I64" s="39">
        <v>920</v>
      </c>
      <c r="J64" s="38">
        <v>480</v>
      </c>
      <c r="K64" s="39">
        <v>480</v>
      </c>
    </row>
    <row r="65" spans="1:12" s="5" customFormat="1" ht="9.9499999999999993" customHeight="1" x14ac:dyDescent="0.15">
      <c r="A65" s="10" t="s">
        <v>15</v>
      </c>
      <c r="B65" s="38" cm="1">
        <f t="array" ref="B65">_xlfn.LET(
_xlpm.recent,(wc_reports_2024[n]=1),
_xlpm.members,(wc_reports_2024[member_count]),
_xlpm.name_match,(ISNUMBER(SEARCH(A65,wc_reports_2024[ministry_name]))),
_xlpm.result,SUM(_xlfn._xlws.FILTER(_xlpm.members,_xlpm.name_match*_xlpm.recent)),
IFERROR(_xlpm.result,C65)
)</f>
        <v>457</v>
      </c>
      <c r="C65" s="15">
        <v>458</v>
      </c>
      <c r="D65" s="34">
        <v>386</v>
      </c>
      <c r="E65" s="38">
        <v>323</v>
      </c>
      <c r="F65" s="38">
        <v>490</v>
      </c>
      <c r="G65" s="38">
        <v>538</v>
      </c>
      <c r="H65" s="38">
        <v>530</v>
      </c>
      <c r="I65" s="39">
        <v>508</v>
      </c>
      <c r="J65" s="38">
        <v>833</v>
      </c>
      <c r="K65" s="39">
        <v>842</v>
      </c>
    </row>
    <row r="66" spans="1:12" s="7" customFormat="1" ht="9.9499999999999993" customHeight="1" x14ac:dyDescent="0.15">
      <c r="A66" s="10" t="s">
        <v>570</v>
      </c>
      <c r="B66" s="38" cm="1">
        <f t="array" ref="B66">_xlfn.LET(
_xlpm.recent,(wc_reports_2024[n]=1),
_xlpm.members,(wc_reports_2024[member_count]),
_xlpm.name_match,(ISNUMBER(SEARCH(A66,wc_reports_2024[ministry_name]))),
_xlpm.result,SUM(_xlfn._xlws.FILTER(_xlpm.members,_xlpm.name_match*_xlpm.recent)),
IFERROR(_xlpm.result,C66)
)</f>
        <v>148</v>
      </c>
      <c r="C66" s="15">
        <v>105</v>
      </c>
      <c r="D66" s="34">
        <v>60</v>
      </c>
      <c r="E66" s="38">
        <v>36</v>
      </c>
      <c r="F66" s="38">
        <v>26</v>
      </c>
      <c r="G66" s="38">
        <v>60</v>
      </c>
      <c r="H66" s="38"/>
      <c r="I66" s="39"/>
      <c r="J66" s="38"/>
      <c r="K66" s="39"/>
      <c r="L66" s="4"/>
    </row>
    <row r="67" spans="1:12" ht="9.9499999999999993" customHeight="1" x14ac:dyDescent="0.15">
      <c r="A67" s="10" t="s">
        <v>571</v>
      </c>
      <c r="B67" s="38" cm="1">
        <f t="array" ref="B67">_xlfn.LET(
_xlpm.recent,(wc_reports_2024[n]=1),
_xlpm.members,(wc_reports_2024[member_count]),
_xlpm.name_match,(ISNUMBER(SEARCH(A67,wc_reports_2024[ministry_name]))),
_xlpm.result,SUM(_xlfn._xlws.FILTER(_xlpm.members,_xlpm.name_match*_xlpm.recent)),
IFERROR(_xlpm.result,C67)
)</f>
        <v>4845</v>
      </c>
      <c r="C67" s="15">
        <v>6860</v>
      </c>
      <c r="D67" s="34">
        <v>6486</v>
      </c>
      <c r="E67" s="38">
        <v>3085</v>
      </c>
      <c r="F67" s="38">
        <v>3400</v>
      </c>
      <c r="G67" s="38">
        <v>2000</v>
      </c>
      <c r="H67" s="38"/>
      <c r="I67" s="39"/>
      <c r="J67" s="38"/>
      <c r="K67" s="39"/>
    </row>
    <row r="68" spans="1:12" ht="9.9499999999999993" customHeight="1" x14ac:dyDescent="0.15">
      <c r="A68" s="10" t="s">
        <v>572</v>
      </c>
      <c r="B68" s="38" cm="1">
        <f t="array" ref="B68">_xlfn.LET(
_xlpm.recent,(wc_reports_2024[n]=1),
_xlpm.members,(wc_reports_2024[member_count]),
_xlpm.name_match,(ISNUMBER(SEARCH(A68,wc_reports_2024[ministry_name]))),
_xlpm.result,SUM(_xlfn._xlws.FILTER(_xlpm.members,_xlpm.name_match*_xlpm.recent)),
IFERROR(_xlpm.result,C68)
)</f>
        <v>874</v>
      </c>
      <c r="C68" s="15">
        <v>1251</v>
      </c>
      <c r="D68" s="34">
        <v>953</v>
      </c>
      <c r="E68" s="38">
        <v>646</v>
      </c>
      <c r="F68" s="38">
        <v>450</v>
      </c>
      <c r="G68" s="38">
        <v>705</v>
      </c>
      <c r="H68" s="38">
        <v>1360</v>
      </c>
      <c r="I68" s="39">
        <v>566</v>
      </c>
      <c r="J68" s="38">
        <v>918</v>
      </c>
      <c r="K68" s="39">
        <v>918</v>
      </c>
    </row>
    <row r="69" spans="1:12" s="7" customFormat="1" ht="9.9499999999999993" customHeight="1" x14ac:dyDescent="0.15">
      <c r="A69" s="10" t="s">
        <v>16</v>
      </c>
      <c r="B69" s="38" cm="1">
        <f t="array" ref="B69">_xlfn.LET(
_xlpm.recent,(wc_reports_2024[n]=1),
_xlpm.members,(wc_reports_2024[member_count]),
_xlpm.name_match,(ISNUMBER(SEARCH(A69,wc_reports_2024[ministry_name]))),
_xlpm.result,SUM(_xlfn._xlws.FILTER(_xlpm.members,_xlpm.name_match*_xlpm.recent)),
IFERROR(_xlpm.result,C69)
)</f>
        <v>1277</v>
      </c>
      <c r="C69" s="15">
        <v>1187</v>
      </c>
      <c r="D69" s="34">
        <v>1114</v>
      </c>
      <c r="E69" s="38">
        <v>616</v>
      </c>
      <c r="F69" s="38">
        <v>486</v>
      </c>
      <c r="G69" s="38">
        <v>433</v>
      </c>
      <c r="H69" s="38">
        <v>482</v>
      </c>
      <c r="I69" s="39">
        <v>435</v>
      </c>
      <c r="J69" s="38">
        <v>279</v>
      </c>
      <c r="K69" s="39">
        <v>279</v>
      </c>
      <c r="L69" s="4"/>
    </row>
    <row r="70" spans="1:12" ht="9.9499999999999993" customHeight="1" x14ac:dyDescent="0.15">
      <c r="A70" s="10" t="s">
        <v>573</v>
      </c>
      <c r="B70" s="38" cm="1">
        <f t="array" ref="B70">_xlfn.LET(
_xlpm.recent,(wc_reports_2024[n]=1),
_xlpm.members,(wc_reports_2024[member_count]),
_xlpm.name_match,(ISNUMBER(SEARCH(A70,wc_reports_2024[ministry_name]))),
_xlpm.result,SUM(_xlfn._xlws.FILTER(_xlpm.members,_xlpm.name_match*_xlpm.recent)),
IFERROR(_xlpm.result,C70)
)</f>
        <v>49</v>
      </c>
      <c r="C70" s="15">
        <v>49</v>
      </c>
      <c r="D70" s="34">
        <v>0</v>
      </c>
      <c r="E70" s="38"/>
      <c r="F70" s="38"/>
      <c r="G70" s="38"/>
      <c r="H70" s="38"/>
      <c r="I70" s="39"/>
      <c r="J70" s="38"/>
      <c r="K70" s="39"/>
    </row>
    <row r="71" spans="1:12" s="4" customFormat="1" ht="9.9499999999999993" customHeight="1" x14ac:dyDescent="0.15">
      <c r="A71" s="10" t="s">
        <v>576</v>
      </c>
      <c r="B71" s="38" cm="1">
        <f t="array" ref="B71">_xlfn.LET(
_xlpm.recent,(wc_reports_2024[n]=1),
_xlpm.members,(wc_reports_2024[member_count]),
_xlpm.name_match,(ISNUMBER(SEARCH(A71,wc_reports_2024[ministry_name]))),
_xlpm.result,SUM(_xlfn._xlws.FILTER(_xlpm.members,_xlpm.name_match*_xlpm.recent)),
IFERROR(_xlpm.result,C71)
)</f>
        <v>85</v>
      </c>
      <c r="C71" s="15"/>
      <c r="D71" s="34"/>
      <c r="E71" s="38">
        <v>80</v>
      </c>
      <c r="F71" s="38">
        <v>80</v>
      </c>
      <c r="G71" s="38">
        <v>80</v>
      </c>
      <c r="H71" s="38">
        <v>80</v>
      </c>
      <c r="I71" s="39">
        <v>79</v>
      </c>
      <c r="J71" s="38">
        <v>76</v>
      </c>
      <c r="K71" s="39">
        <v>81</v>
      </c>
    </row>
    <row r="72" spans="1:12" ht="9.9499999999999993" customHeight="1" x14ac:dyDescent="0.15">
      <c r="A72" s="10" t="s">
        <v>23</v>
      </c>
      <c r="B72" s="38" cm="1">
        <f t="array" ref="B72">_xlfn.LET(
_xlpm.recent,(wc_reports_2024[n]=1),
_xlpm.members,(wc_reports_2024[member_count]),
_xlpm.name_match,(ISNUMBER(SEARCH(A72,wc_reports_2024[ministry_name]))),
_xlpm.result,SUM(_xlfn._xlws.FILTER(_xlpm.members,_xlpm.name_match*_xlpm.recent)),
IFERROR(_xlpm.result,C72)
)</f>
        <v>615</v>
      </c>
      <c r="C72" s="15">
        <v>522</v>
      </c>
      <c r="D72" s="34">
        <v>464</v>
      </c>
      <c r="E72" s="38">
        <v>341</v>
      </c>
      <c r="F72" s="38">
        <v>267</v>
      </c>
      <c r="G72" s="38">
        <v>368</v>
      </c>
      <c r="H72" s="38"/>
      <c r="I72" s="39"/>
      <c r="J72" s="38"/>
      <c r="K72" s="39"/>
    </row>
    <row r="73" spans="1:12" ht="9.9499999999999993" customHeight="1" x14ac:dyDescent="0.15">
      <c r="A73" s="10" t="s">
        <v>577</v>
      </c>
      <c r="B73" s="38" cm="1">
        <f t="array" ref="B73">_xlfn.LET(
_xlpm.recent,(wc_reports_2024[n]=1),
_xlpm.members,(wc_reports_2024[member_count]),
_xlpm.name_match,(ISNUMBER(SEARCH(A73,wc_reports_2024[ministry_name]))),
_xlpm.result,SUM(_xlfn._xlws.FILTER(_xlpm.members,_xlpm.name_match*_xlpm.recent)),
IFERROR(_xlpm.result,C73)
)</f>
        <v>55</v>
      </c>
      <c r="C73" s="15">
        <v>41</v>
      </c>
      <c r="D73" s="34">
        <v>40</v>
      </c>
      <c r="E73" s="38">
        <v>40</v>
      </c>
      <c r="F73" s="38">
        <v>42</v>
      </c>
      <c r="G73" s="38">
        <v>37</v>
      </c>
      <c r="H73" s="38">
        <v>32</v>
      </c>
      <c r="I73" s="39">
        <v>32</v>
      </c>
      <c r="J73" s="38">
        <v>30</v>
      </c>
      <c r="K73" s="39">
        <v>30</v>
      </c>
    </row>
    <row r="74" spans="1:12" ht="9.9499999999999993" customHeight="1" x14ac:dyDescent="0.15">
      <c r="A74" s="10" t="s">
        <v>26</v>
      </c>
      <c r="B74" s="38" cm="1">
        <f t="array" ref="B74">_xlfn.LET(
_xlpm.recent,(wc_reports_2024[n]=1),
_xlpm.members,(wc_reports_2024[member_count]),
_xlpm.name_match,(ISNUMBER(SEARCH(A74,wc_reports_2024[ministry_name]))),
_xlpm.result,SUM(_xlfn._xlws.FILTER(_xlpm.members,_xlpm.name_match*_xlpm.recent)),
IFERROR(_xlpm.result,C74)
)</f>
        <v>800</v>
      </c>
      <c r="C74" s="15">
        <v>250</v>
      </c>
      <c r="D74" s="34"/>
      <c r="E74" s="38"/>
      <c r="F74" s="38"/>
      <c r="G74" s="38"/>
      <c r="H74" s="38"/>
      <c r="I74" s="39"/>
      <c r="J74" s="38"/>
      <c r="K74" s="38"/>
    </row>
    <row r="75" spans="1:12" ht="9.9499999999999993" customHeight="1" x14ac:dyDescent="0.15">
      <c r="A75" s="10" t="s">
        <v>579</v>
      </c>
      <c r="B75" s="38" cm="1">
        <f t="array" ref="B75">_xlfn.LET(
_xlpm.recent,(wc_reports_2024[n]=1),
_xlpm.members,(wc_reports_2024[member_count]),
_xlpm.name_match,(ISNUMBER(SEARCH(A75,wc_reports_2024[ministry_name]))),
_xlpm.result,SUM(_xlfn._xlws.FILTER(_xlpm.members,_xlpm.name_match*_xlpm.recent)),
IFERROR(_xlpm.result,C75)
)</f>
        <v>320</v>
      </c>
      <c r="C75" s="15">
        <v>421</v>
      </c>
      <c r="D75" s="34">
        <v>524</v>
      </c>
      <c r="E75" s="38"/>
      <c r="F75" s="38"/>
      <c r="G75" s="38"/>
      <c r="H75" s="38"/>
      <c r="I75" s="39"/>
      <c r="J75" s="38"/>
      <c r="K75" s="38"/>
    </row>
    <row r="76" spans="1:12" ht="9.9499999999999993" customHeight="1" x14ac:dyDescent="0.15">
      <c r="A76" s="10" t="s">
        <v>25</v>
      </c>
      <c r="B76" s="38" cm="1">
        <f t="array" ref="B76">_xlfn.LET(
_xlpm.recent,(wc_reports_2024[n]=1),
_xlpm.members,(wc_reports_2024[member_count]),
_xlpm.name_match,(ISNUMBER(SEARCH(A76,wc_reports_2024[ministry_name]))),
_xlpm.result,SUM(_xlfn._xlws.FILTER(_xlpm.members,_xlpm.name_match*_xlpm.recent)),
IFERROR(_xlpm.result,C76)
)</f>
        <v>300</v>
      </c>
      <c r="C76" s="15">
        <v>400</v>
      </c>
      <c r="D76" s="34"/>
      <c r="E76" s="38"/>
      <c r="F76" s="38"/>
      <c r="G76" s="38"/>
      <c r="H76" s="38"/>
      <c r="I76" s="39"/>
      <c r="J76" s="38"/>
      <c r="K76" s="38"/>
    </row>
    <row r="77" spans="1:12" ht="9.9499999999999993" customHeight="1" x14ac:dyDescent="0.15">
      <c r="A77" s="10" t="s">
        <v>580</v>
      </c>
      <c r="B77" s="38" cm="1">
        <f t="array" ref="B77">_xlfn.LET(
_xlpm.recent,(wc_reports_2024[n]=1),
_xlpm.members,(wc_reports_2024[member_count]),
_xlpm.name_match,(ISNUMBER(SEARCH(A77,wc_reports_2024[ministry_name]))),
_xlpm.result,SUM(_xlfn._xlws.FILTER(_xlpm.members,_xlpm.name_match*_xlpm.recent)),
IFERROR(_xlpm.result,C77)
)</f>
        <v>122</v>
      </c>
      <c r="C77" s="15"/>
      <c r="D77" s="34"/>
      <c r="E77" s="38"/>
      <c r="F77" s="38"/>
      <c r="G77" s="38"/>
      <c r="H77" s="38"/>
      <c r="I77" s="39"/>
      <c r="J77" s="38"/>
      <c r="K77" s="38"/>
    </row>
    <row r="78" spans="1:12" ht="9.9499999999999993" customHeight="1" x14ac:dyDescent="0.15">
      <c r="A78" s="10" t="s">
        <v>17</v>
      </c>
      <c r="B78" s="38" cm="1">
        <f t="array" ref="B78">_xlfn.LET(
_xlpm.recent,(wc_reports_2024[n]=1),
_xlpm.members,(wc_reports_2024[member_count]),
_xlpm.name_match,(ISNUMBER(SEARCH(A78,wc_reports_2024[ministry_name]))),
_xlpm.result,SUM(_xlfn._xlws.FILTER(_xlpm.members,_xlpm.name_match*_xlpm.recent)),
IFERROR(_xlpm.result,C78)
)</f>
        <v>345</v>
      </c>
      <c r="C78" s="15">
        <v>428</v>
      </c>
      <c r="D78" s="34">
        <v>327</v>
      </c>
      <c r="E78" s="38">
        <v>652</v>
      </c>
      <c r="F78" s="38">
        <v>645</v>
      </c>
      <c r="G78" s="38">
        <v>617</v>
      </c>
      <c r="H78" s="38">
        <v>753</v>
      </c>
      <c r="I78" s="39">
        <v>689</v>
      </c>
      <c r="J78" s="38">
        <v>667</v>
      </c>
      <c r="K78" s="39">
        <v>667</v>
      </c>
    </row>
    <row r="79" spans="1:12" ht="9.9499999999999993" customHeight="1" x14ac:dyDescent="0.15">
      <c r="A79" s="10" t="s">
        <v>18</v>
      </c>
      <c r="B79" s="38" cm="1">
        <f t="array" ref="B79">_xlfn.LET(
_xlpm.recent,(wc_reports_2024[n]=1),
_xlpm.members,(wc_reports_2024[member_count]),
_xlpm.name_match,(ISNUMBER(SEARCH(A79,wc_reports_2024[ministry_name]))),
_xlpm.result,SUM(_xlfn._xlws.FILTER(_xlpm.members,_xlpm.name_match*_xlpm.recent)),
IFERROR(_xlpm.result,C79)
)</f>
        <v>250</v>
      </c>
      <c r="C79" s="15">
        <v>289</v>
      </c>
      <c r="D79" s="34">
        <v>260</v>
      </c>
      <c r="E79" s="38">
        <v>190</v>
      </c>
      <c r="F79" s="38">
        <v>264</v>
      </c>
      <c r="G79" s="38">
        <v>210</v>
      </c>
      <c r="H79" s="38">
        <v>220</v>
      </c>
      <c r="I79" s="39">
        <v>176</v>
      </c>
      <c r="J79" s="38">
        <v>155</v>
      </c>
      <c r="K79" s="39">
        <v>145</v>
      </c>
    </row>
    <row r="80" spans="1:12" ht="9.9499999999999993" customHeight="1" x14ac:dyDescent="0.15">
      <c r="A80" s="10" t="s">
        <v>629</v>
      </c>
      <c r="B80" s="38" cm="1">
        <f t="array" ref="B80">_xlfn.LET(
_xlpm.recent,(wc_reports_2024[n]=1),
_xlpm.members,(wc_reports_2024[member_count]),
_xlpm.name_match,(ISNUMBER(SEARCH(A80,wc_reports_2024[ministry_name]))),
_xlpm.result,SUM(_xlfn._xlws.FILTER(_xlpm.members,_xlpm.name_match*_xlpm.recent)),
IFERROR(_xlpm.result,C80)
)</f>
        <v>75</v>
      </c>
      <c r="C80" s="15"/>
      <c r="D80" s="34"/>
      <c r="E80" s="38"/>
      <c r="F80" s="38"/>
      <c r="G80" s="38"/>
      <c r="H80" s="38"/>
      <c r="I80" s="39"/>
      <c r="J80" s="38"/>
      <c r="K80" s="39"/>
    </row>
    <row r="81" spans="1:11" ht="9.9499999999999993" customHeight="1" x14ac:dyDescent="0.15">
      <c r="A81" s="10" t="s">
        <v>19</v>
      </c>
      <c r="B81" s="38" cm="1">
        <f t="array" ref="B81">_xlfn.LET(
_xlpm.recent,(wc_reports_2024[n]=1),
_xlpm.members,(wc_reports_2024[member_count]),
_xlpm.name_match,(ISNUMBER(SEARCH(A81,wc_reports_2024[ministry_name]))),
_xlpm.result,SUM(_xlfn._xlws.FILTER(_xlpm.members,_xlpm.name_match*_xlpm.recent)),
IFERROR(_xlpm.result,C81)
)</f>
        <v>270</v>
      </c>
      <c r="C81" s="15">
        <v>265</v>
      </c>
      <c r="D81" s="34">
        <v>230</v>
      </c>
      <c r="E81" s="38">
        <v>245</v>
      </c>
      <c r="F81" s="38">
        <v>255</v>
      </c>
      <c r="G81" s="38">
        <v>235</v>
      </c>
      <c r="H81" s="38">
        <v>205</v>
      </c>
      <c r="I81" s="39">
        <v>160</v>
      </c>
      <c r="J81" s="38">
        <v>195</v>
      </c>
      <c r="K81" s="39">
        <v>189</v>
      </c>
    </row>
    <row r="82" spans="1:11" s="6" customFormat="1" ht="9.9499999999999993" customHeight="1" x14ac:dyDescent="0.15">
      <c r="A82" s="10" t="s">
        <v>581</v>
      </c>
      <c r="B82" s="38" cm="1">
        <f t="array" ref="B82">_xlfn.LET(
_xlpm.recent,(wc_reports_2024[n]=1),
_xlpm.members,(wc_reports_2024[member_count]),
_xlpm.name_match,(ISNUMBER(SEARCH(A82,wc_reports_2024[ministry_name]))),
_xlpm.result,SUM(_xlfn._xlws.FILTER(_xlpm.members,_xlpm.name_match*_xlpm.recent)),
IFERROR(_xlpm.result,C82)
)</f>
        <v>641</v>
      </c>
      <c r="C82" s="15">
        <v>1210</v>
      </c>
      <c r="D82" s="34">
        <v>1210</v>
      </c>
      <c r="E82" s="38">
        <v>1008</v>
      </c>
      <c r="F82" s="38">
        <v>1008</v>
      </c>
      <c r="G82" s="38">
        <v>1125</v>
      </c>
      <c r="H82" s="38">
        <v>896</v>
      </c>
      <c r="I82" s="39">
        <v>1534</v>
      </c>
      <c r="J82" s="38">
        <v>1534</v>
      </c>
      <c r="K82" s="39">
        <v>1534</v>
      </c>
    </row>
    <row r="83" spans="1:11" ht="9.9499999999999993" customHeight="1" x14ac:dyDescent="0.15">
      <c r="A83" s="10" t="s">
        <v>582</v>
      </c>
      <c r="B83" s="38" cm="1">
        <f t="array" ref="B83">_xlfn.LET(
_xlpm.recent,(wc_reports_2024[n]=1),
_xlpm.members,(wc_reports_2024[member_count]),
_xlpm.name_match,(ISNUMBER(SEARCH(A83,wc_reports_2024[ministry_name]))),
_xlpm.result,SUM(_xlfn._xlws.FILTER(_xlpm.members,_xlpm.name_match*_xlpm.recent)),
IFERROR(_xlpm.result,C83)
)</f>
        <v>398</v>
      </c>
      <c r="C83" s="15">
        <v>431</v>
      </c>
      <c r="D83" s="34">
        <v>274</v>
      </c>
      <c r="E83" s="38"/>
      <c r="F83" s="38"/>
      <c r="G83" s="38"/>
      <c r="H83" s="38"/>
      <c r="I83" s="39"/>
      <c r="J83" s="38"/>
      <c r="K83" s="39"/>
    </row>
    <row r="84" spans="1:11" ht="9.9499999999999993" customHeight="1" x14ac:dyDescent="0.15">
      <c r="A84" s="10" t="s">
        <v>583</v>
      </c>
      <c r="B84" s="38" cm="1">
        <f t="array" ref="B84">_xlfn.LET(
_xlpm.recent,(wc_reports_2024[n]=1),
_xlpm.members,(wc_reports_2024[member_count]),
_xlpm.name_match,(ISNUMBER(SEARCH(A84,wc_reports_2024[ministry_name]))),
_xlpm.result,SUM(_xlfn._xlws.FILTER(_xlpm.members,_xlpm.name_match*_xlpm.recent)),
IFERROR(_xlpm.result,C84)
)</f>
        <v>100</v>
      </c>
      <c r="C84" s="15">
        <v>170</v>
      </c>
      <c r="D84" s="34"/>
      <c r="E84" s="38"/>
      <c r="F84" s="38"/>
      <c r="G84" s="38"/>
      <c r="H84" s="38"/>
      <c r="I84" s="39"/>
      <c r="J84" s="38"/>
      <c r="K84" s="38"/>
    </row>
    <row r="85" spans="1:11" s="4" customFormat="1" ht="9.9499999999999993" customHeight="1" x14ac:dyDescent="0.15">
      <c r="A85" s="11" t="s">
        <v>584</v>
      </c>
      <c r="B85" s="38" cm="1">
        <f t="array" ref="B85">_xlfn.LET(
_xlpm.recent,(wc_reports_2024[n]=1),
_xlpm.members,(wc_reports_2024[member_count]),
_xlpm.name_match,(ISNUMBER(SEARCH(A85,wc_reports_2024[ministry_name]))),
_xlpm.result,SUM(_xlfn._xlws.FILTER(_xlpm.members,_xlpm.name_match*_xlpm.recent)),
IFERROR(_xlpm.result,C85)
)</f>
        <v>310</v>
      </c>
      <c r="C85" s="50">
        <v>317</v>
      </c>
      <c r="D85" s="33">
        <v>290</v>
      </c>
      <c r="E85" s="40">
        <v>265</v>
      </c>
      <c r="F85" s="40">
        <v>175</v>
      </c>
      <c r="G85" s="40"/>
      <c r="H85" s="40"/>
      <c r="I85" s="41"/>
      <c r="J85" s="40"/>
      <c r="K85" s="41"/>
    </row>
    <row r="86" spans="1:11" s="4" customFormat="1" ht="9.9499999999999993" customHeight="1" x14ac:dyDescent="0.2">
      <c r="A86" s="12" t="s">
        <v>20</v>
      </c>
      <c r="B86" s="13">
        <f t="shared" ref="B86:K86" si="4">SUM(B57:B85)</f>
        <v>20493</v>
      </c>
      <c r="C86" s="13">
        <f t="shared" si="4"/>
        <v>22975</v>
      </c>
      <c r="D86" s="13">
        <f t="shared" si="4"/>
        <v>20730</v>
      </c>
      <c r="E86" s="13">
        <f t="shared" si="4"/>
        <v>11422</v>
      </c>
      <c r="F86" s="13">
        <f t="shared" si="4"/>
        <v>12551</v>
      </c>
      <c r="G86" s="13">
        <f t="shared" si="4"/>
        <v>11833</v>
      </c>
      <c r="H86" s="13">
        <f t="shared" si="4"/>
        <v>10597</v>
      </c>
      <c r="I86" s="13">
        <f t="shared" si="4"/>
        <v>9876</v>
      </c>
      <c r="J86" s="13">
        <f t="shared" si="4"/>
        <v>8149</v>
      </c>
      <c r="K86" s="13">
        <f t="shared" si="4"/>
        <v>8534</v>
      </c>
    </row>
    <row r="87" spans="1:11" s="4" customFormat="1" ht="9.9499999999999993" customHeight="1" x14ac:dyDescent="0.15">
      <c r="A87" s="19" t="s">
        <v>27</v>
      </c>
      <c r="B87" s="21"/>
      <c r="C87" s="52"/>
      <c r="D87" s="36"/>
      <c r="E87" s="48"/>
      <c r="F87" s="48"/>
      <c r="G87" s="48"/>
      <c r="H87" s="46"/>
      <c r="I87" s="48"/>
      <c r="J87" s="48"/>
      <c r="K87" s="60"/>
    </row>
    <row r="88" spans="1:11" ht="9.9499999999999993" customHeight="1" x14ac:dyDescent="0.15">
      <c r="A88" s="10" t="s">
        <v>502</v>
      </c>
      <c r="B88" s="38" cm="1">
        <f t="array" ref="B88">_xlfn.LET(
_xlpm.recent,(wc_reports_2024[n]=1),
_xlpm.members,(wc_reports_2024[member_count]),
_xlpm.name_match,(ISNUMBER(SEARCH(A88,wc_reports_2024[ministry_name]))),
_xlpm.result,SUM(_xlfn._xlws.FILTER(_xlpm.members,_xlpm.name_match*_xlpm.recent)),
IFERROR(_xlpm.result,C88)
)</f>
        <v>10</v>
      </c>
      <c r="C88" s="15"/>
      <c r="D88" s="34"/>
      <c r="E88" s="38"/>
      <c r="F88" s="38"/>
      <c r="G88" s="38"/>
      <c r="H88" s="38"/>
      <c r="I88" s="39"/>
      <c r="J88" s="38"/>
      <c r="K88" s="39"/>
    </row>
    <row r="89" spans="1:11" ht="9.9499999999999993" customHeight="1" x14ac:dyDescent="0.15">
      <c r="A89" s="10" t="s">
        <v>505</v>
      </c>
      <c r="B89" s="38" cm="1">
        <f t="array" ref="B89">_xlfn.LET(
_xlpm.recent,(wc_reports_2024[n]=1),
_xlpm.members,(wc_reports_2024[member_count]),
_xlpm.name_match,(ISNUMBER(SEARCH(A89,wc_reports_2024[ministry_name]))),
_xlpm.result,SUM(_xlfn._xlws.FILTER(_xlpm.members,_xlpm.name_match*_xlpm.recent)),
IFERROR(_xlpm.result,C89)
)</f>
        <v>66</v>
      </c>
      <c r="C89" s="15"/>
      <c r="D89" s="34">
        <v>68</v>
      </c>
      <c r="E89" s="38"/>
      <c r="F89" s="38"/>
      <c r="G89" s="38"/>
      <c r="H89" s="38"/>
      <c r="I89" s="39">
        <v>122</v>
      </c>
      <c r="J89" s="38">
        <v>181</v>
      </c>
      <c r="K89" s="39">
        <v>181</v>
      </c>
    </row>
    <row r="90" spans="1:11" ht="9.9499999999999993" customHeight="1" x14ac:dyDescent="0.15">
      <c r="A90" s="10" t="s">
        <v>506</v>
      </c>
      <c r="B90" s="38" cm="1">
        <f t="array" ref="B90">_xlfn.LET(
_xlpm.recent,(wc_reports_2024[n]=1),
_xlpm.members,(wc_reports_2024[member_count]),
_xlpm.name_match,(ISNUMBER(SEARCH(A90,wc_reports_2024[ministry_name]))),
_xlpm.result,SUM(_xlfn._xlws.FILTER(_xlpm.members,_xlpm.name_match*_xlpm.recent)),
IFERROR(_xlpm.result,C90)
)</f>
        <v>20</v>
      </c>
      <c r="C90" s="15"/>
      <c r="D90" s="34">
        <v>68</v>
      </c>
      <c r="E90" s="38"/>
      <c r="F90" s="38"/>
      <c r="G90" s="38"/>
      <c r="H90" s="38"/>
      <c r="I90" s="39">
        <v>122</v>
      </c>
      <c r="J90" s="38">
        <v>181</v>
      </c>
      <c r="K90" s="39">
        <v>181</v>
      </c>
    </row>
    <row r="91" spans="1:11" ht="9.9499999999999993" customHeight="1" x14ac:dyDescent="0.15">
      <c r="A91" s="10" t="s">
        <v>509</v>
      </c>
      <c r="B91" s="38" cm="1">
        <f t="array" ref="B91">_xlfn.LET(
_xlpm.recent,(wc_reports_2024[n]=1),
_xlpm.members,(wc_reports_2024[member_count]),
_xlpm.name_match,(ISNUMBER(SEARCH(A91,wc_reports_2024[ministry_name]))),
_xlpm.result,SUM(_xlfn._xlws.FILTER(_xlpm.members,_xlpm.name_match*_xlpm.recent)),
IFERROR(_xlpm.result,C91)
)</f>
        <v>48</v>
      </c>
      <c r="C91" s="56"/>
      <c r="D91" s="57"/>
      <c r="E91" s="58"/>
      <c r="F91" s="58"/>
      <c r="G91" s="58"/>
      <c r="H91" s="58"/>
      <c r="I91" s="59"/>
      <c r="J91" s="58"/>
      <c r="K91" s="59"/>
    </row>
    <row r="92" spans="1:11" ht="9.9499999999999993" customHeight="1" x14ac:dyDescent="0.15">
      <c r="A92" s="10" t="s">
        <v>510</v>
      </c>
      <c r="B92" s="38" cm="1">
        <f t="array" ref="B92">_xlfn.LET(
_xlpm.recent,(wc_reports_2024[n]=1),
_xlpm.members,(wc_reports_2024[member_count]),
_xlpm.name_match,(ISNUMBER(SEARCH(A92,wc_reports_2024[ministry_name]))),
_xlpm.result,SUM(_xlfn._xlws.FILTER(_xlpm.members,_xlpm.name_match*_xlpm.recent)),
IFERROR(_xlpm.result,C92)
)</f>
        <v>0</v>
      </c>
      <c r="C92" s="56"/>
      <c r="D92" s="57"/>
      <c r="E92" s="58"/>
      <c r="F92" s="58"/>
      <c r="G92" s="58"/>
      <c r="H92" s="58"/>
      <c r="I92" s="59"/>
      <c r="J92" s="58"/>
      <c r="K92" s="59"/>
    </row>
    <row r="93" spans="1:11" s="4" customFormat="1" ht="9.9499999999999993" customHeight="1" x14ac:dyDescent="0.15">
      <c r="A93" s="10" t="s">
        <v>511</v>
      </c>
      <c r="B93" s="38" cm="1">
        <f t="array" ref="B93">_xlfn.LET(
_xlpm.recent,(wc_reports_2024[n]=1),
_xlpm.members,(wc_reports_2024[member_count]),
_xlpm.name_match,(ISNUMBER(SEARCH(A93,wc_reports_2024[ministry_name]))),
_xlpm.result,SUM(_xlfn._xlws.FILTER(_xlpm.members,_xlpm.name_match*_xlpm.recent)),
IFERROR(_xlpm.result,C93)
)</f>
        <v>598</v>
      </c>
      <c r="C93" s="15">
        <v>580</v>
      </c>
      <c r="D93" s="34">
        <v>500</v>
      </c>
      <c r="E93" s="38">
        <v>500</v>
      </c>
      <c r="F93" s="38">
        <v>500</v>
      </c>
      <c r="G93" s="38">
        <v>500</v>
      </c>
      <c r="H93" s="38">
        <v>500</v>
      </c>
      <c r="I93" s="39">
        <v>500</v>
      </c>
      <c r="J93" s="38">
        <v>500</v>
      </c>
      <c r="K93" s="39">
        <v>310</v>
      </c>
    </row>
    <row r="94" spans="1:11" s="4" customFormat="1" ht="9.9499999999999993" customHeight="1" x14ac:dyDescent="0.15">
      <c r="A94" s="10" t="s">
        <v>512</v>
      </c>
      <c r="B94" s="38" cm="1">
        <f t="array" ref="B94">_xlfn.LET(
_xlpm.recent,(wc_reports_2024[n]=1),
_xlpm.members,(wc_reports_2024[member_count]),
_xlpm.name_match,(ISNUMBER(SEARCH(A94,wc_reports_2024[ministry_name]))),
_xlpm.result,SUM(_xlfn._xlws.FILTER(_xlpm.members,_xlpm.name_match*_xlpm.recent)),
IFERROR(_xlpm.result,C94)
)</f>
        <v>0</v>
      </c>
      <c r="C94" s="15"/>
      <c r="D94" s="34">
        <v>291</v>
      </c>
      <c r="E94" s="38">
        <v>291</v>
      </c>
      <c r="F94" s="38">
        <v>291</v>
      </c>
      <c r="G94" s="38">
        <v>291</v>
      </c>
      <c r="H94" s="38">
        <v>291</v>
      </c>
      <c r="I94" s="39">
        <v>291</v>
      </c>
      <c r="J94" s="38">
        <v>291</v>
      </c>
      <c r="K94" s="39">
        <v>300</v>
      </c>
    </row>
    <row r="95" spans="1:11" s="4" customFormat="1" ht="9.9499999999999993" customHeight="1" x14ac:dyDescent="0.15">
      <c r="A95" s="10" t="s">
        <v>513</v>
      </c>
      <c r="B95" s="38" cm="1">
        <f t="array" ref="B95">_xlfn.LET(
_xlpm.recent,(wc_reports_2024[n]=1),
_xlpm.members,(wc_reports_2024[member_count]),
_xlpm.name_match,(ISNUMBER(SEARCH(A95,wc_reports_2024[ministry_name]))),
_xlpm.result,SUM(_xlfn._xlws.FILTER(_xlpm.members,_xlpm.name_match*_xlpm.recent)),
IFERROR(_xlpm.result,C95)
)</f>
        <v>874</v>
      </c>
      <c r="C95" s="15"/>
      <c r="D95" s="34"/>
      <c r="E95" s="38"/>
      <c r="F95" s="38"/>
      <c r="G95" s="38"/>
      <c r="H95" s="38"/>
      <c r="I95" s="39"/>
      <c r="J95" s="38"/>
      <c r="K95" s="39"/>
    </row>
    <row r="96" spans="1:11" s="4" customFormat="1" ht="9.9499999999999993" customHeight="1" x14ac:dyDescent="0.15">
      <c r="A96" s="10" t="s">
        <v>630</v>
      </c>
      <c r="B96" s="38" cm="1">
        <f t="array" ref="B96">_xlfn.LET(
_xlpm.recent,(wc_reports_2024[n]=1),
_xlpm.members,(wc_reports_2024[member_count]),
_xlpm.name_match,(ISNUMBER(SEARCH(A96,wc_reports_2024[ministry_name]))),
_xlpm.result,SUM(_xlfn._xlws.FILTER(_xlpm.members,_xlpm.name_match*_xlpm.recent)),
IFERROR(_xlpm.result,C96)
)</f>
        <v>164</v>
      </c>
      <c r="C96" s="15"/>
      <c r="D96" s="34"/>
      <c r="E96" s="38"/>
      <c r="F96" s="38"/>
      <c r="G96" s="38"/>
      <c r="H96" s="38"/>
      <c r="I96" s="39"/>
      <c r="J96" s="38"/>
      <c r="K96" s="39"/>
    </row>
    <row r="97" spans="1:11" s="4" customFormat="1" ht="9.9499999999999993" customHeight="1" x14ac:dyDescent="0.15">
      <c r="A97" s="10" t="s">
        <v>514</v>
      </c>
      <c r="B97" s="38" cm="1">
        <f t="array" ref="B97">_xlfn.LET(
_xlpm.recent,(wc_reports_2024[n]=1),
_xlpm.members,(wc_reports_2024[member_count]),
_xlpm.name_match,(ISNUMBER(SEARCH(A97,wc_reports_2024[ministry_name]))),
_xlpm.result,SUM(_xlfn._xlws.FILTER(_xlpm.members,_xlpm.name_match*_xlpm.recent)),
IFERROR(_xlpm.result,C97)
)</f>
        <v>70</v>
      </c>
      <c r="C97" s="15"/>
      <c r="D97" s="34"/>
      <c r="E97" s="38"/>
      <c r="F97" s="38"/>
      <c r="G97" s="38"/>
      <c r="H97" s="38"/>
      <c r="I97" s="39"/>
      <c r="J97" s="38"/>
      <c r="K97" s="39"/>
    </row>
    <row r="98" spans="1:11" s="4" customFormat="1" ht="9.9499999999999993" customHeight="1" x14ac:dyDescent="0.15">
      <c r="A98" s="10" t="s">
        <v>515</v>
      </c>
      <c r="B98" s="38">
        <v>705</v>
      </c>
      <c r="C98" s="15"/>
      <c r="D98" s="34"/>
      <c r="E98" s="38"/>
      <c r="F98" s="38"/>
      <c r="G98" s="38"/>
      <c r="H98" s="38"/>
      <c r="I98" s="39"/>
      <c r="J98" s="38"/>
      <c r="K98" s="39"/>
    </row>
    <row r="99" spans="1:11" s="4" customFormat="1" ht="9.9499999999999993" customHeight="1" x14ac:dyDescent="0.15">
      <c r="A99" s="10" t="s">
        <v>516</v>
      </c>
      <c r="B99" s="38" cm="1">
        <f t="array" ref="B99">_xlfn.LET(
_xlpm.recent,(wc_reports_2024[n]=1),
_xlpm.members,(wc_reports_2024[member_count]),
_xlpm.name_match,(ISNUMBER(SEARCH(A99,wc_reports_2024[ministry_name]))),
_xlpm.result,SUM(_xlfn._xlws.FILTER(_xlpm.members,_xlpm.name_match*_xlpm.recent)),
IFERROR(_xlpm.result,C99)
)</f>
        <v>227</v>
      </c>
      <c r="C99" s="15"/>
      <c r="D99" s="34"/>
      <c r="E99" s="38"/>
      <c r="F99" s="38"/>
      <c r="G99" s="38"/>
      <c r="H99" s="38"/>
      <c r="I99" s="39"/>
      <c r="J99" s="38"/>
      <c r="K99" s="39"/>
    </row>
    <row r="100" spans="1:11" s="4" customFormat="1" ht="9.9499999999999993" customHeight="1" x14ac:dyDescent="0.15">
      <c r="A100" s="10" t="s">
        <v>517</v>
      </c>
      <c r="B100" s="38" cm="1">
        <f t="array" ref="B100">_xlfn.LET(
_xlpm.recent,(wc_reports_2024[n]=1),
_xlpm.members,(wc_reports_2024[member_count]),
_xlpm.name_match,(ISNUMBER(SEARCH(A100,wc_reports_2024[ministry_name]))),
_xlpm.result,SUM(_xlfn._xlws.FILTER(_xlpm.members,_xlpm.name_match*_xlpm.recent)),
IFERROR(_xlpm.result,C100)
)</f>
        <v>306</v>
      </c>
      <c r="C100" s="15"/>
      <c r="D100" s="34"/>
      <c r="E100" s="38"/>
      <c r="F100" s="38"/>
      <c r="G100" s="38"/>
      <c r="H100" s="38"/>
      <c r="I100" s="39"/>
      <c r="J100" s="38"/>
      <c r="K100" s="39"/>
    </row>
    <row r="101" spans="1:11" s="4" customFormat="1" ht="9.9499999999999993" customHeight="1" x14ac:dyDescent="0.15">
      <c r="A101" s="10" t="s">
        <v>518</v>
      </c>
      <c r="B101" s="38" cm="1">
        <f t="array" ref="B101">_xlfn.LET(
_xlpm.recent,(wc_reports_2024[n]=1),
_xlpm.members,(wc_reports_2024[member_count]),
_xlpm.name_match,(ISNUMBER(SEARCH(A101,wc_reports_2024[ministry_name]))),
_xlpm.result,SUM(_xlfn._xlws.FILTER(_xlpm.members,_xlpm.name_match*_xlpm.recent)),
IFERROR(_xlpm.result,C101)
)</f>
        <v>18</v>
      </c>
      <c r="C101" s="15"/>
      <c r="D101" s="34"/>
      <c r="E101" s="38"/>
      <c r="F101" s="38"/>
      <c r="G101" s="38"/>
      <c r="H101" s="38"/>
      <c r="I101" s="39"/>
      <c r="J101" s="38"/>
      <c r="K101" s="39"/>
    </row>
    <row r="102" spans="1:11" s="4" customFormat="1" ht="9.9499999999999993" customHeight="1" x14ac:dyDescent="0.15">
      <c r="A102" s="10" t="s">
        <v>519</v>
      </c>
      <c r="B102" s="38" cm="1">
        <f t="array" ref="B102">_xlfn.LET(
_xlpm.recent,(wc_reports_2024[n]=1),
_xlpm.members,(wc_reports_2024[member_count]),
_xlpm.name_match,(ISNUMBER(SEARCH(A102,wc_reports_2024[ministry_name]))),
_xlpm.result,SUM(_xlfn._xlws.FILTER(_xlpm.members,_xlpm.name_match*_xlpm.recent)),
IFERROR(_xlpm.result,C102)
)</f>
        <v>23</v>
      </c>
      <c r="C102" s="56"/>
      <c r="D102" s="57"/>
      <c r="E102" s="58"/>
      <c r="F102" s="58"/>
      <c r="G102" s="58"/>
      <c r="H102" s="58"/>
      <c r="I102" s="59"/>
      <c r="J102" s="58"/>
      <c r="K102" s="59"/>
    </row>
    <row r="103" spans="1:11" ht="9.9499999999999993" customHeight="1" x14ac:dyDescent="0.15">
      <c r="A103" s="10" t="s">
        <v>520</v>
      </c>
      <c r="B103" s="38" cm="1">
        <f t="array" ref="B103">_xlfn.LET(
_xlpm.recent,(wc_reports_2024[n]=1),
_xlpm.members,(wc_reports_2024[member_count]),
_xlpm.name_match,(ISNUMBER(SEARCH(A103,wc_reports_2024[ministry_name]))),
_xlpm.result,SUM(_xlfn._xlws.FILTER(_xlpm.members,_xlpm.name_match*_xlpm.recent)),
IFERROR(_xlpm.result,C103)
)</f>
        <v>213</v>
      </c>
      <c r="C103" s="15"/>
      <c r="D103" s="34">
        <v>430</v>
      </c>
      <c r="E103" s="38">
        <v>400</v>
      </c>
      <c r="F103" s="38">
        <v>312</v>
      </c>
      <c r="G103" s="38">
        <v>520</v>
      </c>
      <c r="H103" s="38">
        <v>520</v>
      </c>
      <c r="I103" s="39">
        <v>380</v>
      </c>
      <c r="J103" s="38">
        <v>346</v>
      </c>
      <c r="K103" s="39">
        <v>346</v>
      </c>
    </row>
    <row r="104" spans="1:11" ht="9.9499999999999993" customHeight="1" x14ac:dyDescent="0.15">
      <c r="A104" s="10" t="s">
        <v>521</v>
      </c>
      <c r="B104" s="38">
        <v>1028</v>
      </c>
      <c r="C104" s="15"/>
      <c r="D104" s="34"/>
      <c r="E104" s="38"/>
      <c r="F104" s="38"/>
      <c r="G104" s="38"/>
      <c r="H104" s="38"/>
      <c r="I104" s="39"/>
      <c r="J104" s="38"/>
      <c r="K104" s="39"/>
    </row>
    <row r="105" spans="1:11" ht="9.9499999999999993" customHeight="1" x14ac:dyDescent="0.15">
      <c r="A105" s="10" t="s">
        <v>523</v>
      </c>
      <c r="B105" s="38" cm="1">
        <f t="array" ref="B105">_xlfn.LET(
_xlpm.recent,(wc_reports_2024[n]=1),
_xlpm.members,(wc_reports_2024[member_count]),
_xlpm.name_match,(ISNUMBER(SEARCH(A105,wc_reports_2024[ministry_name]))),
_xlpm.result,SUM(_xlfn._xlws.FILTER(_xlpm.members,_xlpm.name_match*_xlpm.recent)),
IFERROR(_xlpm.result,C105)
)</f>
        <v>85</v>
      </c>
      <c r="C105" s="15"/>
      <c r="D105" s="34"/>
      <c r="E105" s="38"/>
      <c r="F105" s="38"/>
      <c r="G105" s="38"/>
      <c r="H105" s="38"/>
      <c r="I105" s="39"/>
      <c r="J105" s="38"/>
      <c r="K105" s="39"/>
    </row>
    <row r="106" spans="1:11" ht="9.9499999999999993" customHeight="1" x14ac:dyDescent="0.15">
      <c r="A106" s="10" t="s">
        <v>524</v>
      </c>
      <c r="B106" s="38" cm="1">
        <f t="array" ref="B106">_xlfn.LET(
_xlpm.recent,(wc_reports_2024[n]=1),
_xlpm.members,(wc_reports_2024[member_count]),
_xlpm.name_match,(ISNUMBER(SEARCH(A106,wc_reports_2024[ministry_name]))),
_xlpm.result,SUM(_xlfn._xlws.FILTER(_xlpm.members,_xlpm.name_match*_xlpm.recent)),
IFERROR(_xlpm.result,C106)
)</f>
        <v>0</v>
      </c>
      <c r="C106" s="15"/>
      <c r="D106" s="34"/>
      <c r="E106" s="38"/>
      <c r="F106" s="38"/>
      <c r="G106" s="38"/>
      <c r="H106" s="38"/>
      <c r="I106" s="39"/>
      <c r="J106" s="38"/>
      <c r="K106" s="39"/>
    </row>
    <row r="107" spans="1:11" s="4" customFormat="1" ht="9.9499999999999993" customHeight="1" x14ac:dyDescent="0.15">
      <c r="A107" s="11" t="s">
        <v>525</v>
      </c>
      <c r="B107" s="38" cm="1">
        <f t="array" ref="B107">_xlfn.LET(
_xlpm.recent,(wc_reports_2024[n]=1),
_xlpm.members,(wc_reports_2024[member_count]),
_xlpm.name_match,(ISNUMBER(SEARCH(A107,wc_reports_2024[ministry_name]))),
_xlpm.result,SUM(_xlfn._xlws.FILTER(_xlpm.members,_xlpm.name_match*_xlpm.recent)),
IFERROR(_xlpm.result,C107)
)</f>
        <v>25</v>
      </c>
      <c r="C107" s="50"/>
      <c r="D107" s="33"/>
      <c r="E107" s="40"/>
      <c r="F107" s="40"/>
      <c r="G107" s="40"/>
      <c r="H107" s="40"/>
      <c r="I107" s="41">
        <v>15</v>
      </c>
      <c r="J107" s="40">
        <v>10</v>
      </c>
      <c r="K107" s="41">
        <v>18</v>
      </c>
    </row>
    <row r="108" spans="1:11" ht="9.9499999999999993" customHeight="1" x14ac:dyDescent="0.2">
      <c r="A108" s="16" t="s">
        <v>21</v>
      </c>
      <c r="B108" s="13">
        <f t="shared" ref="B108:K108" si="5">SUM(B88:B107)</f>
        <v>4480</v>
      </c>
      <c r="C108" s="13">
        <f t="shared" si="5"/>
        <v>580</v>
      </c>
      <c r="D108" s="13">
        <f t="shared" si="5"/>
        <v>1357</v>
      </c>
      <c r="E108" s="13">
        <f t="shared" si="5"/>
        <v>1191</v>
      </c>
      <c r="F108" s="13">
        <f t="shared" si="5"/>
        <v>1103</v>
      </c>
      <c r="G108" s="13">
        <f t="shared" si="5"/>
        <v>1311</v>
      </c>
      <c r="H108" s="13">
        <f t="shared" si="5"/>
        <v>1311</v>
      </c>
      <c r="I108" s="13">
        <f t="shared" si="5"/>
        <v>1430</v>
      </c>
      <c r="J108" s="13">
        <f t="shared" si="5"/>
        <v>1509</v>
      </c>
      <c r="K108" s="13">
        <f t="shared" si="5"/>
        <v>1336</v>
      </c>
    </row>
    <row r="109" spans="1:11" ht="9.9499999999999993" customHeight="1" x14ac:dyDescent="0.2">
      <c r="A109" s="17" t="s">
        <v>22</v>
      </c>
      <c r="B109" s="24">
        <f t="shared" ref="B109:K109" si="6">SUM(B23,B26,B45,B55,B86,B108)</f>
        <v>1604041</v>
      </c>
      <c r="C109" s="24">
        <f t="shared" si="6"/>
        <v>1646473</v>
      </c>
      <c r="D109" s="24">
        <f t="shared" si="6"/>
        <v>1507649</v>
      </c>
      <c r="E109" s="24">
        <f t="shared" si="6"/>
        <v>1537755</v>
      </c>
      <c r="F109" s="24">
        <f t="shared" si="6"/>
        <v>1169433</v>
      </c>
      <c r="G109" s="24">
        <f t="shared" si="6"/>
        <v>1068419</v>
      </c>
      <c r="H109" s="24">
        <f t="shared" si="6"/>
        <v>1185864</v>
      </c>
      <c r="I109" s="24">
        <f t="shared" si="6"/>
        <v>1188301</v>
      </c>
      <c r="J109" s="24">
        <f t="shared" si="6"/>
        <v>1136790</v>
      </c>
      <c r="K109" s="24">
        <f t="shared" si="6"/>
        <v>1055890</v>
      </c>
    </row>
    <row r="110" spans="1:11" s="4" customFormat="1" ht="9.9499999999999993" customHeight="1" x14ac:dyDescent="0.15">
      <c r="A110" s="23" t="s">
        <v>602</v>
      </c>
      <c r="B110" s="23"/>
      <c r="C110" s="23"/>
      <c r="D110" s="31"/>
      <c r="E110" s="23"/>
      <c r="F110" s="23"/>
      <c r="G110" s="23"/>
      <c r="H110" s="23"/>
      <c r="I110" s="23"/>
      <c r="J110" s="8"/>
      <c r="K110" s="8"/>
    </row>
    <row r="111" spans="1:11" ht="9.9499999999999993" customHeight="1" x14ac:dyDescent="0.15">
      <c r="A111" s="23"/>
      <c r="B111" s="23"/>
      <c r="C111" s="23"/>
      <c r="D111" s="31"/>
      <c r="E111" s="23"/>
      <c r="F111" s="23"/>
      <c r="G111" s="23"/>
      <c r="H111" s="23"/>
      <c r="I111" s="23"/>
      <c r="J111" s="8"/>
      <c r="K111" s="8"/>
    </row>
    <row r="112" spans="1:11" ht="9.9499999999999993" customHeight="1" x14ac:dyDescent="0.15">
      <c r="A112" s="4"/>
      <c r="B112" s="4"/>
      <c r="C112" s="4"/>
      <c r="D112" s="32"/>
      <c r="E112" s="4"/>
      <c r="F112" s="4"/>
      <c r="G112" s="4"/>
      <c r="H112" s="4"/>
      <c r="I112" s="4"/>
      <c r="J112" s="4"/>
      <c r="K112" s="4"/>
    </row>
  </sheetData>
  <phoneticPr fontId="0" type="noConversion"/>
  <printOptions horizontalCentered="1" gridLines="1"/>
  <pageMargins left="1" right="1" top="0.25" bottom="0.25" header="0" footer="0"/>
  <pageSetup paperSize="5" orientation="portrait" r:id="rId1"/>
  <headerFooter scaleWithDoc="0" alignWithMargins="0">
    <oddHeader xml:space="preserve">&amp;C&amp;"Arial,Bold"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0AB7-0D66-4C1B-BE51-FC24D9EB1D1A}">
  <dimension ref="A1:D98"/>
  <sheetViews>
    <sheetView workbookViewId="0"/>
  </sheetViews>
  <sheetFormatPr defaultRowHeight="12.75" x14ac:dyDescent="0.2"/>
  <cols>
    <col min="1" max="1" width="27.28515625" bestFit="1" customWidth="1"/>
    <col min="2" max="2" width="31.42578125" bestFit="1" customWidth="1"/>
    <col min="3" max="3" width="40" bestFit="1" customWidth="1"/>
    <col min="4" max="4" width="50" bestFit="1" customWidth="1"/>
  </cols>
  <sheetData>
    <row r="1" spans="1:4" x14ac:dyDescent="0.2">
      <c r="A1" t="s">
        <v>472</v>
      </c>
      <c r="B1" t="s">
        <v>473</v>
      </c>
      <c r="C1" t="s">
        <v>474</v>
      </c>
      <c r="D1" t="s">
        <v>475</v>
      </c>
    </row>
    <row r="2" spans="1:4" x14ac:dyDescent="0.2">
      <c r="A2" t="s">
        <v>476</v>
      </c>
      <c r="B2" t="s">
        <v>477</v>
      </c>
      <c r="C2" t="s">
        <v>332</v>
      </c>
      <c r="D2" t="s">
        <v>478</v>
      </c>
    </row>
    <row r="3" spans="1:4" x14ac:dyDescent="0.2">
      <c r="A3" t="s">
        <v>476</v>
      </c>
      <c r="B3" t="s">
        <v>479</v>
      </c>
      <c r="C3" t="s">
        <v>480</v>
      </c>
      <c r="D3" t="s">
        <v>481</v>
      </c>
    </row>
    <row r="4" spans="1:4" x14ac:dyDescent="0.2">
      <c r="A4" t="s">
        <v>476</v>
      </c>
      <c r="B4" t="s">
        <v>482</v>
      </c>
      <c r="C4" t="s">
        <v>332</v>
      </c>
      <c r="D4" t="s">
        <v>478</v>
      </c>
    </row>
    <row r="5" spans="1:4" x14ac:dyDescent="0.2">
      <c r="A5" t="s">
        <v>476</v>
      </c>
      <c r="B5" t="s">
        <v>483</v>
      </c>
      <c r="C5" t="s">
        <v>332</v>
      </c>
      <c r="D5" t="s">
        <v>478</v>
      </c>
    </row>
    <row r="6" spans="1:4" x14ac:dyDescent="0.2">
      <c r="A6" t="s">
        <v>476</v>
      </c>
      <c r="B6" t="s">
        <v>484</v>
      </c>
      <c r="C6" t="s">
        <v>332</v>
      </c>
      <c r="D6" t="s">
        <v>478</v>
      </c>
    </row>
    <row r="7" spans="1:4" x14ac:dyDescent="0.2">
      <c r="A7" t="s">
        <v>476</v>
      </c>
      <c r="B7" t="s">
        <v>485</v>
      </c>
      <c r="C7" t="s">
        <v>332</v>
      </c>
      <c r="D7" t="s">
        <v>478</v>
      </c>
    </row>
    <row r="8" spans="1:4" x14ac:dyDescent="0.2">
      <c r="A8" t="s">
        <v>476</v>
      </c>
      <c r="B8" t="s">
        <v>486</v>
      </c>
      <c r="C8" t="s">
        <v>332</v>
      </c>
      <c r="D8" t="s">
        <v>478</v>
      </c>
    </row>
    <row r="9" spans="1:4" x14ac:dyDescent="0.2">
      <c r="A9" t="s">
        <v>476</v>
      </c>
      <c r="B9" t="s">
        <v>487</v>
      </c>
      <c r="C9" t="s">
        <v>480</v>
      </c>
      <c r="D9" t="s">
        <v>481</v>
      </c>
    </row>
    <row r="10" spans="1:4" x14ac:dyDescent="0.2">
      <c r="A10" t="s">
        <v>476</v>
      </c>
      <c r="B10" t="s">
        <v>488</v>
      </c>
      <c r="C10" t="s">
        <v>489</v>
      </c>
      <c r="D10" t="s">
        <v>89</v>
      </c>
    </row>
    <row r="11" spans="1:4" x14ac:dyDescent="0.2">
      <c r="A11" t="s">
        <v>476</v>
      </c>
      <c r="B11" t="s">
        <v>490</v>
      </c>
      <c r="C11" t="s">
        <v>489</v>
      </c>
      <c r="D11" t="s">
        <v>89</v>
      </c>
    </row>
    <row r="12" spans="1:4" x14ac:dyDescent="0.2">
      <c r="A12" t="s">
        <v>476</v>
      </c>
      <c r="B12" t="s">
        <v>491</v>
      </c>
      <c r="C12" t="s">
        <v>489</v>
      </c>
      <c r="D12" t="s">
        <v>89</v>
      </c>
    </row>
    <row r="13" spans="1:4" x14ac:dyDescent="0.2">
      <c r="A13" t="s">
        <v>476</v>
      </c>
      <c r="B13" t="s">
        <v>492</v>
      </c>
      <c r="C13" t="s">
        <v>489</v>
      </c>
      <c r="D13" t="s">
        <v>89</v>
      </c>
    </row>
    <row r="14" spans="1:4" x14ac:dyDescent="0.2">
      <c r="A14" t="s">
        <v>476</v>
      </c>
      <c r="B14" t="s">
        <v>493</v>
      </c>
      <c r="C14" t="s">
        <v>489</v>
      </c>
      <c r="D14" t="s">
        <v>89</v>
      </c>
    </row>
    <row r="15" spans="1:4" x14ac:dyDescent="0.2">
      <c r="A15" t="s">
        <v>476</v>
      </c>
      <c r="B15" t="s">
        <v>9</v>
      </c>
      <c r="C15" t="s">
        <v>489</v>
      </c>
      <c r="D15" t="s">
        <v>89</v>
      </c>
    </row>
    <row r="16" spans="1:4" x14ac:dyDescent="0.2">
      <c r="A16" t="s">
        <v>476</v>
      </c>
      <c r="B16" t="s">
        <v>494</v>
      </c>
      <c r="C16" t="s">
        <v>480</v>
      </c>
      <c r="D16" t="s">
        <v>481</v>
      </c>
    </row>
    <row r="17" spans="1:4" x14ac:dyDescent="0.2">
      <c r="A17" t="s">
        <v>476</v>
      </c>
      <c r="B17" t="s">
        <v>495</v>
      </c>
      <c r="C17" t="s">
        <v>480</v>
      </c>
      <c r="D17" t="s">
        <v>481</v>
      </c>
    </row>
    <row r="18" spans="1:4" x14ac:dyDescent="0.2">
      <c r="A18" t="s">
        <v>476</v>
      </c>
      <c r="B18" t="s">
        <v>496</v>
      </c>
      <c r="C18" t="s">
        <v>332</v>
      </c>
      <c r="D18" t="s">
        <v>478</v>
      </c>
    </row>
    <row r="19" spans="1:4" x14ac:dyDescent="0.2">
      <c r="A19" t="s">
        <v>476</v>
      </c>
      <c r="B19" t="s">
        <v>497</v>
      </c>
      <c r="C19" t="s">
        <v>498</v>
      </c>
      <c r="D19" t="s">
        <v>122</v>
      </c>
    </row>
    <row r="20" spans="1:4" x14ac:dyDescent="0.2">
      <c r="A20" t="s">
        <v>476</v>
      </c>
      <c r="B20" t="s">
        <v>499</v>
      </c>
      <c r="C20" t="s">
        <v>500</v>
      </c>
      <c r="D20" t="s">
        <v>127</v>
      </c>
    </row>
    <row r="21" spans="1:4" x14ac:dyDescent="0.2">
      <c r="A21" t="s">
        <v>501</v>
      </c>
      <c r="B21" t="s">
        <v>502</v>
      </c>
      <c r="C21" t="s">
        <v>503</v>
      </c>
      <c r="D21" t="s">
        <v>504</v>
      </c>
    </row>
    <row r="22" spans="1:4" x14ac:dyDescent="0.2">
      <c r="A22" t="s">
        <v>501</v>
      </c>
      <c r="B22" t="s">
        <v>505</v>
      </c>
      <c r="C22" t="s">
        <v>480</v>
      </c>
      <c r="D22" t="s">
        <v>481</v>
      </c>
    </row>
    <row r="23" spans="1:4" x14ac:dyDescent="0.2">
      <c r="A23" t="s">
        <v>501</v>
      </c>
      <c r="B23" t="s">
        <v>506</v>
      </c>
      <c r="C23" t="s">
        <v>507</v>
      </c>
      <c r="D23" t="s">
        <v>508</v>
      </c>
    </row>
    <row r="24" spans="1:4" x14ac:dyDescent="0.2">
      <c r="A24" t="s">
        <v>501</v>
      </c>
      <c r="B24" t="s">
        <v>509</v>
      </c>
      <c r="C24" t="s">
        <v>489</v>
      </c>
      <c r="D24" t="s">
        <v>89</v>
      </c>
    </row>
    <row r="25" spans="1:4" x14ac:dyDescent="0.2">
      <c r="A25" t="s">
        <v>501</v>
      </c>
      <c r="B25" t="s">
        <v>510</v>
      </c>
      <c r="C25" t="s">
        <v>332</v>
      </c>
      <c r="D25" t="s">
        <v>478</v>
      </c>
    </row>
    <row r="26" spans="1:4" x14ac:dyDescent="0.2">
      <c r="A26" t="s">
        <v>501</v>
      </c>
      <c r="B26" t="s">
        <v>511</v>
      </c>
      <c r="C26" t="s">
        <v>332</v>
      </c>
      <c r="D26" t="s">
        <v>478</v>
      </c>
    </row>
    <row r="27" spans="1:4" x14ac:dyDescent="0.2">
      <c r="A27" t="s">
        <v>501</v>
      </c>
      <c r="B27" t="s">
        <v>512</v>
      </c>
      <c r="C27" t="s">
        <v>332</v>
      </c>
      <c r="D27" t="s">
        <v>478</v>
      </c>
    </row>
    <row r="28" spans="1:4" x14ac:dyDescent="0.2">
      <c r="A28" t="s">
        <v>501</v>
      </c>
      <c r="B28" t="s">
        <v>513</v>
      </c>
      <c r="C28" t="s">
        <v>480</v>
      </c>
      <c r="D28" t="s">
        <v>481</v>
      </c>
    </row>
    <row r="29" spans="1:4" x14ac:dyDescent="0.2">
      <c r="A29" t="s">
        <v>501</v>
      </c>
      <c r="B29" t="s">
        <v>630</v>
      </c>
      <c r="C29" t="s">
        <v>605</v>
      </c>
      <c r="D29" t="s">
        <v>610</v>
      </c>
    </row>
    <row r="30" spans="1:4" x14ac:dyDescent="0.2">
      <c r="A30" t="s">
        <v>501</v>
      </c>
      <c r="B30" t="s">
        <v>514</v>
      </c>
      <c r="C30" t="s">
        <v>503</v>
      </c>
      <c r="D30" t="s">
        <v>504</v>
      </c>
    </row>
    <row r="31" spans="1:4" x14ac:dyDescent="0.2">
      <c r="A31" t="s">
        <v>501</v>
      </c>
      <c r="B31" t="s">
        <v>515</v>
      </c>
      <c r="C31" t="s">
        <v>480</v>
      </c>
      <c r="D31" t="s">
        <v>481</v>
      </c>
    </row>
    <row r="32" spans="1:4" x14ac:dyDescent="0.2">
      <c r="A32" t="s">
        <v>501</v>
      </c>
      <c r="B32" t="s">
        <v>516</v>
      </c>
      <c r="C32" t="s">
        <v>489</v>
      </c>
      <c r="D32" t="s">
        <v>89</v>
      </c>
    </row>
    <row r="33" spans="1:4" x14ac:dyDescent="0.2">
      <c r="A33" t="s">
        <v>501</v>
      </c>
      <c r="B33" t="s">
        <v>517</v>
      </c>
      <c r="C33" t="s">
        <v>489</v>
      </c>
      <c r="D33" t="s">
        <v>89</v>
      </c>
    </row>
    <row r="34" spans="1:4" x14ac:dyDescent="0.2">
      <c r="A34" t="s">
        <v>501</v>
      </c>
      <c r="B34" t="s">
        <v>518</v>
      </c>
      <c r="C34" t="s">
        <v>503</v>
      </c>
      <c r="D34" t="s">
        <v>504</v>
      </c>
    </row>
    <row r="35" spans="1:4" x14ac:dyDescent="0.2">
      <c r="A35" t="s">
        <v>501</v>
      </c>
      <c r="B35" t="s">
        <v>519</v>
      </c>
      <c r="C35" t="s">
        <v>332</v>
      </c>
      <c r="D35" t="s">
        <v>478</v>
      </c>
    </row>
    <row r="36" spans="1:4" x14ac:dyDescent="0.2">
      <c r="A36" t="s">
        <v>501</v>
      </c>
      <c r="B36" t="s">
        <v>520</v>
      </c>
      <c r="C36" t="s">
        <v>498</v>
      </c>
      <c r="D36" t="s">
        <v>122</v>
      </c>
    </row>
    <row r="37" spans="1:4" x14ac:dyDescent="0.2">
      <c r="A37" t="s">
        <v>501</v>
      </c>
      <c r="B37" t="s">
        <v>521</v>
      </c>
      <c r="C37" t="s">
        <v>522</v>
      </c>
      <c r="D37" t="s">
        <v>181</v>
      </c>
    </row>
    <row r="38" spans="1:4" x14ac:dyDescent="0.2">
      <c r="A38" t="s">
        <v>501</v>
      </c>
      <c r="B38" t="s">
        <v>523</v>
      </c>
      <c r="C38" t="s">
        <v>489</v>
      </c>
      <c r="D38" t="s">
        <v>89</v>
      </c>
    </row>
    <row r="39" spans="1:4" x14ac:dyDescent="0.2">
      <c r="A39" t="s">
        <v>501</v>
      </c>
      <c r="B39" t="s">
        <v>524</v>
      </c>
      <c r="C39" t="s">
        <v>332</v>
      </c>
      <c r="D39" t="s">
        <v>478</v>
      </c>
    </row>
    <row r="40" spans="1:4" x14ac:dyDescent="0.2">
      <c r="A40" t="s">
        <v>501</v>
      </c>
      <c r="B40" t="s">
        <v>525</v>
      </c>
      <c r="C40" t="s">
        <v>503</v>
      </c>
      <c r="D40" t="s">
        <v>504</v>
      </c>
    </row>
    <row r="41" spans="1:4" x14ac:dyDescent="0.2">
      <c r="A41" t="s">
        <v>526</v>
      </c>
      <c r="B41" t="s">
        <v>527</v>
      </c>
      <c r="C41" t="s">
        <v>528</v>
      </c>
      <c r="D41" t="s">
        <v>196</v>
      </c>
    </row>
    <row r="42" spans="1:4" x14ac:dyDescent="0.2">
      <c r="A42" t="s">
        <v>526</v>
      </c>
      <c r="B42" t="s">
        <v>529</v>
      </c>
      <c r="C42" t="s">
        <v>530</v>
      </c>
      <c r="D42" t="s">
        <v>204</v>
      </c>
    </row>
    <row r="43" spans="1:4" x14ac:dyDescent="0.2">
      <c r="A43" t="s">
        <v>526</v>
      </c>
      <c r="B43" t="s">
        <v>2</v>
      </c>
      <c r="C43" t="s">
        <v>418</v>
      </c>
      <c r="D43" t="s">
        <v>531</v>
      </c>
    </row>
    <row r="44" spans="1:4" x14ac:dyDescent="0.2">
      <c r="A44" t="s">
        <v>526</v>
      </c>
      <c r="B44" t="s">
        <v>532</v>
      </c>
      <c r="C44" t="s">
        <v>332</v>
      </c>
      <c r="D44" t="s">
        <v>478</v>
      </c>
    </row>
    <row r="45" spans="1:4" x14ac:dyDescent="0.2">
      <c r="A45" t="s">
        <v>526</v>
      </c>
      <c r="B45" t="s">
        <v>533</v>
      </c>
      <c r="C45" t="s">
        <v>332</v>
      </c>
      <c r="D45" t="s">
        <v>478</v>
      </c>
    </row>
    <row r="46" spans="1:4" x14ac:dyDescent="0.2">
      <c r="A46" t="s">
        <v>526</v>
      </c>
      <c r="B46" t="s">
        <v>534</v>
      </c>
      <c r="C46" t="s">
        <v>332</v>
      </c>
      <c r="D46" t="s">
        <v>478</v>
      </c>
    </row>
    <row r="47" spans="1:4" x14ac:dyDescent="0.2">
      <c r="A47" t="s">
        <v>526</v>
      </c>
      <c r="B47" t="s">
        <v>535</v>
      </c>
      <c r="C47" t="s">
        <v>536</v>
      </c>
      <c r="D47" t="s">
        <v>122</v>
      </c>
    </row>
    <row r="48" spans="1:4" x14ac:dyDescent="0.2">
      <c r="A48" t="s">
        <v>526</v>
      </c>
      <c r="B48" t="s">
        <v>537</v>
      </c>
      <c r="C48" t="s">
        <v>538</v>
      </c>
      <c r="D48" t="s">
        <v>539</v>
      </c>
    </row>
    <row r="49" spans="1:4" x14ac:dyDescent="0.2">
      <c r="A49" t="s">
        <v>526</v>
      </c>
      <c r="B49" t="s">
        <v>540</v>
      </c>
      <c r="C49" t="s">
        <v>541</v>
      </c>
      <c r="D49" t="s">
        <v>243</v>
      </c>
    </row>
    <row r="50" spans="1:4" x14ac:dyDescent="0.2">
      <c r="A50" t="s">
        <v>526</v>
      </c>
      <c r="B50" t="s">
        <v>542</v>
      </c>
      <c r="C50" t="s">
        <v>543</v>
      </c>
      <c r="D50" t="s">
        <v>544</v>
      </c>
    </row>
    <row r="51" spans="1:4" x14ac:dyDescent="0.2">
      <c r="A51" t="s">
        <v>526</v>
      </c>
      <c r="B51" t="s">
        <v>545</v>
      </c>
      <c r="C51" t="s">
        <v>332</v>
      </c>
      <c r="D51" t="s">
        <v>478</v>
      </c>
    </row>
    <row r="52" spans="1:4" x14ac:dyDescent="0.2">
      <c r="A52" t="s">
        <v>526</v>
      </c>
      <c r="B52" t="s">
        <v>546</v>
      </c>
      <c r="C52" t="s">
        <v>250</v>
      </c>
      <c r="D52" t="s">
        <v>251</v>
      </c>
    </row>
    <row r="53" spans="1:4" x14ac:dyDescent="0.2">
      <c r="A53" t="s">
        <v>526</v>
      </c>
      <c r="B53" t="s">
        <v>547</v>
      </c>
      <c r="C53" t="s">
        <v>548</v>
      </c>
      <c r="D53" t="s">
        <v>261</v>
      </c>
    </row>
    <row r="54" spans="1:4" x14ac:dyDescent="0.2">
      <c r="A54" t="s">
        <v>526</v>
      </c>
      <c r="B54" t="s">
        <v>549</v>
      </c>
      <c r="C54" t="s">
        <v>550</v>
      </c>
      <c r="D54" t="s">
        <v>271</v>
      </c>
    </row>
    <row r="55" spans="1:4" x14ac:dyDescent="0.2">
      <c r="A55" t="s">
        <v>526</v>
      </c>
      <c r="B55" t="s">
        <v>3</v>
      </c>
      <c r="C55" t="s">
        <v>551</v>
      </c>
      <c r="D55" t="s">
        <v>552</v>
      </c>
    </row>
    <row r="56" spans="1:4" x14ac:dyDescent="0.2">
      <c r="A56" t="s">
        <v>526</v>
      </c>
      <c r="B56" t="s">
        <v>553</v>
      </c>
      <c r="C56" t="s">
        <v>554</v>
      </c>
      <c r="D56" t="s">
        <v>555</v>
      </c>
    </row>
    <row r="57" spans="1:4" x14ac:dyDescent="0.2">
      <c r="A57" t="s">
        <v>526</v>
      </c>
      <c r="B57" t="s">
        <v>556</v>
      </c>
      <c r="C57" t="s">
        <v>557</v>
      </c>
      <c r="D57" t="s">
        <v>296</v>
      </c>
    </row>
    <row r="58" spans="1:4" x14ac:dyDescent="0.2">
      <c r="A58" t="s">
        <v>526</v>
      </c>
      <c r="B58" t="s">
        <v>558</v>
      </c>
      <c r="C58" t="s">
        <v>559</v>
      </c>
      <c r="D58" t="s">
        <v>560</v>
      </c>
    </row>
    <row r="59" spans="1:4" x14ac:dyDescent="0.2">
      <c r="A59" t="s">
        <v>526</v>
      </c>
      <c r="B59" t="s">
        <v>561</v>
      </c>
      <c r="C59" t="s">
        <v>562</v>
      </c>
      <c r="D59" t="s">
        <v>313</v>
      </c>
    </row>
    <row r="60" spans="1:4" x14ac:dyDescent="0.2">
      <c r="A60" t="s">
        <v>526</v>
      </c>
      <c r="B60" t="s">
        <v>563</v>
      </c>
      <c r="C60" t="s">
        <v>507</v>
      </c>
      <c r="D60" t="s">
        <v>508</v>
      </c>
    </row>
    <row r="61" spans="1:4" x14ac:dyDescent="0.2">
      <c r="A61" t="s">
        <v>564</v>
      </c>
      <c r="B61" t="s">
        <v>565</v>
      </c>
      <c r="C61" t="s">
        <v>480</v>
      </c>
      <c r="D61" t="s">
        <v>481</v>
      </c>
    </row>
    <row r="62" spans="1:4" x14ac:dyDescent="0.2">
      <c r="A62" t="s">
        <v>564</v>
      </c>
      <c r="B62" t="s">
        <v>566</v>
      </c>
      <c r="C62" t="s">
        <v>528</v>
      </c>
      <c r="D62" t="s">
        <v>196</v>
      </c>
    </row>
    <row r="63" spans="1:4" x14ac:dyDescent="0.2">
      <c r="A63" t="s">
        <v>564</v>
      </c>
      <c r="B63" t="s">
        <v>24</v>
      </c>
      <c r="C63" t="s">
        <v>480</v>
      </c>
      <c r="D63" t="s">
        <v>481</v>
      </c>
    </row>
    <row r="64" spans="1:4" x14ac:dyDescent="0.2">
      <c r="A64" t="s">
        <v>564</v>
      </c>
      <c r="B64" t="s">
        <v>567</v>
      </c>
      <c r="C64" t="s">
        <v>332</v>
      </c>
      <c r="D64" t="s">
        <v>478</v>
      </c>
    </row>
    <row r="65" spans="1:4" x14ac:dyDescent="0.2">
      <c r="A65" t="s">
        <v>564</v>
      </c>
      <c r="B65" t="s">
        <v>568</v>
      </c>
      <c r="C65" t="s">
        <v>503</v>
      </c>
      <c r="D65" t="s">
        <v>504</v>
      </c>
    </row>
    <row r="66" spans="1:4" x14ac:dyDescent="0.2">
      <c r="A66" t="s">
        <v>564</v>
      </c>
      <c r="B66" t="s">
        <v>14</v>
      </c>
      <c r="C66" t="s">
        <v>503</v>
      </c>
      <c r="D66" t="s">
        <v>504</v>
      </c>
    </row>
    <row r="67" spans="1:4" x14ac:dyDescent="0.2">
      <c r="A67" t="s">
        <v>564</v>
      </c>
      <c r="B67" t="s">
        <v>569</v>
      </c>
      <c r="C67" t="s">
        <v>489</v>
      </c>
      <c r="D67" t="s">
        <v>89</v>
      </c>
    </row>
    <row r="68" spans="1:4" x14ac:dyDescent="0.2">
      <c r="A68" t="s">
        <v>564</v>
      </c>
      <c r="B68" t="s">
        <v>628</v>
      </c>
      <c r="C68" t="s">
        <v>480</v>
      </c>
      <c r="D68" t="s">
        <v>481</v>
      </c>
    </row>
    <row r="69" spans="1:4" x14ac:dyDescent="0.2">
      <c r="A69" t="s">
        <v>564</v>
      </c>
      <c r="B69" t="s">
        <v>15</v>
      </c>
      <c r="C69" t="s">
        <v>480</v>
      </c>
      <c r="D69" t="s">
        <v>481</v>
      </c>
    </row>
    <row r="70" spans="1:4" x14ac:dyDescent="0.2">
      <c r="A70" t="s">
        <v>564</v>
      </c>
      <c r="B70" t="s">
        <v>570</v>
      </c>
      <c r="C70" t="s">
        <v>332</v>
      </c>
      <c r="D70" t="s">
        <v>478</v>
      </c>
    </row>
    <row r="71" spans="1:4" x14ac:dyDescent="0.2">
      <c r="A71" t="s">
        <v>564</v>
      </c>
      <c r="B71" t="s">
        <v>571</v>
      </c>
      <c r="C71" t="s">
        <v>332</v>
      </c>
      <c r="D71" t="s">
        <v>478</v>
      </c>
    </row>
    <row r="72" spans="1:4" x14ac:dyDescent="0.2">
      <c r="A72" t="s">
        <v>564</v>
      </c>
      <c r="B72" t="s">
        <v>572</v>
      </c>
      <c r="C72" t="s">
        <v>480</v>
      </c>
      <c r="D72" t="s">
        <v>481</v>
      </c>
    </row>
    <row r="73" spans="1:4" x14ac:dyDescent="0.2">
      <c r="A73" t="s">
        <v>564</v>
      </c>
      <c r="B73" t="s">
        <v>16</v>
      </c>
      <c r="C73" t="s">
        <v>480</v>
      </c>
      <c r="D73" t="s">
        <v>481</v>
      </c>
    </row>
    <row r="74" spans="1:4" x14ac:dyDescent="0.2">
      <c r="A74" t="s">
        <v>564</v>
      </c>
      <c r="B74" t="s">
        <v>573</v>
      </c>
      <c r="C74" t="s">
        <v>574</v>
      </c>
      <c r="D74" t="s">
        <v>575</v>
      </c>
    </row>
    <row r="75" spans="1:4" x14ac:dyDescent="0.2">
      <c r="A75" t="s">
        <v>564</v>
      </c>
      <c r="B75" t="s">
        <v>576</v>
      </c>
      <c r="C75" t="s">
        <v>503</v>
      </c>
      <c r="D75" t="s">
        <v>504</v>
      </c>
    </row>
    <row r="76" spans="1:4" x14ac:dyDescent="0.2">
      <c r="A76" t="s">
        <v>564</v>
      </c>
      <c r="B76" t="s">
        <v>23</v>
      </c>
      <c r="C76" t="s">
        <v>480</v>
      </c>
      <c r="D76" t="s">
        <v>481</v>
      </c>
    </row>
    <row r="77" spans="1:4" x14ac:dyDescent="0.2">
      <c r="A77" t="s">
        <v>564</v>
      </c>
      <c r="B77" t="s">
        <v>577</v>
      </c>
      <c r="C77" t="s">
        <v>503</v>
      </c>
      <c r="D77" t="s">
        <v>504</v>
      </c>
    </row>
    <row r="78" spans="1:4" x14ac:dyDescent="0.2">
      <c r="A78" t="s">
        <v>564</v>
      </c>
      <c r="B78" t="s">
        <v>26</v>
      </c>
      <c r="C78" t="s">
        <v>578</v>
      </c>
      <c r="D78" t="s">
        <v>390</v>
      </c>
    </row>
    <row r="79" spans="1:4" x14ac:dyDescent="0.2">
      <c r="A79" t="s">
        <v>564</v>
      </c>
      <c r="B79" t="s">
        <v>579</v>
      </c>
      <c r="C79" t="s">
        <v>489</v>
      </c>
      <c r="D79" t="s">
        <v>89</v>
      </c>
    </row>
    <row r="80" spans="1:4" x14ac:dyDescent="0.2">
      <c r="A80" t="s">
        <v>564</v>
      </c>
      <c r="B80" t="s">
        <v>25</v>
      </c>
      <c r="C80" t="s">
        <v>578</v>
      </c>
      <c r="D80" t="s">
        <v>390</v>
      </c>
    </row>
    <row r="81" spans="1:4" x14ac:dyDescent="0.2">
      <c r="A81" t="s">
        <v>564</v>
      </c>
      <c r="B81" t="s">
        <v>580</v>
      </c>
      <c r="C81" t="s">
        <v>503</v>
      </c>
      <c r="D81" t="s">
        <v>504</v>
      </c>
    </row>
    <row r="82" spans="1:4" x14ac:dyDescent="0.2">
      <c r="A82" t="s">
        <v>564</v>
      </c>
      <c r="B82" t="s">
        <v>17</v>
      </c>
      <c r="C82" t="s">
        <v>480</v>
      </c>
      <c r="D82" t="s">
        <v>481</v>
      </c>
    </row>
    <row r="83" spans="1:4" x14ac:dyDescent="0.2">
      <c r="A83" t="s">
        <v>564</v>
      </c>
      <c r="B83" t="s">
        <v>18</v>
      </c>
      <c r="C83" t="s">
        <v>503</v>
      </c>
      <c r="D83" t="s">
        <v>504</v>
      </c>
    </row>
    <row r="84" spans="1:4" x14ac:dyDescent="0.2">
      <c r="A84" t="s">
        <v>564</v>
      </c>
      <c r="B84" t="s">
        <v>629</v>
      </c>
      <c r="C84" t="s">
        <v>605</v>
      </c>
      <c r="D84" t="s">
        <v>610</v>
      </c>
    </row>
    <row r="85" spans="1:4" x14ac:dyDescent="0.2">
      <c r="A85" t="s">
        <v>564</v>
      </c>
      <c r="B85" t="s">
        <v>19</v>
      </c>
      <c r="C85" t="s">
        <v>503</v>
      </c>
      <c r="D85" t="s">
        <v>504</v>
      </c>
    </row>
    <row r="86" spans="1:4" x14ac:dyDescent="0.2">
      <c r="A86" t="s">
        <v>564</v>
      </c>
      <c r="B86" t="s">
        <v>581</v>
      </c>
      <c r="C86" t="s">
        <v>418</v>
      </c>
      <c r="D86" t="s">
        <v>531</v>
      </c>
    </row>
    <row r="87" spans="1:4" x14ac:dyDescent="0.2">
      <c r="A87" t="s">
        <v>564</v>
      </c>
      <c r="B87" t="s">
        <v>582</v>
      </c>
      <c r="C87" t="s">
        <v>503</v>
      </c>
      <c r="D87" t="s">
        <v>504</v>
      </c>
    </row>
    <row r="88" spans="1:4" x14ac:dyDescent="0.2">
      <c r="A88" t="s">
        <v>564</v>
      </c>
      <c r="B88" t="s">
        <v>583</v>
      </c>
      <c r="C88" t="s">
        <v>578</v>
      </c>
      <c r="D88" t="s">
        <v>390</v>
      </c>
    </row>
    <row r="89" spans="1:4" x14ac:dyDescent="0.2">
      <c r="A89" t="s">
        <v>564</v>
      </c>
      <c r="B89" t="s">
        <v>584</v>
      </c>
      <c r="C89" t="s">
        <v>480</v>
      </c>
      <c r="D89" t="s">
        <v>481</v>
      </c>
    </row>
    <row r="90" spans="1:4" x14ac:dyDescent="0.2">
      <c r="A90" t="s">
        <v>585</v>
      </c>
      <c r="B90" t="s">
        <v>586</v>
      </c>
      <c r="C90" t="s">
        <v>332</v>
      </c>
      <c r="D90" t="s">
        <v>478</v>
      </c>
    </row>
    <row r="91" spans="1:4" x14ac:dyDescent="0.2">
      <c r="A91" t="s">
        <v>585</v>
      </c>
      <c r="B91" t="s">
        <v>604</v>
      </c>
      <c r="C91" t="s">
        <v>538</v>
      </c>
      <c r="D91" t="s">
        <v>539</v>
      </c>
    </row>
    <row r="92" spans="1:4" x14ac:dyDescent="0.2">
      <c r="A92" t="s">
        <v>585</v>
      </c>
      <c r="B92" t="s">
        <v>587</v>
      </c>
      <c r="C92" t="s">
        <v>418</v>
      </c>
      <c r="D92" t="s">
        <v>531</v>
      </c>
    </row>
    <row r="93" spans="1:4" x14ac:dyDescent="0.2">
      <c r="A93" t="s">
        <v>585</v>
      </c>
      <c r="B93" t="s">
        <v>588</v>
      </c>
      <c r="C93" t="s">
        <v>589</v>
      </c>
      <c r="D93" t="s">
        <v>590</v>
      </c>
    </row>
    <row r="94" spans="1:4" x14ac:dyDescent="0.2">
      <c r="A94" t="s">
        <v>585</v>
      </c>
      <c r="B94" t="s">
        <v>591</v>
      </c>
      <c r="C94" t="s">
        <v>489</v>
      </c>
      <c r="D94" t="s">
        <v>89</v>
      </c>
    </row>
    <row r="95" spans="1:4" x14ac:dyDescent="0.2">
      <c r="A95" t="s">
        <v>585</v>
      </c>
      <c r="B95" t="s">
        <v>592</v>
      </c>
      <c r="C95" t="s">
        <v>489</v>
      </c>
      <c r="D95" t="s">
        <v>89</v>
      </c>
    </row>
    <row r="96" spans="1:4" x14ac:dyDescent="0.2">
      <c r="A96" t="s">
        <v>585</v>
      </c>
      <c r="B96" t="s">
        <v>593</v>
      </c>
      <c r="C96" t="s">
        <v>332</v>
      </c>
      <c r="D96" t="s">
        <v>478</v>
      </c>
    </row>
    <row r="97" spans="1:4" x14ac:dyDescent="0.2">
      <c r="A97" t="s">
        <v>585</v>
      </c>
      <c r="B97" t="s">
        <v>594</v>
      </c>
      <c r="C97" t="s">
        <v>489</v>
      </c>
      <c r="D97" t="s">
        <v>89</v>
      </c>
    </row>
    <row r="98" spans="1:4" x14ac:dyDescent="0.2">
      <c r="A98" t="s">
        <v>595</v>
      </c>
      <c r="B98" t="s">
        <v>596</v>
      </c>
      <c r="C98" t="s">
        <v>597</v>
      </c>
      <c r="D98" t="s">
        <v>598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6DC4-2FFD-4F33-B997-3211D35A172A}">
  <dimension ref="A1:S99"/>
  <sheetViews>
    <sheetView workbookViewId="0"/>
  </sheetViews>
  <sheetFormatPr defaultRowHeight="12.75" x14ac:dyDescent="0.2"/>
  <cols>
    <col min="1" max="1" width="10.5703125" bestFit="1" customWidth="1"/>
    <col min="2" max="2" width="27.5703125" bestFit="1" customWidth="1"/>
    <col min="3" max="3" width="29.7109375" bestFit="1" customWidth="1"/>
    <col min="4" max="4" width="17.5703125" bestFit="1" customWidth="1"/>
    <col min="5" max="5" width="81.140625" bestFit="1" customWidth="1"/>
    <col min="6" max="6" width="55.42578125" bestFit="1" customWidth="1"/>
    <col min="7" max="7" width="19.5703125" bestFit="1" customWidth="1"/>
    <col min="8" max="8" width="20" bestFit="1" customWidth="1"/>
    <col min="9" max="9" width="35.42578125" bestFit="1" customWidth="1"/>
    <col min="10" max="10" width="34.85546875" bestFit="1" customWidth="1"/>
    <col min="11" max="11" width="21.85546875" bestFit="1" customWidth="1"/>
    <col min="12" max="12" width="34.85546875" bestFit="1" customWidth="1"/>
    <col min="13" max="13" width="32.28515625" bestFit="1" customWidth="1"/>
    <col min="14" max="14" width="81.140625" bestFit="1" customWidth="1"/>
    <col min="15" max="15" width="15.5703125" bestFit="1" customWidth="1"/>
    <col min="16" max="16" width="17" bestFit="1" customWidth="1"/>
    <col min="17" max="17" width="14" bestFit="1" customWidth="1"/>
    <col min="18" max="18" width="13" bestFit="1" customWidth="1"/>
    <col min="19" max="19" width="4.42578125" bestFit="1" customWidth="1"/>
  </cols>
  <sheetData>
    <row r="1" spans="1:19" x14ac:dyDescent="0.2">
      <c r="A1" t="s">
        <v>28</v>
      </c>
      <c r="B1" t="s">
        <v>29</v>
      </c>
      <c r="C1" t="s">
        <v>30</v>
      </c>
      <c r="D1" t="s">
        <v>31</v>
      </c>
      <c r="E1" t="s">
        <v>32</v>
      </c>
      <c r="F1" t="s">
        <v>33</v>
      </c>
      <c r="G1" t="s">
        <v>34</v>
      </c>
      <c r="H1" t="s">
        <v>35</v>
      </c>
      <c r="I1" t="s">
        <v>36</v>
      </c>
      <c r="J1" t="s">
        <v>37</v>
      </c>
      <c r="K1" t="s">
        <v>38</v>
      </c>
      <c r="L1" t="s">
        <v>39</v>
      </c>
      <c r="M1" t="s">
        <v>40</v>
      </c>
      <c r="N1" t="s">
        <v>41</v>
      </c>
      <c r="O1" t="s">
        <v>42</v>
      </c>
      <c r="P1" t="s">
        <v>43</v>
      </c>
      <c r="Q1" t="s">
        <v>44</v>
      </c>
      <c r="R1" t="s">
        <v>45</v>
      </c>
      <c r="S1" t="s">
        <v>46</v>
      </c>
    </row>
    <row r="2" spans="1:19" x14ac:dyDescent="0.2">
      <c r="A2">
        <v>2</v>
      </c>
      <c r="B2" t="s">
        <v>47</v>
      </c>
      <c r="C2" t="s">
        <v>48</v>
      </c>
      <c r="D2" t="s">
        <v>62</v>
      </c>
      <c r="E2" t="s">
        <v>63</v>
      </c>
      <c r="F2" t="s">
        <v>64</v>
      </c>
      <c r="H2">
        <v>0</v>
      </c>
      <c r="I2" t="s">
        <v>65</v>
      </c>
      <c r="J2" t="s">
        <v>66</v>
      </c>
      <c r="L2" t="s">
        <v>67</v>
      </c>
      <c r="N2" t="s">
        <v>68</v>
      </c>
      <c r="O2">
        <v>2278</v>
      </c>
      <c r="P2">
        <v>100000</v>
      </c>
      <c r="Q2">
        <v>124</v>
      </c>
      <c r="R2">
        <v>425</v>
      </c>
      <c r="S2">
        <v>1</v>
      </c>
    </row>
    <row r="3" spans="1:19" x14ac:dyDescent="0.2">
      <c r="A3">
        <v>3</v>
      </c>
      <c r="B3" t="s">
        <v>47</v>
      </c>
      <c r="C3" t="s">
        <v>48</v>
      </c>
      <c r="D3" t="s">
        <v>62</v>
      </c>
      <c r="E3" t="s">
        <v>69</v>
      </c>
      <c r="F3" t="s">
        <v>70</v>
      </c>
      <c r="H3">
        <v>0</v>
      </c>
      <c r="I3" t="s">
        <v>71</v>
      </c>
      <c r="J3" t="s">
        <v>66</v>
      </c>
      <c r="L3" t="s">
        <v>67</v>
      </c>
      <c r="N3" t="s">
        <v>68</v>
      </c>
      <c r="O3">
        <v>15</v>
      </c>
      <c r="P3">
        <v>3124</v>
      </c>
      <c r="Q3">
        <v>16</v>
      </c>
      <c r="R3">
        <v>4</v>
      </c>
      <c r="S3">
        <v>1</v>
      </c>
    </row>
    <row r="4" spans="1:19" x14ac:dyDescent="0.2">
      <c r="A4">
        <v>4</v>
      </c>
      <c r="B4" t="s">
        <v>47</v>
      </c>
      <c r="C4" t="s">
        <v>48</v>
      </c>
      <c r="D4" t="s">
        <v>49</v>
      </c>
      <c r="F4" t="s">
        <v>113</v>
      </c>
      <c r="H4">
        <v>0</v>
      </c>
      <c r="I4" t="s">
        <v>114</v>
      </c>
      <c r="J4" t="s">
        <v>115</v>
      </c>
      <c r="L4" t="s">
        <v>115</v>
      </c>
      <c r="N4" t="s">
        <v>116</v>
      </c>
      <c r="O4">
        <v>70</v>
      </c>
      <c r="P4">
        <v>5082</v>
      </c>
      <c r="Q4">
        <v>103</v>
      </c>
      <c r="R4">
        <v>11</v>
      </c>
      <c r="S4">
        <v>1</v>
      </c>
    </row>
    <row r="5" spans="1:19" x14ac:dyDescent="0.2">
      <c r="A5">
        <v>5</v>
      </c>
      <c r="B5" t="s">
        <v>47</v>
      </c>
      <c r="C5" t="s">
        <v>48</v>
      </c>
      <c r="D5" t="s">
        <v>62</v>
      </c>
      <c r="E5" t="s">
        <v>220</v>
      </c>
      <c r="F5" t="s">
        <v>221</v>
      </c>
      <c r="H5">
        <v>0</v>
      </c>
      <c r="I5" t="s">
        <v>222</v>
      </c>
      <c r="J5" t="s">
        <v>66</v>
      </c>
      <c r="L5" t="s">
        <v>67</v>
      </c>
      <c r="N5" t="s">
        <v>68</v>
      </c>
      <c r="O5">
        <v>560</v>
      </c>
      <c r="P5">
        <v>76500</v>
      </c>
      <c r="Q5">
        <v>68</v>
      </c>
      <c r="R5">
        <v>77</v>
      </c>
      <c r="S5">
        <v>1</v>
      </c>
    </row>
    <row r="6" spans="1:19" x14ac:dyDescent="0.2">
      <c r="A6">
        <v>6</v>
      </c>
      <c r="B6" t="s">
        <v>47</v>
      </c>
      <c r="C6" t="s">
        <v>48</v>
      </c>
      <c r="D6" t="s">
        <v>62</v>
      </c>
      <c r="E6" t="s">
        <v>220</v>
      </c>
      <c r="F6" t="s">
        <v>223</v>
      </c>
      <c r="H6">
        <v>0</v>
      </c>
      <c r="I6" t="s">
        <v>224</v>
      </c>
      <c r="J6" t="s">
        <v>66</v>
      </c>
      <c r="L6" t="s">
        <v>67</v>
      </c>
      <c r="N6" t="s">
        <v>68</v>
      </c>
      <c r="O6">
        <v>572</v>
      </c>
      <c r="P6">
        <v>20930</v>
      </c>
      <c r="Q6">
        <v>205</v>
      </c>
      <c r="R6">
        <v>48</v>
      </c>
      <c r="S6">
        <v>1</v>
      </c>
    </row>
    <row r="7" spans="1:19" x14ac:dyDescent="0.2">
      <c r="A7">
        <v>7</v>
      </c>
      <c r="B7" t="s">
        <v>47</v>
      </c>
      <c r="C7" t="s">
        <v>48</v>
      </c>
      <c r="D7" t="s">
        <v>62</v>
      </c>
      <c r="E7" t="s">
        <v>220</v>
      </c>
      <c r="F7" t="s">
        <v>225</v>
      </c>
      <c r="H7">
        <v>0</v>
      </c>
      <c r="I7" t="s">
        <v>226</v>
      </c>
      <c r="J7" t="s">
        <v>66</v>
      </c>
      <c r="L7" t="s">
        <v>67</v>
      </c>
      <c r="N7" t="s">
        <v>68</v>
      </c>
      <c r="O7">
        <v>74</v>
      </c>
      <c r="P7">
        <v>92125</v>
      </c>
      <c r="Q7">
        <v>140</v>
      </c>
      <c r="R7">
        <v>270</v>
      </c>
      <c r="S7">
        <v>1</v>
      </c>
    </row>
    <row r="8" spans="1:19" x14ac:dyDescent="0.2">
      <c r="A8">
        <v>8</v>
      </c>
      <c r="B8" t="s">
        <v>47</v>
      </c>
      <c r="C8" t="s">
        <v>48</v>
      </c>
      <c r="D8" t="s">
        <v>49</v>
      </c>
      <c r="F8" t="s">
        <v>246</v>
      </c>
      <c r="H8">
        <v>0</v>
      </c>
      <c r="I8" t="s">
        <v>247</v>
      </c>
      <c r="J8" t="s">
        <v>248</v>
      </c>
      <c r="L8" t="s">
        <v>248</v>
      </c>
      <c r="N8" t="s">
        <v>249</v>
      </c>
      <c r="O8">
        <v>26</v>
      </c>
      <c r="P8">
        <v>1653</v>
      </c>
      <c r="Q8">
        <v>25</v>
      </c>
      <c r="R8">
        <v>0</v>
      </c>
      <c r="S8">
        <v>1</v>
      </c>
    </row>
    <row r="9" spans="1:19" x14ac:dyDescent="0.2">
      <c r="A9">
        <v>9</v>
      </c>
      <c r="B9" t="s">
        <v>47</v>
      </c>
      <c r="C9" t="s">
        <v>48</v>
      </c>
      <c r="D9" t="s">
        <v>62</v>
      </c>
      <c r="E9" t="s">
        <v>145</v>
      </c>
      <c r="F9" t="s">
        <v>437</v>
      </c>
      <c r="G9" t="s">
        <v>65</v>
      </c>
      <c r="H9">
        <v>0</v>
      </c>
      <c r="I9" t="s">
        <v>65</v>
      </c>
      <c r="J9" t="s">
        <v>66</v>
      </c>
      <c r="L9" t="s">
        <v>67</v>
      </c>
      <c r="N9" t="s">
        <v>68</v>
      </c>
      <c r="O9">
        <v>35</v>
      </c>
      <c r="P9">
        <v>587</v>
      </c>
      <c r="Q9">
        <v>12</v>
      </c>
      <c r="R9">
        <v>35</v>
      </c>
      <c r="S9">
        <v>1</v>
      </c>
    </row>
    <row r="10" spans="1:19" x14ac:dyDescent="0.2">
      <c r="A10">
        <v>10</v>
      </c>
      <c r="B10" t="s">
        <v>47</v>
      </c>
      <c r="C10" t="s">
        <v>48</v>
      </c>
      <c r="D10" t="s">
        <v>62</v>
      </c>
      <c r="E10" t="s">
        <v>358</v>
      </c>
      <c r="F10" t="s">
        <v>359</v>
      </c>
      <c r="G10" t="s">
        <v>65</v>
      </c>
      <c r="H10">
        <v>0</v>
      </c>
      <c r="I10" t="s">
        <v>65</v>
      </c>
      <c r="J10" t="s">
        <v>66</v>
      </c>
      <c r="L10" t="s">
        <v>67</v>
      </c>
      <c r="N10" t="s">
        <v>68</v>
      </c>
      <c r="O10">
        <v>2</v>
      </c>
      <c r="P10">
        <v>148</v>
      </c>
      <c r="Q10">
        <v>0</v>
      </c>
      <c r="R10">
        <v>0</v>
      </c>
      <c r="S10">
        <v>1</v>
      </c>
    </row>
    <row r="11" spans="1:19" x14ac:dyDescent="0.2">
      <c r="A11">
        <v>11</v>
      </c>
      <c r="B11" t="s">
        <v>47</v>
      </c>
      <c r="C11" t="s">
        <v>48</v>
      </c>
      <c r="D11" t="s">
        <v>62</v>
      </c>
      <c r="E11" t="s">
        <v>79</v>
      </c>
      <c r="F11" t="s">
        <v>80</v>
      </c>
      <c r="G11" t="s">
        <v>65</v>
      </c>
      <c r="H11">
        <v>0</v>
      </c>
      <c r="I11" t="s">
        <v>81</v>
      </c>
      <c r="J11" t="s">
        <v>66</v>
      </c>
      <c r="L11" t="s">
        <v>67</v>
      </c>
      <c r="N11" t="s">
        <v>82</v>
      </c>
      <c r="O11">
        <v>50</v>
      </c>
      <c r="P11">
        <v>2100</v>
      </c>
      <c r="Q11">
        <v>12</v>
      </c>
      <c r="R11">
        <v>22</v>
      </c>
      <c r="S11">
        <v>1</v>
      </c>
    </row>
    <row r="12" spans="1:19" x14ac:dyDescent="0.2">
      <c r="A12">
        <v>12</v>
      </c>
      <c r="B12" t="s">
        <v>47</v>
      </c>
      <c r="C12" t="s">
        <v>48</v>
      </c>
      <c r="D12" t="s">
        <v>62</v>
      </c>
      <c r="E12" t="s">
        <v>145</v>
      </c>
      <c r="F12" t="s">
        <v>146</v>
      </c>
      <c r="G12" t="s">
        <v>65</v>
      </c>
      <c r="H12">
        <v>0</v>
      </c>
      <c r="I12" t="s">
        <v>65</v>
      </c>
      <c r="J12" t="s">
        <v>66</v>
      </c>
      <c r="L12" t="s">
        <v>67</v>
      </c>
      <c r="N12" t="s">
        <v>68</v>
      </c>
      <c r="O12">
        <v>10</v>
      </c>
      <c r="P12">
        <v>598</v>
      </c>
      <c r="Q12">
        <v>6</v>
      </c>
      <c r="R12">
        <v>9</v>
      </c>
      <c r="S12">
        <v>1</v>
      </c>
    </row>
    <row r="13" spans="1:19" x14ac:dyDescent="0.2">
      <c r="A13">
        <v>13</v>
      </c>
      <c r="B13" t="s">
        <v>47</v>
      </c>
      <c r="C13" t="s">
        <v>48</v>
      </c>
      <c r="D13" t="s">
        <v>62</v>
      </c>
      <c r="E13" t="s">
        <v>75</v>
      </c>
      <c r="F13" t="s">
        <v>76</v>
      </c>
      <c r="G13" t="s">
        <v>65</v>
      </c>
      <c r="H13">
        <v>0</v>
      </c>
      <c r="I13" t="s">
        <v>77</v>
      </c>
      <c r="J13" t="s">
        <v>66</v>
      </c>
      <c r="L13" t="s">
        <v>67</v>
      </c>
      <c r="N13" t="s">
        <v>78</v>
      </c>
      <c r="O13">
        <v>361</v>
      </c>
      <c r="P13">
        <v>18500</v>
      </c>
      <c r="Q13">
        <v>16</v>
      </c>
      <c r="R13">
        <v>20</v>
      </c>
      <c r="S13">
        <v>1</v>
      </c>
    </row>
    <row r="14" spans="1:19" x14ac:dyDescent="0.2">
      <c r="A14">
        <v>14</v>
      </c>
      <c r="B14" t="s">
        <v>47</v>
      </c>
      <c r="C14" t="s">
        <v>48</v>
      </c>
      <c r="D14" t="s">
        <v>49</v>
      </c>
      <c r="E14" t="s">
        <v>461</v>
      </c>
      <c r="F14" t="s">
        <v>462</v>
      </c>
      <c r="G14" t="s">
        <v>65</v>
      </c>
      <c r="H14">
        <v>0</v>
      </c>
      <c r="I14" t="s">
        <v>463</v>
      </c>
      <c r="J14" t="s">
        <v>464</v>
      </c>
      <c r="L14" t="s">
        <v>464</v>
      </c>
      <c r="N14" t="s">
        <v>465</v>
      </c>
      <c r="O14">
        <v>12</v>
      </c>
      <c r="P14">
        <v>2382</v>
      </c>
      <c r="Q14">
        <v>6</v>
      </c>
      <c r="R14">
        <v>5</v>
      </c>
      <c r="S14">
        <v>1</v>
      </c>
    </row>
    <row r="15" spans="1:19" x14ac:dyDescent="0.2">
      <c r="A15">
        <v>15</v>
      </c>
      <c r="B15" t="s">
        <v>47</v>
      </c>
      <c r="C15" t="s">
        <v>48</v>
      </c>
      <c r="D15" t="s">
        <v>49</v>
      </c>
      <c r="E15" t="s">
        <v>50</v>
      </c>
      <c r="F15" t="s">
        <v>51</v>
      </c>
      <c r="H15">
        <v>0</v>
      </c>
      <c r="I15" t="s">
        <v>52</v>
      </c>
      <c r="J15" t="s">
        <v>53</v>
      </c>
      <c r="L15" t="s">
        <v>53</v>
      </c>
      <c r="N15" t="s">
        <v>54</v>
      </c>
      <c r="O15">
        <v>31</v>
      </c>
      <c r="P15">
        <v>1318</v>
      </c>
      <c r="Q15">
        <v>10</v>
      </c>
      <c r="R15">
        <v>29</v>
      </c>
      <c r="S15">
        <v>1</v>
      </c>
    </row>
    <row r="16" spans="1:19" x14ac:dyDescent="0.2">
      <c r="A16">
        <v>16</v>
      </c>
      <c r="B16" t="s">
        <v>47</v>
      </c>
      <c r="C16" t="s">
        <v>48</v>
      </c>
      <c r="D16" t="s">
        <v>62</v>
      </c>
      <c r="E16" t="s">
        <v>72</v>
      </c>
      <c r="F16" t="s">
        <v>73</v>
      </c>
      <c r="H16">
        <v>0</v>
      </c>
      <c r="I16" t="s">
        <v>74</v>
      </c>
      <c r="J16" t="s">
        <v>66</v>
      </c>
      <c r="L16" t="s">
        <v>67</v>
      </c>
      <c r="N16" t="s">
        <v>68</v>
      </c>
      <c r="O16">
        <v>51</v>
      </c>
      <c r="P16">
        <v>2503</v>
      </c>
      <c r="Q16">
        <v>23</v>
      </c>
      <c r="R16">
        <v>28</v>
      </c>
      <c r="S16">
        <v>1</v>
      </c>
    </row>
    <row r="17" spans="1:19" x14ac:dyDescent="0.2">
      <c r="A17">
        <v>17</v>
      </c>
      <c r="B17" t="s">
        <v>295</v>
      </c>
      <c r="C17" t="s">
        <v>296</v>
      </c>
      <c r="D17" t="s">
        <v>49</v>
      </c>
      <c r="E17" t="s">
        <v>49</v>
      </c>
      <c r="F17" t="s">
        <v>297</v>
      </c>
      <c r="H17">
        <v>50000</v>
      </c>
      <c r="I17" t="s">
        <v>295</v>
      </c>
      <c r="J17" t="s">
        <v>296</v>
      </c>
      <c r="K17" t="s">
        <v>298</v>
      </c>
      <c r="L17" t="s">
        <v>296</v>
      </c>
      <c r="M17" t="s">
        <v>299</v>
      </c>
      <c r="N17" t="s">
        <v>300</v>
      </c>
      <c r="O17">
        <v>30</v>
      </c>
      <c r="P17">
        <v>10000</v>
      </c>
      <c r="Q17">
        <v>30</v>
      </c>
      <c r="R17">
        <v>12</v>
      </c>
      <c r="S17">
        <v>2</v>
      </c>
    </row>
    <row r="18" spans="1:19" x14ac:dyDescent="0.2">
      <c r="A18">
        <v>18</v>
      </c>
      <c r="B18" t="s">
        <v>312</v>
      </c>
      <c r="C18" t="s">
        <v>313</v>
      </c>
      <c r="D18" t="s">
        <v>49</v>
      </c>
      <c r="E18" t="s">
        <v>314</v>
      </c>
      <c r="F18" t="s">
        <v>315</v>
      </c>
      <c r="H18">
        <v>30000</v>
      </c>
      <c r="I18" t="s">
        <v>312</v>
      </c>
      <c r="J18" t="s">
        <v>313</v>
      </c>
      <c r="K18" t="s">
        <v>316</v>
      </c>
      <c r="L18" t="s">
        <v>313</v>
      </c>
      <c r="M18" t="s">
        <v>316</v>
      </c>
      <c r="N18" t="s">
        <v>317</v>
      </c>
      <c r="O18">
        <v>42</v>
      </c>
      <c r="P18">
        <v>4524</v>
      </c>
      <c r="Q18">
        <v>36</v>
      </c>
      <c r="R18">
        <v>20</v>
      </c>
      <c r="S18">
        <v>1</v>
      </c>
    </row>
    <row r="19" spans="1:19" x14ac:dyDescent="0.2">
      <c r="A19">
        <v>19</v>
      </c>
      <c r="B19" t="s">
        <v>276</v>
      </c>
      <c r="C19" t="s">
        <v>277</v>
      </c>
      <c r="D19" t="s">
        <v>49</v>
      </c>
      <c r="E19" t="s">
        <v>49</v>
      </c>
      <c r="F19" t="s">
        <v>278</v>
      </c>
      <c r="H19">
        <v>185000</v>
      </c>
      <c r="I19" t="s">
        <v>279</v>
      </c>
      <c r="J19" t="s">
        <v>280</v>
      </c>
      <c r="K19" t="s">
        <v>281</v>
      </c>
      <c r="L19" t="s">
        <v>280</v>
      </c>
      <c r="M19" t="s">
        <v>281</v>
      </c>
      <c r="N19" t="s">
        <v>282</v>
      </c>
      <c r="O19">
        <v>645</v>
      </c>
      <c r="P19">
        <v>520728</v>
      </c>
      <c r="Q19">
        <v>347</v>
      </c>
      <c r="R19">
        <v>54</v>
      </c>
      <c r="S19">
        <v>2</v>
      </c>
    </row>
    <row r="20" spans="1:19" x14ac:dyDescent="0.2">
      <c r="A20">
        <v>20</v>
      </c>
      <c r="B20" t="s">
        <v>47</v>
      </c>
      <c r="C20" t="s">
        <v>48</v>
      </c>
      <c r="D20" t="s">
        <v>62</v>
      </c>
      <c r="E20" t="s">
        <v>360</v>
      </c>
      <c r="F20" t="s">
        <v>361</v>
      </c>
      <c r="G20" t="s">
        <v>65</v>
      </c>
      <c r="H20">
        <v>0</v>
      </c>
      <c r="I20" t="s">
        <v>362</v>
      </c>
      <c r="J20" t="s">
        <v>66</v>
      </c>
      <c r="L20" t="s">
        <v>67</v>
      </c>
      <c r="N20" t="s">
        <v>68</v>
      </c>
      <c r="O20">
        <v>59</v>
      </c>
      <c r="P20">
        <v>4845</v>
      </c>
      <c r="Q20">
        <v>1</v>
      </c>
      <c r="R20">
        <v>45</v>
      </c>
      <c r="S20">
        <v>1</v>
      </c>
    </row>
    <row r="21" spans="1:19" x14ac:dyDescent="0.2">
      <c r="A21">
        <v>21</v>
      </c>
      <c r="B21" t="s">
        <v>276</v>
      </c>
      <c r="C21" t="s">
        <v>277</v>
      </c>
      <c r="D21" t="s">
        <v>49</v>
      </c>
      <c r="E21" t="s">
        <v>49</v>
      </c>
      <c r="F21" t="s">
        <v>278</v>
      </c>
      <c r="H21">
        <v>185000</v>
      </c>
      <c r="I21" t="s">
        <v>279</v>
      </c>
      <c r="J21" t="s">
        <v>280</v>
      </c>
      <c r="K21" t="s">
        <v>281</v>
      </c>
      <c r="L21" t="s">
        <v>280</v>
      </c>
      <c r="M21" t="s">
        <v>281</v>
      </c>
      <c r="N21" t="s">
        <v>283</v>
      </c>
      <c r="O21">
        <v>645</v>
      </c>
      <c r="P21">
        <v>520728</v>
      </c>
      <c r="Q21">
        <v>347</v>
      </c>
      <c r="R21">
        <v>54</v>
      </c>
      <c r="S21">
        <v>1</v>
      </c>
    </row>
    <row r="22" spans="1:19" x14ac:dyDescent="0.2">
      <c r="A22">
        <v>22</v>
      </c>
      <c r="B22" t="s">
        <v>195</v>
      </c>
      <c r="C22" t="s">
        <v>196</v>
      </c>
      <c r="D22" t="s">
        <v>49</v>
      </c>
      <c r="F22" t="s">
        <v>197</v>
      </c>
      <c r="H22">
        <v>0</v>
      </c>
      <c r="I22" t="s">
        <v>198</v>
      </c>
      <c r="J22" t="s">
        <v>196</v>
      </c>
      <c r="K22" t="s">
        <v>199</v>
      </c>
      <c r="L22" t="s">
        <v>200</v>
      </c>
      <c r="M22" t="s">
        <v>201</v>
      </c>
      <c r="N22" t="s">
        <v>202</v>
      </c>
      <c r="O22">
        <v>145</v>
      </c>
      <c r="P22">
        <v>13523</v>
      </c>
      <c r="Q22">
        <v>149</v>
      </c>
      <c r="R22">
        <v>60</v>
      </c>
      <c r="S22">
        <v>1</v>
      </c>
    </row>
    <row r="23" spans="1:19" x14ac:dyDescent="0.2">
      <c r="A23">
        <v>23</v>
      </c>
      <c r="B23" t="s">
        <v>384</v>
      </c>
      <c r="C23" t="s">
        <v>385</v>
      </c>
      <c r="D23" t="s">
        <v>62</v>
      </c>
      <c r="E23" t="s">
        <v>386</v>
      </c>
      <c r="F23" t="s">
        <v>387</v>
      </c>
      <c r="G23" t="s">
        <v>388</v>
      </c>
      <c r="H23">
        <v>440000</v>
      </c>
      <c r="I23" t="s">
        <v>389</v>
      </c>
      <c r="J23" t="s">
        <v>390</v>
      </c>
      <c r="K23" t="s">
        <v>391</v>
      </c>
      <c r="L23" t="s">
        <v>390</v>
      </c>
      <c r="N23" t="s">
        <v>26</v>
      </c>
      <c r="O23">
        <v>20</v>
      </c>
      <c r="P23">
        <v>800</v>
      </c>
      <c r="Q23">
        <v>4</v>
      </c>
      <c r="R23">
        <v>0</v>
      </c>
      <c r="S23">
        <v>1</v>
      </c>
    </row>
    <row r="24" spans="1:19" x14ac:dyDescent="0.2">
      <c r="A24">
        <v>24</v>
      </c>
      <c r="B24" t="s">
        <v>384</v>
      </c>
      <c r="C24" t="s">
        <v>390</v>
      </c>
      <c r="D24" t="s">
        <v>62</v>
      </c>
      <c r="E24" t="s">
        <v>397</v>
      </c>
      <c r="F24" t="s">
        <v>398</v>
      </c>
      <c r="G24" t="s">
        <v>399</v>
      </c>
      <c r="H24">
        <v>350000</v>
      </c>
      <c r="I24" t="s">
        <v>399</v>
      </c>
      <c r="J24" t="s">
        <v>390</v>
      </c>
      <c r="K24" t="s">
        <v>391</v>
      </c>
      <c r="L24" t="s">
        <v>390</v>
      </c>
      <c r="N24" t="s">
        <v>61</v>
      </c>
      <c r="O24">
        <v>5</v>
      </c>
      <c r="P24">
        <v>300</v>
      </c>
      <c r="Q24">
        <v>2</v>
      </c>
      <c r="R24">
        <v>0</v>
      </c>
      <c r="S24">
        <v>1</v>
      </c>
    </row>
    <row r="25" spans="1:19" x14ac:dyDescent="0.2">
      <c r="A25">
        <v>25</v>
      </c>
      <c r="B25" t="s">
        <v>384</v>
      </c>
      <c r="C25" t="s">
        <v>390</v>
      </c>
      <c r="D25" t="s">
        <v>62</v>
      </c>
      <c r="E25" t="s">
        <v>429</v>
      </c>
      <c r="F25" t="s">
        <v>430</v>
      </c>
      <c r="G25" t="s">
        <v>431</v>
      </c>
      <c r="H25">
        <v>0</v>
      </c>
      <c r="I25" t="s">
        <v>432</v>
      </c>
      <c r="J25" t="s">
        <v>390</v>
      </c>
      <c r="L25" t="s">
        <v>390</v>
      </c>
      <c r="N25" t="s">
        <v>61</v>
      </c>
      <c r="O25">
        <v>3</v>
      </c>
      <c r="P25">
        <v>100</v>
      </c>
      <c r="Q25">
        <v>3</v>
      </c>
      <c r="R25">
        <v>0</v>
      </c>
      <c r="S25">
        <v>1</v>
      </c>
    </row>
    <row r="26" spans="1:19" x14ac:dyDescent="0.2">
      <c r="A26">
        <v>26</v>
      </c>
      <c r="B26" t="s">
        <v>88</v>
      </c>
      <c r="C26" t="s">
        <v>89</v>
      </c>
      <c r="D26" t="s">
        <v>49</v>
      </c>
      <c r="F26" t="s">
        <v>451</v>
      </c>
      <c r="H26">
        <v>2650</v>
      </c>
      <c r="I26" t="s">
        <v>452</v>
      </c>
      <c r="J26" t="s">
        <v>453</v>
      </c>
      <c r="K26" t="s">
        <v>454</v>
      </c>
      <c r="L26" t="s">
        <v>453</v>
      </c>
      <c r="M26" t="s">
        <v>454</v>
      </c>
      <c r="N26" t="s">
        <v>455</v>
      </c>
      <c r="O26">
        <v>7</v>
      </c>
      <c r="P26">
        <v>315</v>
      </c>
      <c r="Q26">
        <v>7</v>
      </c>
      <c r="R26">
        <v>16</v>
      </c>
      <c r="S26">
        <v>1</v>
      </c>
    </row>
    <row r="27" spans="1:19" x14ac:dyDescent="0.2">
      <c r="A27">
        <v>27</v>
      </c>
      <c r="B27" t="s">
        <v>415</v>
      </c>
      <c r="C27" t="s">
        <v>416</v>
      </c>
      <c r="D27" t="s">
        <v>62</v>
      </c>
      <c r="F27" t="s">
        <v>417</v>
      </c>
      <c r="G27" t="s">
        <v>418</v>
      </c>
      <c r="H27">
        <v>0</v>
      </c>
      <c r="I27" t="s">
        <v>419</v>
      </c>
      <c r="J27" t="s">
        <v>420</v>
      </c>
      <c r="K27" t="s">
        <v>421</v>
      </c>
      <c r="L27" t="s">
        <v>422</v>
      </c>
      <c r="M27" t="s">
        <v>423</v>
      </c>
      <c r="N27" t="s">
        <v>424</v>
      </c>
      <c r="O27">
        <v>19</v>
      </c>
      <c r="P27">
        <v>641</v>
      </c>
      <c r="Q27">
        <v>9</v>
      </c>
      <c r="R27">
        <v>11</v>
      </c>
      <c r="S27">
        <v>1</v>
      </c>
    </row>
    <row r="28" spans="1:19" x14ac:dyDescent="0.2">
      <c r="A28">
        <v>28</v>
      </c>
      <c r="B28" t="s">
        <v>55</v>
      </c>
      <c r="C28" t="s">
        <v>56</v>
      </c>
      <c r="D28" t="s">
        <v>49</v>
      </c>
      <c r="F28" t="s">
        <v>57</v>
      </c>
      <c r="H28">
        <v>0</v>
      </c>
      <c r="I28" t="s">
        <v>58</v>
      </c>
      <c r="J28" t="s">
        <v>59</v>
      </c>
      <c r="K28" t="s">
        <v>60</v>
      </c>
      <c r="L28" t="s">
        <v>59</v>
      </c>
      <c r="N28" t="s">
        <v>61</v>
      </c>
      <c r="O28">
        <v>52</v>
      </c>
      <c r="P28">
        <v>2022</v>
      </c>
      <c r="Q28">
        <v>19</v>
      </c>
      <c r="R28">
        <v>26</v>
      </c>
      <c r="S28">
        <v>2</v>
      </c>
    </row>
    <row r="29" spans="1:19" x14ac:dyDescent="0.2">
      <c r="A29">
        <v>29</v>
      </c>
      <c r="B29" t="s">
        <v>203</v>
      </c>
      <c r="C29" t="s">
        <v>204</v>
      </c>
      <c r="D29" t="s">
        <v>49</v>
      </c>
      <c r="F29" t="s">
        <v>205</v>
      </c>
      <c r="H29">
        <v>755397</v>
      </c>
      <c r="I29" t="s">
        <v>206</v>
      </c>
      <c r="J29" t="s">
        <v>204</v>
      </c>
      <c r="K29" t="s">
        <v>207</v>
      </c>
      <c r="L29" t="s">
        <v>208</v>
      </c>
      <c r="M29" t="s">
        <v>209</v>
      </c>
      <c r="N29" t="s">
        <v>210</v>
      </c>
      <c r="O29">
        <v>909</v>
      </c>
      <c r="P29">
        <v>267421</v>
      </c>
      <c r="Q29">
        <v>549</v>
      </c>
      <c r="R29">
        <v>73</v>
      </c>
      <c r="S29">
        <v>1</v>
      </c>
    </row>
    <row r="30" spans="1:19" x14ac:dyDescent="0.2">
      <c r="A30">
        <v>30</v>
      </c>
      <c r="B30" t="s">
        <v>230</v>
      </c>
      <c r="C30" t="s">
        <v>231</v>
      </c>
      <c r="D30" t="s">
        <v>49</v>
      </c>
      <c r="F30" t="s">
        <v>232</v>
      </c>
      <c r="H30">
        <v>135000</v>
      </c>
      <c r="I30" t="s">
        <v>233</v>
      </c>
      <c r="J30" t="s">
        <v>234</v>
      </c>
      <c r="K30" t="s">
        <v>235</v>
      </c>
      <c r="L30" t="s">
        <v>236</v>
      </c>
      <c r="M30" t="s">
        <v>237</v>
      </c>
      <c r="N30" t="s">
        <v>238</v>
      </c>
      <c r="O30">
        <v>301</v>
      </c>
      <c r="P30">
        <v>35214</v>
      </c>
      <c r="Q30">
        <v>16201</v>
      </c>
      <c r="R30">
        <v>326</v>
      </c>
      <c r="S30">
        <v>1</v>
      </c>
    </row>
    <row r="31" spans="1:19" x14ac:dyDescent="0.2">
      <c r="A31">
        <v>31</v>
      </c>
      <c r="B31" t="s">
        <v>55</v>
      </c>
      <c r="C31" t="s">
        <v>56</v>
      </c>
      <c r="D31" t="s">
        <v>49</v>
      </c>
      <c r="F31" t="s">
        <v>327</v>
      </c>
      <c r="H31">
        <v>0</v>
      </c>
      <c r="I31" t="s">
        <v>328</v>
      </c>
      <c r="J31" t="s">
        <v>329</v>
      </c>
      <c r="K31" t="s">
        <v>330</v>
      </c>
      <c r="L31" t="s">
        <v>329</v>
      </c>
      <c r="N31" t="s">
        <v>61</v>
      </c>
      <c r="O31">
        <v>20</v>
      </c>
      <c r="P31">
        <v>328</v>
      </c>
      <c r="Q31">
        <v>7</v>
      </c>
      <c r="R31">
        <v>6</v>
      </c>
      <c r="S31">
        <v>1</v>
      </c>
    </row>
    <row r="32" spans="1:19" x14ac:dyDescent="0.2">
      <c r="A32">
        <v>32</v>
      </c>
      <c r="B32" t="s">
        <v>55</v>
      </c>
      <c r="C32" t="s">
        <v>56</v>
      </c>
      <c r="D32" t="s">
        <v>49</v>
      </c>
      <c r="F32" t="s">
        <v>139</v>
      </c>
      <c r="H32">
        <v>0</v>
      </c>
      <c r="I32" t="s">
        <v>140</v>
      </c>
      <c r="J32" t="s">
        <v>141</v>
      </c>
      <c r="K32" t="s">
        <v>142</v>
      </c>
      <c r="L32" t="s">
        <v>141</v>
      </c>
      <c r="N32" t="s">
        <v>61</v>
      </c>
      <c r="O32">
        <v>6</v>
      </c>
      <c r="P32">
        <v>66</v>
      </c>
      <c r="Q32">
        <v>1</v>
      </c>
      <c r="R32">
        <v>1</v>
      </c>
      <c r="S32">
        <v>1</v>
      </c>
    </row>
    <row r="33" spans="1:19" x14ac:dyDescent="0.2">
      <c r="A33">
        <v>33</v>
      </c>
      <c r="B33" t="s">
        <v>55</v>
      </c>
      <c r="C33" t="s">
        <v>56</v>
      </c>
      <c r="D33" t="s">
        <v>49</v>
      </c>
      <c r="F33" t="s">
        <v>57</v>
      </c>
      <c r="H33">
        <v>0</v>
      </c>
      <c r="I33" t="s">
        <v>58</v>
      </c>
      <c r="J33" t="s">
        <v>59</v>
      </c>
      <c r="K33" t="s">
        <v>60</v>
      </c>
      <c r="L33" t="s">
        <v>59</v>
      </c>
      <c r="N33" t="s">
        <v>61</v>
      </c>
      <c r="O33">
        <v>52</v>
      </c>
      <c r="P33">
        <v>2022</v>
      </c>
      <c r="Q33">
        <v>19</v>
      </c>
      <c r="R33">
        <v>26</v>
      </c>
      <c r="S33">
        <v>1</v>
      </c>
    </row>
    <row r="34" spans="1:19" x14ac:dyDescent="0.2">
      <c r="A34">
        <v>34</v>
      </c>
      <c r="B34" t="s">
        <v>55</v>
      </c>
      <c r="C34" t="s">
        <v>56</v>
      </c>
      <c r="D34" t="s">
        <v>49</v>
      </c>
      <c r="F34" t="s">
        <v>174</v>
      </c>
      <c r="H34">
        <v>0</v>
      </c>
      <c r="I34" t="s">
        <v>175</v>
      </c>
      <c r="J34" t="s">
        <v>176</v>
      </c>
      <c r="K34" t="s">
        <v>177</v>
      </c>
      <c r="L34" t="s">
        <v>176</v>
      </c>
      <c r="N34" t="s">
        <v>61</v>
      </c>
      <c r="O34">
        <v>109</v>
      </c>
      <c r="P34">
        <v>1039</v>
      </c>
      <c r="Q34">
        <v>16</v>
      </c>
      <c r="R34">
        <v>8</v>
      </c>
      <c r="S34">
        <v>1</v>
      </c>
    </row>
    <row r="35" spans="1:19" x14ac:dyDescent="0.2">
      <c r="A35">
        <v>35</v>
      </c>
      <c r="B35" t="s">
        <v>55</v>
      </c>
      <c r="C35" t="s">
        <v>56</v>
      </c>
      <c r="D35" t="s">
        <v>49</v>
      </c>
      <c r="F35" t="s">
        <v>353</v>
      </c>
      <c r="H35">
        <v>0</v>
      </c>
      <c r="I35" t="s">
        <v>354</v>
      </c>
      <c r="J35" t="s">
        <v>355</v>
      </c>
      <c r="K35" t="s">
        <v>356</v>
      </c>
      <c r="L35" t="s">
        <v>355</v>
      </c>
      <c r="N35" t="s">
        <v>61</v>
      </c>
      <c r="O35">
        <v>50</v>
      </c>
      <c r="P35">
        <v>457</v>
      </c>
      <c r="Q35">
        <v>5</v>
      </c>
      <c r="R35">
        <v>5</v>
      </c>
      <c r="S35">
        <v>1</v>
      </c>
    </row>
    <row r="36" spans="1:19" x14ac:dyDescent="0.2">
      <c r="A36">
        <v>36</v>
      </c>
      <c r="B36" t="s">
        <v>55</v>
      </c>
      <c r="C36" t="s">
        <v>56</v>
      </c>
      <c r="D36" t="s">
        <v>49</v>
      </c>
      <c r="F36" t="s">
        <v>367</v>
      </c>
      <c r="H36">
        <v>0</v>
      </c>
      <c r="I36" t="s">
        <v>368</v>
      </c>
      <c r="J36" t="s">
        <v>369</v>
      </c>
      <c r="K36" t="s">
        <v>370</v>
      </c>
      <c r="L36" t="s">
        <v>369</v>
      </c>
      <c r="N36" t="s">
        <v>61</v>
      </c>
      <c r="O36">
        <v>97</v>
      </c>
      <c r="P36">
        <v>1277</v>
      </c>
      <c r="Q36">
        <v>2</v>
      </c>
      <c r="R36">
        <v>5</v>
      </c>
      <c r="S36">
        <v>1</v>
      </c>
    </row>
    <row r="37" spans="1:19" x14ac:dyDescent="0.2">
      <c r="A37">
        <v>37</v>
      </c>
      <c r="B37" t="s">
        <v>55</v>
      </c>
      <c r="C37" t="s">
        <v>56</v>
      </c>
      <c r="D37" t="s">
        <v>49</v>
      </c>
      <c r="F37" t="s">
        <v>377</v>
      </c>
      <c r="H37">
        <v>0</v>
      </c>
      <c r="I37" t="s">
        <v>378</v>
      </c>
      <c r="J37" t="s">
        <v>379</v>
      </c>
      <c r="K37" t="s">
        <v>380</v>
      </c>
      <c r="L37" t="s">
        <v>379</v>
      </c>
      <c r="N37" t="s">
        <v>61</v>
      </c>
      <c r="O37">
        <v>15</v>
      </c>
      <c r="P37">
        <v>615</v>
      </c>
      <c r="Q37">
        <v>4</v>
      </c>
      <c r="R37">
        <v>2</v>
      </c>
      <c r="S37">
        <v>1</v>
      </c>
    </row>
    <row r="38" spans="1:19" x14ac:dyDescent="0.2">
      <c r="A38">
        <v>38</v>
      </c>
      <c r="B38" t="s">
        <v>55</v>
      </c>
      <c r="C38" t="s">
        <v>56</v>
      </c>
      <c r="D38" t="s">
        <v>62</v>
      </c>
      <c r="E38" t="s">
        <v>363</v>
      </c>
      <c r="F38" t="s">
        <v>364</v>
      </c>
      <c r="H38">
        <v>0</v>
      </c>
      <c r="I38" t="s">
        <v>365</v>
      </c>
      <c r="J38" t="s">
        <v>152</v>
      </c>
      <c r="K38" t="s">
        <v>366</v>
      </c>
      <c r="L38" t="s">
        <v>152</v>
      </c>
      <c r="N38" t="s">
        <v>61</v>
      </c>
      <c r="O38">
        <v>36</v>
      </c>
      <c r="P38">
        <v>874</v>
      </c>
      <c r="Q38">
        <v>5</v>
      </c>
      <c r="R38">
        <v>8</v>
      </c>
      <c r="S38">
        <v>1</v>
      </c>
    </row>
    <row r="39" spans="1:19" x14ac:dyDescent="0.2">
      <c r="A39">
        <v>39</v>
      </c>
      <c r="B39" t="s">
        <v>55</v>
      </c>
      <c r="C39" t="s">
        <v>56</v>
      </c>
      <c r="D39" t="s">
        <v>49</v>
      </c>
      <c r="F39" t="s">
        <v>105</v>
      </c>
      <c r="H39">
        <v>0</v>
      </c>
      <c r="I39" t="s">
        <v>106</v>
      </c>
      <c r="J39" t="s">
        <v>107</v>
      </c>
      <c r="K39" t="s">
        <v>108</v>
      </c>
      <c r="L39" t="s">
        <v>107</v>
      </c>
      <c r="N39" t="s">
        <v>61</v>
      </c>
      <c r="O39">
        <v>64</v>
      </c>
      <c r="P39">
        <v>1270</v>
      </c>
      <c r="Q39">
        <v>10</v>
      </c>
      <c r="R39">
        <v>15</v>
      </c>
      <c r="S39">
        <v>1</v>
      </c>
    </row>
    <row r="40" spans="1:19" x14ac:dyDescent="0.2">
      <c r="A40">
        <v>40</v>
      </c>
      <c r="B40" t="s">
        <v>55</v>
      </c>
      <c r="C40" t="s">
        <v>56</v>
      </c>
      <c r="D40" t="s">
        <v>49</v>
      </c>
      <c r="F40" t="s">
        <v>400</v>
      </c>
      <c r="H40">
        <v>0</v>
      </c>
      <c r="I40" t="s">
        <v>401</v>
      </c>
      <c r="J40" t="s">
        <v>402</v>
      </c>
      <c r="K40" t="s">
        <v>403</v>
      </c>
      <c r="L40" t="s">
        <v>402</v>
      </c>
      <c r="N40" t="s">
        <v>61</v>
      </c>
      <c r="O40">
        <v>58</v>
      </c>
      <c r="P40">
        <v>345</v>
      </c>
      <c r="Q40">
        <v>4</v>
      </c>
      <c r="R40">
        <v>7</v>
      </c>
      <c r="S40">
        <v>1</v>
      </c>
    </row>
    <row r="41" spans="1:19" x14ac:dyDescent="0.2">
      <c r="A41">
        <v>41</v>
      </c>
      <c r="B41" t="s">
        <v>55</v>
      </c>
      <c r="C41" t="s">
        <v>56</v>
      </c>
      <c r="D41" t="s">
        <v>49</v>
      </c>
      <c r="F41" t="s">
        <v>109</v>
      </c>
      <c r="H41">
        <v>0</v>
      </c>
      <c r="I41" t="s">
        <v>110</v>
      </c>
      <c r="J41" t="s">
        <v>111</v>
      </c>
      <c r="K41" t="s">
        <v>112</v>
      </c>
      <c r="L41" t="s">
        <v>111</v>
      </c>
      <c r="N41" t="s">
        <v>61</v>
      </c>
      <c r="O41">
        <v>33</v>
      </c>
      <c r="P41">
        <v>944</v>
      </c>
      <c r="Q41">
        <v>20</v>
      </c>
      <c r="R41">
        <v>26</v>
      </c>
      <c r="S41">
        <v>1</v>
      </c>
    </row>
    <row r="42" spans="1:19" x14ac:dyDescent="0.2">
      <c r="A42">
        <v>42</v>
      </c>
      <c r="B42" t="s">
        <v>55</v>
      </c>
      <c r="C42" t="s">
        <v>56</v>
      </c>
      <c r="D42" t="s">
        <v>49</v>
      </c>
      <c r="F42" t="s">
        <v>318</v>
      </c>
      <c r="H42">
        <v>0</v>
      </c>
      <c r="I42" t="s">
        <v>320</v>
      </c>
      <c r="J42" t="s">
        <v>321</v>
      </c>
      <c r="K42" t="s">
        <v>357</v>
      </c>
      <c r="L42" t="s">
        <v>321</v>
      </c>
      <c r="N42" t="s">
        <v>61</v>
      </c>
      <c r="O42">
        <v>21</v>
      </c>
      <c r="P42">
        <v>95</v>
      </c>
      <c r="Q42">
        <v>1</v>
      </c>
      <c r="R42">
        <v>5</v>
      </c>
      <c r="S42">
        <v>2</v>
      </c>
    </row>
    <row r="43" spans="1:19" x14ac:dyDescent="0.2">
      <c r="A43">
        <v>43</v>
      </c>
      <c r="B43" t="s">
        <v>55</v>
      </c>
      <c r="C43" t="s">
        <v>56</v>
      </c>
      <c r="D43" t="s">
        <v>49</v>
      </c>
      <c r="F43" t="s">
        <v>433</v>
      </c>
      <c r="H43">
        <v>0</v>
      </c>
      <c r="I43" t="s">
        <v>434</v>
      </c>
      <c r="J43" t="s">
        <v>435</v>
      </c>
      <c r="K43" t="s">
        <v>436</v>
      </c>
      <c r="L43" t="s">
        <v>435</v>
      </c>
      <c r="N43" t="s">
        <v>61</v>
      </c>
      <c r="O43">
        <v>20</v>
      </c>
      <c r="P43">
        <v>310</v>
      </c>
      <c r="Q43">
        <v>1</v>
      </c>
      <c r="R43">
        <v>6</v>
      </c>
      <c r="S43">
        <v>1</v>
      </c>
    </row>
    <row r="44" spans="1:19" x14ac:dyDescent="0.2">
      <c r="A44">
        <v>44</v>
      </c>
      <c r="B44" t="s">
        <v>55</v>
      </c>
      <c r="C44" t="s">
        <v>56</v>
      </c>
      <c r="D44" t="s">
        <v>62</v>
      </c>
      <c r="E44" t="s">
        <v>83</v>
      </c>
      <c r="F44" t="s">
        <v>84</v>
      </c>
      <c r="H44">
        <v>0</v>
      </c>
      <c r="I44" t="s">
        <v>85</v>
      </c>
      <c r="J44" t="s">
        <v>86</v>
      </c>
      <c r="K44" t="s">
        <v>87</v>
      </c>
      <c r="L44" t="s">
        <v>86</v>
      </c>
      <c r="N44" t="s">
        <v>61</v>
      </c>
      <c r="O44">
        <v>534</v>
      </c>
      <c r="P44">
        <v>3860</v>
      </c>
      <c r="Q44">
        <v>23</v>
      </c>
      <c r="R44">
        <v>39</v>
      </c>
      <c r="S44">
        <v>1</v>
      </c>
    </row>
    <row r="45" spans="1:19" x14ac:dyDescent="0.2">
      <c r="A45">
        <v>45</v>
      </c>
      <c r="B45" t="s">
        <v>126</v>
      </c>
      <c r="C45" t="s">
        <v>127</v>
      </c>
      <c r="D45" t="s">
        <v>49</v>
      </c>
      <c r="F45" t="s">
        <v>128</v>
      </c>
      <c r="H45">
        <v>386300</v>
      </c>
      <c r="I45" t="s">
        <v>129</v>
      </c>
      <c r="J45" t="s">
        <v>130</v>
      </c>
      <c r="L45" t="s">
        <v>131</v>
      </c>
      <c r="N45" t="s">
        <v>132</v>
      </c>
      <c r="O45">
        <v>49</v>
      </c>
      <c r="P45">
        <v>3838</v>
      </c>
      <c r="Q45">
        <v>97</v>
      </c>
      <c r="R45">
        <v>18</v>
      </c>
      <c r="S45">
        <v>1</v>
      </c>
    </row>
    <row r="46" spans="1:19" x14ac:dyDescent="0.2">
      <c r="A46">
        <v>46</v>
      </c>
      <c r="B46" t="s">
        <v>415</v>
      </c>
      <c r="C46" t="s">
        <v>416</v>
      </c>
      <c r="D46" t="s">
        <v>49</v>
      </c>
      <c r="F46" t="s">
        <v>438</v>
      </c>
      <c r="H46">
        <v>0</v>
      </c>
      <c r="I46" t="s">
        <v>439</v>
      </c>
      <c r="J46" t="s">
        <v>440</v>
      </c>
      <c r="K46" t="s">
        <v>441</v>
      </c>
      <c r="L46" t="s">
        <v>442</v>
      </c>
      <c r="M46" t="s">
        <v>443</v>
      </c>
      <c r="N46" t="s">
        <v>444</v>
      </c>
      <c r="O46">
        <v>40</v>
      </c>
      <c r="P46">
        <v>1669</v>
      </c>
      <c r="Q46">
        <v>24</v>
      </c>
      <c r="R46">
        <v>3</v>
      </c>
      <c r="S46">
        <v>1</v>
      </c>
    </row>
    <row r="47" spans="1:19" x14ac:dyDescent="0.2">
      <c r="A47">
        <v>47</v>
      </c>
      <c r="B47" t="s">
        <v>165</v>
      </c>
      <c r="C47" t="s">
        <v>89</v>
      </c>
      <c r="D47" t="s">
        <v>49</v>
      </c>
      <c r="F47" t="s">
        <v>392</v>
      </c>
      <c r="H47">
        <v>0</v>
      </c>
      <c r="I47" t="s">
        <v>393</v>
      </c>
      <c r="J47" t="s">
        <v>394</v>
      </c>
      <c r="K47" t="s">
        <v>395</v>
      </c>
      <c r="L47" t="s">
        <v>394</v>
      </c>
      <c r="M47" t="s">
        <v>395</v>
      </c>
      <c r="N47" t="s">
        <v>396</v>
      </c>
      <c r="O47">
        <v>6</v>
      </c>
      <c r="P47">
        <v>320</v>
      </c>
      <c r="Q47">
        <v>6</v>
      </c>
      <c r="R47">
        <v>3</v>
      </c>
      <c r="S47">
        <v>1</v>
      </c>
    </row>
    <row r="48" spans="1:19" x14ac:dyDescent="0.2">
      <c r="A48">
        <v>48</v>
      </c>
      <c r="B48" t="s">
        <v>165</v>
      </c>
      <c r="C48" t="s">
        <v>89</v>
      </c>
      <c r="D48" t="s">
        <v>49</v>
      </c>
      <c r="F48" t="s">
        <v>166</v>
      </c>
      <c r="H48">
        <v>0</v>
      </c>
      <c r="I48" t="s">
        <v>167</v>
      </c>
      <c r="J48" t="s">
        <v>89</v>
      </c>
      <c r="L48" t="s">
        <v>89</v>
      </c>
      <c r="M48" t="s">
        <v>168</v>
      </c>
      <c r="N48" t="s">
        <v>61</v>
      </c>
      <c r="O48">
        <v>6</v>
      </c>
      <c r="P48">
        <v>306</v>
      </c>
      <c r="Q48">
        <v>0</v>
      </c>
      <c r="R48">
        <v>7</v>
      </c>
      <c r="S48">
        <v>1</v>
      </c>
    </row>
    <row r="49" spans="1:19" x14ac:dyDescent="0.2">
      <c r="A49">
        <v>49</v>
      </c>
      <c r="B49" t="s">
        <v>117</v>
      </c>
      <c r="C49" t="s">
        <v>118</v>
      </c>
      <c r="D49" t="s">
        <v>49</v>
      </c>
      <c r="E49" t="s">
        <v>227</v>
      </c>
      <c r="F49" t="s">
        <v>228</v>
      </c>
      <c r="H49">
        <v>280500</v>
      </c>
      <c r="I49" t="s">
        <v>121</v>
      </c>
      <c r="J49" t="s">
        <v>122</v>
      </c>
      <c r="K49" t="s">
        <v>123</v>
      </c>
      <c r="L49" t="s">
        <v>118</v>
      </c>
      <c r="M49" t="s">
        <v>124</v>
      </c>
      <c r="N49" t="s">
        <v>229</v>
      </c>
      <c r="O49">
        <v>867</v>
      </c>
      <c r="P49">
        <v>118462</v>
      </c>
      <c r="Q49">
        <v>755</v>
      </c>
      <c r="R49">
        <v>194</v>
      </c>
      <c r="S49">
        <v>1</v>
      </c>
    </row>
    <row r="50" spans="1:19" x14ac:dyDescent="0.2">
      <c r="A50">
        <v>50</v>
      </c>
      <c r="B50" t="s">
        <v>211</v>
      </c>
      <c r="C50" t="s">
        <v>212</v>
      </c>
      <c r="D50" t="s">
        <v>49</v>
      </c>
      <c r="E50" t="s">
        <v>213</v>
      </c>
      <c r="F50" t="s">
        <v>214</v>
      </c>
      <c r="H50">
        <v>2591141</v>
      </c>
      <c r="I50" t="s">
        <v>215</v>
      </c>
      <c r="J50" t="s">
        <v>216</v>
      </c>
      <c r="K50" t="s">
        <v>217</v>
      </c>
      <c r="L50" t="s">
        <v>216</v>
      </c>
      <c r="M50" t="s">
        <v>218</v>
      </c>
      <c r="N50" t="s">
        <v>219</v>
      </c>
      <c r="O50">
        <v>130</v>
      </c>
      <c r="P50">
        <v>4777</v>
      </c>
      <c r="Q50">
        <v>226</v>
      </c>
      <c r="R50">
        <v>17</v>
      </c>
      <c r="S50">
        <v>1</v>
      </c>
    </row>
    <row r="51" spans="1:19" x14ac:dyDescent="0.2">
      <c r="A51">
        <v>51</v>
      </c>
      <c r="B51" t="s">
        <v>88</v>
      </c>
      <c r="C51" t="s">
        <v>89</v>
      </c>
      <c r="D51" t="s">
        <v>49</v>
      </c>
      <c r="F51" t="s">
        <v>160</v>
      </c>
      <c r="H51">
        <v>0</v>
      </c>
      <c r="I51" t="s">
        <v>161</v>
      </c>
      <c r="J51" t="s">
        <v>162</v>
      </c>
      <c r="K51" t="s">
        <v>163</v>
      </c>
      <c r="L51" t="s">
        <v>162</v>
      </c>
      <c r="M51" t="s">
        <v>163</v>
      </c>
      <c r="N51" t="s">
        <v>164</v>
      </c>
      <c r="O51">
        <v>4</v>
      </c>
      <c r="P51">
        <v>227</v>
      </c>
      <c r="Q51">
        <v>1</v>
      </c>
      <c r="R51">
        <v>1</v>
      </c>
      <c r="S51">
        <v>1</v>
      </c>
    </row>
    <row r="52" spans="1:19" x14ac:dyDescent="0.2">
      <c r="A52">
        <v>52</v>
      </c>
      <c r="B52" t="s">
        <v>88</v>
      </c>
      <c r="C52" t="s">
        <v>89</v>
      </c>
      <c r="D52" t="s">
        <v>49</v>
      </c>
      <c r="F52" t="s">
        <v>466</v>
      </c>
      <c r="H52">
        <v>0</v>
      </c>
      <c r="I52" t="s">
        <v>467</v>
      </c>
      <c r="J52" t="s">
        <v>468</v>
      </c>
      <c r="K52" t="s">
        <v>469</v>
      </c>
      <c r="L52" t="s">
        <v>470</v>
      </c>
      <c r="N52" t="s">
        <v>471</v>
      </c>
      <c r="O52">
        <v>22</v>
      </c>
      <c r="P52">
        <v>861</v>
      </c>
      <c r="Q52">
        <v>5</v>
      </c>
      <c r="R52">
        <v>9</v>
      </c>
      <c r="S52">
        <v>1</v>
      </c>
    </row>
    <row r="53" spans="1:19" x14ac:dyDescent="0.2">
      <c r="A53">
        <v>53</v>
      </c>
      <c r="B53" t="s">
        <v>117</v>
      </c>
      <c r="C53" t="s">
        <v>118</v>
      </c>
      <c r="D53" t="s">
        <v>49</v>
      </c>
      <c r="E53" t="s">
        <v>119</v>
      </c>
      <c r="F53" t="s">
        <v>120</v>
      </c>
      <c r="H53">
        <v>3000</v>
      </c>
      <c r="I53" t="s">
        <v>121</v>
      </c>
      <c r="J53" t="s">
        <v>122</v>
      </c>
      <c r="K53" t="s">
        <v>123</v>
      </c>
      <c r="L53" t="s">
        <v>118</v>
      </c>
      <c r="M53" t="s">
        <v>124</v>
      </c>
      <c r="N53" t="s">
        <v>125</v>
      </c>
      <c r="O53">
        <v>114</v>
      </c>
      <c r="P53">
        <v>10563</v>
      </c>
      <c r="Q53">
        <v>58</v>
      </c>
      <c r="R53">
        <v>33</v>
      </c>
      <c r="S53">
        <v>1</v>
      </c>
    </row>
    <row r="54" spans="1:19" x14ac:dyDescent="0.2">
      <c r="A54">
        <v>54</v>
      </c>
      <c r="B54" t="s">
        <v>117</v>
      </c>
      <c r="C54" t="s">
        <v>118</v>
      </c>
      <c r="D54" t="s">
        <v>49</v>
      </c>
      <c r="E54" t="s">
        <v>119</v>
      </c>
      <c r="F54" t="s">
        <v>178</v>
      </c>
      <c r="H54">
        <v>500</v>
      </c>
      <c r="I54" t="s">
        <v>121</v>
      </c>
      <c r="J54" t="s">
        <v>122</v>
      </c>
      <c r="K54" t="s">
        <v>123</v>
      </c>
      <c r="L54" t="s">
        <v>122</v>
      </c>
      <c r="M54" t="s">
        <v>123</v>
      </c>
      <c r="N54" t="s">
        <v>179</v>
      </c>
      <c r="O54">
        <v>4</v>
      </c>
      <c r="P54">
        <v>213</v>
      </c>
      <c r="Q54">
        <v>3</v>
      </c>
      <c r="R54">
        <v>0</v>
      </c>
      <c r="S54">
        <v>1</v>
      </c>
    </row>
    <row r="55" spans="1:19" x14ac:dyDescent="0.2">
      <c r="A55">
        <v>55</v>
      </c>
      <c r="B55" t="s">
        <v>88</v>
      </c>
      <c r="C55" t="s">
        <v>89</v>
      </c>
      <c r="D55" t="s">
        <v>49</v>
      </c>
      <c r="F55" t="s">
        <v>348</v>
      </c>
      <c r="H55">
        <v>7000</v>
      </c>
      <c r="I55" t="s">
        <v>349</v>
      </c>
      <c r="J55" t="s">
        <v>350</v>
      </c>
      <c r="K55" t="s">
        <v>351</v>
      </c>
      <c r="L55" t="s">
        <v>350</v>
      </c>
      <c r="N55" t="s">
        <v>352</v>
      </c>
      <c r="O55">
        <v>21</v>
      </c>
      <c r="P55">
        <v>900</v>
      </c>
      <c r="Q55">
        <v>7</v>
      </c>
      <c r="R55">
        <v>31</v>
      </c>
      <c r="S55">
        <v>1</v>
      </c>
    </row>
    <row r="56" spans="1:19" x14ac:dyDescent="0.2">
      <c r="A56">
        <v>56</v>
      </c>
      <c r="B56" t="s">
        <v>88</v>
      </c>
      <c r="C56" t="s">
        <v>89</v>
      </c>
      <c r="D56" t="s">
        <v>49</v>
      </c>
      <c r="F56" t="s">
        <v>95</v>
      </c>
      <c r="H56">
        <v>0</v>
      </c>
      <c r="I56" t="s">
        <v>96</v>
      </c>
      <c r="J56" t="s">
        <v>97</v>
      </c>
      <c r="K56" t="s">
        <v>98</v>
      </c>
      <c r="L56" t="s">
        <v>97</v>
      </c>
      <c r="M56" t="s">
        <v>98</v>
      </c>
      <c r="N56" t="s">
        <v>99</v>
      </c>
      <c r="O56">
        <v>19</v>
      </c>
      <c r="P56">
        <v>650</v>
      </c>
      <c r="Q56">
        <v>13</v>
      </c>
      <c r="R56">
        <v>21</v>
      </c>
      <c r="S56">
        <v>1</v>
      </c>
    </row>
    <row r="57" spans="1:19" x14ac:dyDescent="0.2">
      <c r="A57">
        <v>57</v>
      </c>
      <c r="B57" t="s">
        <v>88</v>
      </c>
      <c r="C57" t="s">
        <v>89</v>
      </c>
      <c r="D57" t="s">
        <v>49</v>
      </c>
      <c r="F57" t="s">
        <v>456</v>
      </c>
      <c r="H57">
        <v>0</v>
      </c>
      <c r="I57" t="s">
        <v>457</v>
      </c>
      <c r="J57" t="s">
        <v>458</v>
      </c>
      <c r="K57" t="s">
        <v>459</v>
      </c>
      <c r="L57" t="s">
        <v>458</v>
      </c>
      <c r="M57" t="s">
        <v>459</v>
      </c>
      <c r="N57" t="s">
        <v>460</v>
      </c>
      <c r="O57">
        <v>14</v>
      </c>
      <c r="P57">
        <v>850</v>
      </c>
      <c r="Q57">
        <v>7</v>
      </c>
      <c r="R57">
        <v>31</v>
      </c>
      <c r="S57">
        <v>1</v>
      </c>
    </row>
    <row r="58" spans="1:19" x14ac:dyDescent="0.2">
      <c r="A58">
        <v>58</v>
      </c>
      <c r="B58" t="s">
        <v>88</v>
      </c>
      <c r="C58" t="s">
        <v>89</v>
      </c>
      <c r="D58" t="s">
        <v>49</v>
      </c>
      <c r="F58" t="s">
        <v>100</v>
      </c>
      <c r="H58">
        <v>1115</v>
      </c>
      <c r="I58" t="s">
        <v>101</v>
      </c>
      <c r="J58" t="s">
        <v>102</v>
      </c>
      <c r="K58" t="s">
        <v>103</v>
      </c>
      <c r="L58" t="s">
        <v>102</v>
      </c>
      <c r="M58" t="s">
        <v>103</v>
      </c>
      <c r="N58" t="s">
        <v>104</v>
      </c>
      <c r="O58">
        <v>28</v>
      </c>
      <c r="P58">
        <v>660</v>
      </c>
      <c r="Q58">
        <v>19</v>
      </c>
      <c r="R58">
        <v>22</v>
      </c>
      <c r="S58">
        <v>1</v>
      </c>
    </row>
    <row r="59" spans="1:19" x14ac:dyDescent="0.2">
      <c r="A59">
        <v>59</v>
      </c>
      <c r="B59" t="s">
        <v>88</v>
      </c>
      <c r="C59" t="s">
        <v>89</v>
      </c>
      <c r="D59" t="s">
        <v>49</v>
      </c>
      <c r="F59" t="s">
        <v>90</v>
      </c>
      <c r="H59">
        <v>2239</v>
      </c>
      <c r="I59" t="s">
        <v>91</v>
      </c>
      <c r="J59" t="s">
        <v>92</v>
      </c>
      <c r="K59" t="s">
        <v>93</v>
      </c>
      <c r="L59" t="s">
        <v>92</v>
      </c>
      <c r="M59" t="s">
        <v>93</v>
      </c>
      <c r="N59" t="s">
        <v>94</v>
      </c>
      <c r="O59">
        <v>35</v>
      </c>
      <c r="P59">
        <v>6500</v>
      </c>
      <c r="Q59">
        <v>25</v>
      </c>
      <c r="R59">
        <v>12</v>
      </c>
      <c r="S59">
        <v>1</v>
      </c>
    </row>
    <row r="60" spans="1:19" x14ac:dyDescent="0.2">
      <c r="A60">
        <v>60</v>
      </c>
      <c r="B60" t="s">
        <v>266</v>
      </c>
      <c r="C60" t="s">
        <v>267</v>
      </c>
      <c r="D60" t="s">
        <v>49</v>
      </c>
      <c r="E60" t="s">
        <v>268</v>
      </c>
      <c r="F60" t="s">
        <v>269</v>
      </c>
      <c r="H60">
        <v>43170</v>
      </c>
      <c r="I60" t="s">
        <v>270</v>
      </c>
      <c r="J60" t="s">
        <v>271</v>
      </c>
      <c r="K60" t="s">
        <v>272</v>
      </c>
      <c r="L60" t="s">
        <v>273</v>
      </c>
      <c r="M60" t="s">
        <v>274</v>
      </c>
      <c r="N60" t="s">
        <v>275</v>
      </c>
      <c r="O60">
        <v>392</v>
      </c>
      <c r="P60">
        <v>39390</v>
      </c>
      <c r="Q60">
        <v>198</v>
      </c>
      <c r="R60">
        <v>170</v>
      </c>
      <c r="S60">
        <v>1</v>
      </c>
    </row>
    <row r="61" spans="1:19" x14ac:dyDescent="0.2">
      <c r="A61">
        <v>63</v>
      </c>
      <c r="B61" t="s">
        <v>256</v>
      </c>
      <c r="C61" t="s">
        <v>257</v>
      </c>
      <c r="D61" t="s">
        <v>49</v>
      </c>
      <c r="E61" t="s">
        <v>258</v>
      </c>
      <c r="F61" t="s">
        <v>259</v>
      </c>
      <c r="H61">
        <v>20058</v>
      </c>
      <c r="I61" t="s">
        <v>260</v>
      </c>
      <c r="J61" t="s">
        <v>261</v>
      </c>
      <c r="K61" t="s">
        <v>262</v>
      </c>
      <c r="L61" t="s">
        <v>263</v>
      </c>
      <c r="M61" t="s">
        <v>264</v>
      </c>
      <c r="N61" t="s">
        <v>265</v>
      </c>
      <c r="O61">
        <v>112</v>
      </c>
      <c r="P61">
        <v>19720</v>
      </c>
      <c r="Q61">
        <v>135</v>
      </c>
      <c r="R61">
        <v>15</v>
      </c>
      <c r="S61">
        <v>1</v>
      </c>
    </row>
    <row r="62" spans="1:19" x14ac:dyDescent="0.2">
      <c r="A62">
        <v>64</v>
      </c>
      <c r="B62" t="s">
        <v>239</v>
      </c>
      <c r="C62" t="s">
        <v>240</v>
      </c>
      <c r="D62" t="s">
        <v>49</v>
      </c>
      <c r="E62" t="s">
        <v>49</v>
      </c>
      <c r="F62" t="s">
        <v>241</v>
      </c>
      <c r="I62" t="s">
        <v>242</v>
      </c>
      <c r="J62" t="s">
        <v>243</v>
      </c>
      <c r="K62" t="s">
        <v>244</v>
      </c>
      <c r="L62" t="s">
        <v>243</v>
      </c>
      <c r="M62" t="s">
        <v>244</v>
      </c>
      <c r="N62" t="s">
        <v>245</v>
      </c>
      <c r="O62">
        <v>105</v>
      </c>
      <c r="P62">
        <v>25000</v>
      </c>
      <c r="Q62">
        <v>60</v>
      </c>
      <c r="R62">
        <v>2</v>
      </c>
      <c r="S62">
        <v>1</v>
      </c>
    </row>
    <row r="63" spans="1:19" x14ac:dyDescent="0.2">
      <c r="A63">
        <v>65</v>
      </c>
      <c r="B63" t="s">
        <v>250</v>
      </c>
      <c r="C63" t="s">
        <v>251</v>
      </c>
      <c r="D63" t="s">
        <v>49</v>
      </c>
      <c r="E63" t="s">
        <v>213</v>
      </c>
      <c r="F63" t="s">
        <v>252</v>
      </c>
      <c r="H63">
        <v>500000</v>
      </c>
      <c r="I63" t="s">
        <v>253</v>
      </c>
      <c r="J63" t="s">
        <v>251</v>
      </c>
      <c r="K63" t="s">
        <v>254</v>
      </c>
      <c r="L63" t="s">
        <v>251</v>
      </c>
      <c r="M63" t="s">
        <v>254</v>
      </c>
      <c r="N63" t="s">
        <v>255</v>
      </c>
      <c r="O63">
        <v>100</v>
      </c>
      <c r="P63">
        <v>7014</v>
      </c>
      <c r="Q63">
        <v>91</v>
      </c>
      <c r="R63">
        <v>19</v>
      </c>
      <c r="S63">
        <v>1</v>
      </c>
    </row>
    <row r="64" spans="1:19" x14ac:dyDescent="0.2">
      <c r="A64">
        <v>66</v>
      </c>
      <c r="B64" t="s">
        <v>322</v>
      </c>
      <c r="C64" t="s">
        <v>200</v>
      </c>
      <c r="D64" t="s">
        <v>49</v>
      </c>
      <c r="F64" t="s">
        <v>323</v>
      </c>
      <c r="G64" t="s">
        <v>324</v>
      </c>
      <c r="I64" t="s">
        <v>324</v>
      </c>
      <c r="J64" t="s">
        <v>325</v>
      </c>
      <c r="K64" t="s">
        <v>326</v>
      </c>
      <c r="L64" t="s">
        <v>325</v>
      </c>
      <c r="M64" t="s">
        <v>325</v>
      </c>
      <c r="N64" t="s">
        <v>61</v>
      </c>
      <c r="O64">
        <v>35</v>
      </c>
      <c r="P64">
        <v>4747</v>
      </c>
      <c r="Q64">
        <v>4</v>
      </c>
      <c r="R64">
        <v>13</v>
      </c>
      <c r="S64">
        <v>1</v>
      </c>
    </row>
    <row r="65" spans="1:19" x14ac:dyDescent="0.2">
      <c r="A65">
        <v>67</v>
      </c>
      <c r="B65" t="s">
        <v>47</v>
      </c>
      <c r="C65" t="s">
        <v>48</v>
      </c>
      <c r="D65" t="s">
        <v>62</v>
      </c>
      <c r="E65" t="s">
        <v>143</v>
      </c>
      <c r="F65" t="s">
        <v>144</v>
      </c>
      <c r="I65" t="s">
        <v>65</v>
      </c>
      <c r="J65" t="s">
        <v>66</v>
      </c>
      <c r="L65" t="s">
        <v>67</v>
      </c>
      <c r="N65" t="s">
        <v>61</v>
      </c>
      <c r="O65">
        <v>0</v>
      </c>
      <c r="P65">
        <v>0</v>
      </c>
      <c r="Q65">
        <v>0</v>
      </c>
      <c r="R65">
        <v>0</v>
      </c>
      <c r="S65">
        <v>1</v>
      </c>
    </row>
    <row r="66" spans="1:19" x14ac:dyDescent="0.2">
      <c r="A66">
        <v>68</v>
      </c>
      <c r="B66" t="s">
        <v>47</v>
      </c>
      <c r="C66" t="s">
        <v>48</v>
      </c>
      <c r="D66" t="s">
        <v>62</v>
      </c>
      <c r="E66" t="s">
        <v>147</v>
      </c>
      <c r="F66" t="s">
        <v>148</v>
      </c>
      <c r="I66" t="s">
        <v>65</v>
      </c>
      <c r="J66" t="s">
        <v>66</v>
      </c>
      <c r="L66" t="s">
        <v>67</v>
      </c>
      <c r="N66" t="s">
        <v>61</v>
      </c>
      <c r="O66">
        <v>0</v>
      </c>
      <c r="P66">
        <v>0</v>
      </c>
      <c r="Q66">
        <v>0</v>
      </c>
      <c r="R66">
        <v>0</v>
      </c>
      <c r="S66">
        <v>1</v>
      </c>
    </row>
    <row r="67" spans="1:19" x14ac:dyDescent="0.2">
      <c r="A67">
        <v>69</v>
      </c>
      <c r="B67" t="s">
        <v>47</v>
      </c>
      <c r="C67" t="s">
        <v>48</v>
      </c>
      <c r="D67" t="s">
        <v>49</v>
      </c>
      <c r="F67" t="s">
        <v>173</v>
      </c>
      <c r="I67" t="s">
        <v>65</v>
      </c>
      <c r="J67" t="s">
        <v>66</v>
      </c>
      <c r="L67" t="s">
        <v>67</v>
      </c>
      <c r="N67" t="s">
        <v>61</v>
      </c>
      <c r="O67">
        <v>2</v>
      </c>
      <c r="P67">
        <v>23</v>
      </c>
      <c r="Q67">
        <v>1</v>
      </c>
      <c r="R67">
        <v>0</v>
      </c>
      <c r="S67">
        <v>1</v>
      </c>
    </row>
    <row r="68" spans="1:19" x14ac:dyDescent="0.2">
      <c r="A68">
        <v>70</v>
      </c>
      <c r="B68" t="s">
        <v>47</v>
      </c>
      <c r="C68" t="s">
        <v>48</v>
      </c>
      <c r="D68" t="s">
        <v>49</v>
      </c>
      <c r="F68" t="s">
        <v>189</v>
      </c>
      <c r="I68" t="s">
        <v>65</v>
      </c>
      <c r="J68" t="s">
        <v>66</v>
      </c>
      <c r="L68" t="s">
        <v>67</v>
      </c>
      <c r="N68" t="s">
        <v>61</v>
      </c>
      <c r="O68">
        <v>0</v>
      </c>
      <c r="P68">
        <v>0</v>
      </c>
      <c r="Q68">
        <v>0</v>
      </c>
      <c r="R68">
        <v>0</v>
      </c>
      <c r="S68">
        <v>1</v>
      </c>
    </row>
    <row r="69" spans="1:19" x14ac:dyDescent="0.2">
      <c r="A69">
        <v>71</v>
      </c>
      <c r="B69" t="s">
        <v>47</v>
      </c>
      <c r="C69" t="s">
        <v>48</v>
      </c>
      <c r="D69" t="s">
        <v>49</v>
      </c>
      <c r="F69" t="s">
        <v>331</v>
      </c>
      <c r="G69" t="s">
        <v>332</v>
      </c>
      <c r="I69" t="s">
        <v>65</v>
      </c>
      <c r="J69" t="s">
        <v>66</v>
      </c>
      <c r="L69" t="s">
        <v>67</v>
      </c>
      <c r="N69" t="s">
        <v>61</v>
      </c>
      <c r="O69">
        <v>4</v>
      </c>
      <c r="P69">
        <v>85</v>
      </c>
      <c r="Q69">
        <v>2</v>
      </c>
      <c r="R69">
        <v>0</v>
      </c>
      <c r="S69">
        <v>1</v>
      </c>
    </row>
    <row r="70" spans="1:19" x14ac:dyDescent="0.2">
      <c r="A70">
        <v>72</v>
      </c>
      <c r="B70" t="s">
        <v>133</v>
      </c>
      <c r="C70" t="s">
        <v>134</v>
      </c>
      <c r="D70" t="s">
        <v>49</v>
      </c>
      <c r="E70" t="s">
        <v>119</v>
      </c>
      <c r="F70" t="s">
        <v>153</v>
      </c>
      <c r="I70" t="s">
        <v>154</v>
      </c>
      <c r="J70" t="s">
        <v>155</v>
      </c>
      <c r="K70" t="s">
        <v>156</v>
      </c>
      <c r="L70" t="s">
        <v>155</v>
      </c>
      <c r="M70" t="s">
        <v>156</v>
      </c>
      <c r="N70" t="s">
        <v>157</v>
      </c>
      <c r="O70">
        <v>1</v>
      </c>
      <c r="P70">
        <v>70</v>
      </c>
      <c r="Q70">
        <v>3</v>
      </c>
      <c r="R70">
        <v>5</v>
      </c>
      <c r="S70">
        <v>1</v>
      </c>
    </row>
    <row r="71" spans="1:19" x14ac:dyDescent="0.2">
      <c r="A71">
        <v>73</v>
      </c>
      <c r="B71" t="s">
        <v>133</v>
      </c>
      <c r="C71" t="s">
        <v>134</v>
      </c>
      <c r="D71" t="s">
        <v>49</v>
      </c>
      <c r="F71" t="s">
        <v>190</v>
      </c>
      <c r="I71" t="s">
        <v>191</v>
      </c>
      <c r="J71" t="s">
        <v>192</v>
      </c>
      <c r="K71" t="s">
        <v>193</v>
      </c>
      <c r="L71" t="s">
        <v>192</v>
      </c>
      <c r="M71" t="s">
        <v>193</v>
      </c>
      <c r="N71" t="s">
        <v>194</v>
      </c>
      <c r="O71">
        <v>3</v>
      </c>
      <c r="P71">
        <v>25</v>
      </c>
      <c r="Q71">
        <v>0</v>
      </c>
      <c r="R71">
        <v>0</v>
      </c>
      <c r="S71">
        <v>1</v>
      </c>
    </row>
    <row r="72" spans="1:19" x14ac:dyDescent="0.2">
      <c r="A72">
        <v>74</v>
      </c>
      <c r="B72" t="s">
        <v>133</v>
      </c>
      <c r="C72" t="s">
        <v>134</v>
      </c>
      <c r="D72" t="s">
        <v>49</v>
      </c>
      <c r="F72" t="s">
        <v>341</v>
      </c>
      <c r="G72" t="s">
        <v>342</v>
      </c>
      <c r="H72">
        <v>900</v>
      </c>
      <c r="I72" t="s">
        <v>343</v>
      </c>
      <c r="J72" t="s">
        <v>344</v>
      </c>
      <c r="K72" t="s">
        <v>345</v>
      </c>
      <c r="L72" t="s">
        <v>344</v>
      </c>
      <c r="M72" t="s">
        <v>346</v>
      </c>
      <c r="N72" t="s">
        <v>347</v>
      </c>
      <c r="O72">
        <v>3</v>
      </c>
      <c r="P72">
        <v>61</v>
      </c>
      <c r="Q72">
        <v>6</v>
      </c>
      <c r="R72">
        <v>1</v>
      </c>
      <c r="S72">
        <v>1</v>
      </c>
    </row>
    <row r="73" spans="1:19" x14ac:dyDescent="0.2">
      <c r="A73">
        <v>75</v>
      </c>
      <c r="B73" t="s">
        <v>133</v>
      </c>
      <c r="C73" t="s">
        <v>134</v>
      </c>
      <c r="D73" t="s">
        <v>49</v>
      </c>
      <c r="F73" t="s">
        <v>381</v>
      </c>
      <c r="G73" t="s">
        <v>342</v>
      </c>
      <c r="H73">
        <v>35136</v>
      </c>
      <c r="I73" t="s">
        <v>382</v>
      </c>
      <c r="J73" t="s">
        <v>171</v>
      </c>
      <c r="K73" t="s">
        <v>171</v>
      </c>
      <c r="L73" t="s">
        <v>171</v>
      </c>
      <c r="M73" t="s">
        <v>172</v>
      </c>
      <c r="N73" t="s">
        <v>383</v>
      </c>
      <c r="O73">
        <v>2</v>
      </c>
      <c r="P73">
        <v>55</v>
      </c>
      <c r="Q73">
        <v>2</v>
      </c>
      <c r="R73">
        <v>2</v>
      </c>
      <c r="S73">
        <v>1</v>
      </c>
    </row>
    <row r="74" spans="1:19" x14ac:dyDescent="0.2">
      <c r="A74">
        <v>76</v>
      </c>
      <c r="B74" t="s">
        <v>133</v>
      </c>
      <c r="C74" t="s">
        <v>134</v>
      </c>
      <c r="D74" t="s">
        <v>49</v>
      </c>
      <c r="F74" t="s">
        <v>404</v>
      </c>
      <c r="G74" t="s">
        <v>342</v>
      </c>
      <c r="H74">
        <v>1000</v>
      </c>
      <c r="I74" t="s">
        <v>405</v>
      </c>
      <c r="J74" t="s">
        <v>406</v>
      </c>
      <c r="K74" t="s">
        <v>407</v>
      </c>
      <c r="L74" t="s">
        <v>406</v>
      </c>
      <c r="M74" t="s">
        <v>407</v>
      </c>
      <c r="N74" t="s">
        <v>408</v>
      </c>
      <c r="O74">
        <v>4</v>
      </c>
      <c r="P74">
        <v>250</v>
      </c>
      <c r="Q74">
        <v>14</v>
      </c>
      <c r="R74">
        <v>7</v>
      </c>
      <c r="S74">
        <v>1</v>
      </c>
    </row>
    <row r="75" spans="1:19" x14ac:dyDescent="0.2">
      <c r="A75">
        <v>77</v>
      </c>
      <c r="B75" t="s">
        <v>133</v>
      </c>
      <c r="C75" t="s">
        <v>134</v>
      </c>
      <c r="D75" t="s">
        <v>49</v>
      </c>
      <c r="F75" t="s">
        <v>409</v>
      </c>
      <c r="G75" t="s">
        <v>342</v>
      </c>
      <c r="H75">
        <v>21529</v>
      </c>
      <c r="I75" t="s">
        <v>410</v>
      </c>
      <c r="J75" t="s">
        <v>411</v>
      </c>
      <c r="K75" t="s">
        <v>412</v>
      </c>
      <c r="L75" t="s">
        <v>413</v>
      </c>
      <c r="M75" t="s">
        <v>412</v>
      </c>
      <c r="N75" t="s">
        <v>414</v>
      </c>
      <c r="O75">
        <v>11</v>
      </c>
      <c r="P75">
        <v>270</v>
      </c>
      <c r="Q75">
        <v>14</v>
      </c>
      <c r="R75">
        <v>6</v>
      </c>
      <c r="S75">
        <v>1</v>
      </c>
    </row>
    <row r="76" spans="1:19" x14ac:dyDescent="0.2">
      <c r="A76">
        <v>78</v>
      </c>
      <c r="B76" t="s">
        <v>133</v>
      </c>
      <c r="C76" t="s">
        <v>134</v>
      </c>
      <c r="D76" t="s">
        <v>49</v>
      </c>
      <c r="E76" t="s">
        <v>333</v>
      </c>
      <c r="F76" t="s">
        <v>334</v>
      </c>
      <c r="H76">
        <v>15799</v>
      </c>
      <c r="I76" t="s">
        <v>335</v>
      </c>
      <c r="J76" t="s">
        <v>336</v>
      </c>
      <c r="K76" t="s">
        <v>337</v>
      </c>
      <c r="L76" t="s">
        <v>338</v>
      </c>
      <c r="M76" t="s">
        <v>339</v>
      </c>
      <c r="N76" t="s">
        <v>340</v>
      </c>
      <c r="O76">
        <v>27</v>
      </c>
      <c r="P76">
        <v>902</v>
      </c>
      <c r="Q76">
        <v>13</v>
      </c>
      <c r="R76">
        <v>8</v>
      </c>
      <c r="S76">
        <v>1</v>
      </c>
    </row>
    <row r="77" spans="1:19" x14ac:dyDescent="0.2">
      <c r="A77">
        <v>79</v>
      </c>
      <c r="B77" t="s">
        <v>133</v>
      </c>
      <c r="C77" t="s">
        <v>134</v>
      </c>
      <c r="D77" t="s">
        <v>49</v>
      </c>
      <c r="F77" t="s">
        <v>371</v>
      </c>
      <c r="G77" t="s">
        <v>342</v>
      </c>
      <c r="H77">
        <v>0</v>
      </c>
      <c r="I77" t="s">
        <v>372</v>
      </c>
      <c r="J77" t="s">
        <v>373</v>
      </c>
      <c r="K77" t="s">
        <v>374</v>
      </c>
      <c r="L77" t="s">
        <v>375</v>
      </c>
      <c r="M77" t="s">
        <v>374</v>
      </c>
      <c r="N77" t="s">
        <v>376</v>
      </c>
      <c r="O77">
        <v>1</v>
      </c>
      <c r="P77">
        <v>85</v>
      </c>
      <c r="Q77">
        <v>0</v>
      </c>
      <c r="R77">
        <v>1</v>
      </c>
      <c r="S77">
        <v>1</v>
      </c>
    </row>
    <row r="78" spans="1:19" x14ac:dyDescent="0.2">
      <c r="A78">
        <v>80</v>
      </c>
      <c r="B78" t="s">
        <v>133</v>
      </c>
      <c r="C78" t="s">
        <v>134</v>
      </c>
      <c r="D78" t="s">
        <v>49</v>
      </c>
      <c r="F78" t="s">
        <v>425</v>
      </c>
      <c r="H78">
        <v>7200</v>
      </c>
      <c r="I78" t="s">
        <v>426</v>
      </c>
      <c r="J78" t="s">
        <v>427</v>
      </c>
      <c r="K78" t="s">
        <v>428</v>
      </c>
      <c r="L78" t="s">
        <v>427</v>
      </c>
      <c r="M78" t="s">
        <v>428</v>
      </c>
      <c r="N78" t="s">
        <v>61</v>
      </c>
      <c r="O78">
        <v>6</v>
      </c>
      <c r="P78">
        <v>398</v>
      </c>
      <c r="Q78">
        <v>5</v>
      </c>
      <c r="R78">
        <v>9</v>
      </c>
      <c r="S78">
        <v>1</v>
      </c>
    </row>
    <row r="79" spans="1:19" x14ac:dyDescent="0.2">
      <c r="A79">
        <v>81</v>
      </c>
      <c r="B79" t="s">
        <v>133</v>
      </c>
      <c r="C79" t="s">
        <v>134</v>
      </c>
      <c r="D79" t="s">
        <v>49</v>
      </c>
      <c r="F79" t="s">
        <v>135</v>
      </c>
      <c r="I79" t="s">
        <v>136</v>
      </c>
      <c r="J79" t="s">
        <v>137</v>
      </c>
      <c r="K79" t="s">
        <v>138</v>
      </c>
      <c r="L79" t="s">
        <v>137</v>
      </c>
      <c r="M79" t="s">
        <v>138</v>
      </c>
      <c r="N79" t="s">
        <v>61</v>
      </c>
      <c r="O79">
        <v>2</v>
      </c>
      <c r="P79">
        <v>10</v>
      </c>
      <c r="Q79">
        <v>0</v>
      </c>
      <c r="R79">
        <v>0</v>
      </c>
      <c r="S79">
        <v>1</v>
      </c>
    </row>
    <row r="80" spans="1:19" x14ac:dyDescent="0.2">
      <c r="A80">
        <v>82</v>
      </c>
      <c r="B80" t="s">
        <v>133</v>
      </c>
      <c r="C80" t="s">
        <v>134</v>
      </c>
      <c r="D80" t="s">
        <v>49</v>
      </c>
      <c r="F80" t="s">
        <v>169</v>
      </c>
      <c r="I80" t="s">
        <v>170</v>
      </c>
      <c r="J80" t="s">
        <v>171</v>
      </c>
      <c r="K80" t="s">
        <v>172</v>
      </c>
      <c r="L80" t="s">
        <v>171</v>
      </c>
      <c r="M80" t="s">
        <v>172</v>
      </c>
      <c r="N80" t="s">
        <v>61</v>
      </c>
      <c r="O80">
        <v>1</v>
      </c>
      <c r="P80">
        <v>18</v>
      </c>
      <c r="Q80">
        <v>0</v>
      </c>
      <c r="R80">
        <v>0</v>
      </c>
      <c r="S80">
        <v>1</v>
      </c>
    </row>
    <row r="81" spans="1:19" x14ac:dyDescent="0.2">
      <c r="A81">
        <v>83</v>
      </c>
      <c r="B81" t="s">
        <v>295</v>
      </c>
      <c r="C81" t="s">
        <v>296</v>
      </c>
      <c r="D81" t="s">
        <v>49</v>
      </c>
      <c r="E81" t="s">
        <v>49</v>
      </c>
      <c r="F81" t="s">
        <v>297</v>
      </c>
      <c r="H81">
        <v>30000</v>
      </c>
      <c r="I81" t="s">
        <v>295</v>
      </c>
      <c r="J81" t="s">
        <v>296</v>
      </c>
      <c r="K81" t="s">
        <v>301</v>
      </c>
      <c r="L81" t="s">
        <v>302</v>
      </c>
      <c r="M81" t="s">
        <v>303</v>
      </c>
      <c r="N81" t="s">
        <v>304</v>
      </c>
      <c r="O81">
        <v>30</v>
      </c>
      <c r="P81">
        <v>10500</v>
      </c>
      <c r="Q81">
        <v>30</v>
      </c>
      <c r="R81">
        <v>6</v>
      </c>
      <c r="S81">
        <v>1</v>
      </c>
    </row>
    <row r="82" spans="1:19" x14ac:dyDescent="0.2">
      <c r="A82">
        <v>84</v>
      </c>
      <c r="B82" t="s">
        <v>445</v>
      </c>
      <c r="C82" t="s">
        <v>446</v>
      </c>
      <c r="D82" t="s">
        <v>49</v>
      </c>
      <c r="F82" t="s">
        <v>447</v>
      </c>
      <c r="I82" t="s">
        <v>448</v>
      </c>
      <c r="J82" t="s">
        <v>449</v>
      </c>
      <c r="L82" t="s">
        <v>450</v>
      </c>
      <c r="N82" t="s">
        <v>61</v>
      </c>
      <c r="O82">
        <v>29</v>
      </c>
      <c r="P82">
        <v>867</v>
      </c>
      <c r="Q82">
        <v>8</v>
      </c>
      <c r="R82">
        <v>31</v>
      </c>
      <c r="S82">
        <v>1</v>
      </c>
    </row>
    <row r="83" spans="1:19" x14ac:dyDescent="0.2">
      <c r="A83">
        <v>85</v>
      </c>
      <c r="B83" t="s">
        <v>284</v>
      </c>
      <c r="C83" t="s">
        <v>285</v>
      </c>
      <c r="D83" t="s">
        <v>49</v>
      </c>
      <c r="E83" t="s">
        <v>49</v>
      </c>
      <c r="F83" t="s">
        <v>286</v>
      </c>
      <c r="H83">
        <v>36324</v>
      </c>
      <c r="I83" t="s">
        <v>287</v>
      </c>
      <c r="J83" t="s">
        <v>288</v>
      </c>
      <c r="K83" t="s">
        <v>289</v>
      </c>
      <c r="L83" t="s">
        <v>288</v>
      </c>
      <c r="M83" t="s">
        <v>289</v>
      </c>
      <c r="N83" t="s">
        <v>290</v>
      </c>
      <c r="O83">
        <v>230</v>
      </c>
      <c r="P83">
        <v>32175</v>
      </c>
      <c r="Q83">
        <v>104</v>
      </c>
      <c r="R83">
        <v>32</v>
      </c>
      <c r="S83">
        <v>2</v>
      </c>
    </row>
    <row r="84" spans="1:19" x14ac:dyDescent="0.2">
      <c r="A84">
        <v>86</v>
      </c>
      <c r="B84" t="s">
        <v>284</v>
      </c>
      <c r="C84" t="s">
        <v>285</v>
      </c>
      <c r="D84" t="s">
        <v>49</v>
      </c>
      <c r="E84" t="s">
        <v>291</v>
      </c>
      <c r="F84" t="s">
        <v>286</v>
      </c>
      <c r="H84">
        <v>36324</v>
      </c>
      <c r="I84" t="s">
        <v>292</v>
      </c>
      <c r="J84" t="s">
        <v>288</v>
      </c>
      <c r="K84" t="s">
        <v>293</v>
      </c>
      <c r="L84" t="s">
        <v>288</v>
      </c>
      <c r="M84" t="s">
        <v>293</v>
      </c>
      <c r="N84" t="s">
        <v>294</v>
      </c>
      <c r="O84">
        <v>100</v>
      </c>
      <c r="P84">
        <v>32175</v>
      </c>
      <c r="Q84">
        <v>104</v>
      </c>
      <c r="R84">
        <v>32</v>
      </c>
      <c r="S84">
        <v>1</v>
      </c>
    </row>
    <row r="85" spans="1:19" x14ac:dyDescent="0.2">
      <c r="A85">
        <v>87</v>
      </c>
      <c r="B85" t="s">
        <v>180</v>
      </c>
      <c r="C85" t="s">
        <v>181</v>
      </c>
      <c r="D85" t="s">
        <v>62</v>
      </c>
      <c r="E85" t="s">
        <v>182</v>
      </c>
      <c r="F85" t="s">
        <v>183</v>
      </c>
      <c r="I85" t="s">
        <v>184</v>
      </c>
      <c r="J85" t="s">
        <v>185</v>
      </c>
      <c r="K85" t="s">
        <v>186</v>
      </c>
      <c r="L85" t="s">
        <v>181</v>
      </c>
      <c r="M85" t="s">
        <v>187</v>
      </c>
      <c r="N85" t="s">
        <v>188</v>
      </c>
      <c r="O85">
        <v>26</v>
      </c>
      <c r="P85">
        <v>0</v>
      </c>
      <c r="Q85">
        <v>8</v>
      </c>
      <c r="R85">
        <v>21</v>
      </c>
      <c r="S85">
        <v>1</v>
      </c>
    </row>
    <row r="86" spans="1:19" x14ac:dyDescent="0.2">
      <c r="A86">
        <v>88</v>
      </c>
      <c r="B86" t="s">
        <v>305</v>
      </c>
      <c r="C86" t="s">
        <v>149</v>
      </c>
      <c r="D86" t="s">
        <v>49</v>
      </c>
      <c r="F86" t="s">
        <v>306</v>
      </c>
      <c r="H86">
        <v>229480000</v>
      </c>
      <c r="I86" t="s">
        <v>307</v>
      </c>
      <c r="J86" t="s">
        <v>308</v>
      </c>
      <c r="L86" t="s">
        <v>309</v>
      </c>
      <c r="M86" t="s">
        <v>310</v>
      </c>
      <c r="N86" t="s">
        <v>311</v>
      </c>
      <c r="O86">
        <v>824</v>
      </c>
      <c r="P86">
        <v>65759</v>
      </c>
      <c r="Q86">
        <v>2842</v>
      </c>
      <c r="R86">
        <v>454</v>
      </c>
      <c r="S86">
        <v>1</v>
      </c>
    </row>
    <row r="87" spans="1:19" x14ac:dyDescent="0.2">
      <c r="A87">
        <v>89</v>
      </c>
      <c r="B87" t="s">
        <v>55</v>
      </c>
      <c r="C87" t="s">
        <v>149</v>
      </c>
      <c r="D87" t="s">
        <v>49</v>
      </c>
      <c r="F87" t="s">
        <v>318</v>
      </c>
      <c r="G87" t="s">
        <v>319</v>
      </c>
      <c r="H87">
        <v>0</v>
      </c>
      <c r="I87" t="s">
        <v>320</v>
      </c>
      <c r="J87" t="s">
        <v>321</v>
      </c>
      <c r="L87" t="s">
        <v>321</v>
      </c>
      <c r="N87" t="s">
        <v>61</v>
      </c>
      <c r="O87">
        <v>21</v>
      </c>
      <c r="P87">
        <v>95</v>
      </c>
      <c r="Q87">
        <v>1</v>
      </c>
      <c r="R87">
        <v>5</v>
      </c>
      <c r="S87">
        <v>1</v>
      </c>
    </row>
    <row r="88" spans="1:19" x14ac:dyDescent="0.2">
      <c r="A88">
        <v>90</v>
      </c>
      <c r="B88" t="s">
        <v>55</v>
      </c>
      <c r="C88" t="s">
        <v>149</v>
      </c>
      <c r="D88" t="s">
        <v>49</v>
      </c>
      <c r="F88" t="s">
        <v>636</v>
      </c>
      <c r="G88" t="s">
        <v>319</v>
      </c>
      <c r="H88">
        <v>0</v>
      </c>
      <c r="I88" t="s">
        <v>175</v>
      </c>
      <c r="J88" t="s">
        <v>176</v>
      </c>
      <c r="L88" t="s">
        <v>176</v>
      </c>
      <c r="N88" t="s">
        <v>61</v>
      </c>
      <c r="O88">
        <v>109</v>
      </c>
      <c r="P88">
        <v>1039</v>
      </c>
      <c r="Q88">
        <v>16</v>
      </c>
      <c r="R88">
        <v>8</v>
      </c>
      <c r="S88">
        <v>1</v>
      </c>
    </row>
    <row r="89" spans="1:19" x14ac:dyDescent="0.2">
      <c r="A89">
        <v>91</v>
      </c>
      <c r="B89" t="s">
        <v>55</v>
      </c>
      <c r="C89" t="s">
        <v>149</v>
      </c>
      <c r="D89" t="s">
        <v>62</v>
      </c>
      <c r="F89" t="s">
        <v>150</v>
      </c>
      <c r="I89" t="s">
        <v>151</v>
      </c>
      <c r="J89" t="s">
        <v>152</v>
      </c>
      <c r="L89" t="s">
        <v>152</v>
      </c>
      <c r="N89" t="s">
        <v>61</v>
      </c>
      <c r="O89">
        <v>36</v>
      </c>
      <c r="P89">
        <v>874</v>
      </c>
      <c r="Q89">
        <v>5</v>
      </c>
      <c r="R89">
        <v>8</v>
      </c>
      <c r="S89">
        <v>1</v>
      </c>
    </row>
    <row r="90" spans="1:19" x14ac:dyDescent="0.2">
      <c r="A90">
        <v>92</v>
      </c>
      <c r="B90" t="s">
        <v>55</v>
      </c>
      <c r="C90" t="s">
        <v>149</v>
      </c>
      <c r="D90" t="s">
        <v>49</v>
      </c>
      <c r="F90" t="s">
        <v>158</v>
      </c>
      <c r="I90" t="s">
        <v>159</v>
      </c>
      <c r="J90" t="s">
        <v>56</v>
      </c>
      <c r="L90" t="s">
        <v>56</v>
      </c>
      <c r="N90" t="s">
        <v>61</v>
      </c>
      <c r="O90">
        <v>0</v>
      </c>
      <c r="P90">
        <v>0</v>
      </c>
      <c r="Q90">
        <v>0</v>
      </c>
      <c r="R90">
        <v>0</v>
      </c>
      <c r="S90">
        <v>1</v>
      </c>
    </row>
    <row r="91" spans="1:19" x14ac:dyDescent="0.2">
      <c r="A91">
        <v>93</v>
      </c>
      <c r="B91" t="s">
        <v>605</v>
      </c>
      <c r="C91" t="s">
        <v>610</v>
      </c>
      <c r="D91" t="s">
        <v>49</v>
      </c>
      <c r="F91" t="s">
        <v>620</v>
      </c>
      <c r="G91" t="s">
        <v>621</v>
      </c>
      <c r="I91" t="s">
        <v>622</v>
      </c>
      <c r="J91" t="s">
        <v>66</v>
      </c>
      <c r="L91" t="s">
        <v>66</v>
      </c>
      <c r="N91" t="s">
        <v>61</v>
      </c>
      <c r="O91">
        <v>4</v>
      </c>
      <c r="P91">
        <v>49</v>
      </c>
      <c r="Q91">
        <v>0</v>
      </c>
      <c r="R91">
        <v>0</v>
      </c>
      <c r="S91">
        <v>1</v>
      </c>
    </row>
    <row r="92" spans="1:19" x14ac:dyDescent="0.2">
      <c r="A92">
        <v>94</v>
      </c>
      <c r="B92" t="s">
        <v>605</v>
      </c>
      <c r="C92" t="s">
        <v>610</v>
      </c>
      <c r="D92" t="s">
        <v>49</v>
      </c>
      <c r="F92" t="s">
        <v>623</v>
      </c>
      <c r="G92" t="s">
        <v>170</v>
      </c>
      <c r="I92" t="s">
        <v>624</v>
      </c>
      <c r="J92" t="s">
        <v>336</v>
      </c>
      <c r="L92" t="s">
        <v>336</v>
      </c>
      <c r="N92" t="s">
        <v>61</v>
      </c>
      <c r="O92">
        <v>4</v>
      </c>
      <c r="P92">
        <v>122</v>
      </c>
      <c r="Q92">
        <v>0</v>
      </c>
      <c r="R92">
        <v>0</v>
      </c>
      <c r="S92">
        <v>1</v>
      </c>
    </row>
    <row r="93" spans="1:19" x14ac:dyDescent="0.2">
      <c r="A93">
        <v>95</v>
      </c>
      <c r="B93" t="s">
        <v>605</v>
      </c>
      <c r="C93" t="s">
        <v>610</v>
      </c>
      <c r="D93" t="s">
        <v>49</v>
      </c>
      <c r="E93" t="s">
        <v>617</v>
      </c>
      <c r="F93" t="s">
        <v>618</v>
      </c>
      <c r="I93" t="s">
        <v>619</v>
      </c>
      <c r="J93" t="s">
        <v>89</v>
      </c>
      <c r="L93" t="s">
        <v>89</v>
      </c>
      <c r="N93" t="s">
        <v>61</v>
      </c>
      <c r="O93">
        <v>65</v>
      </c>
      <c r="P93">
        <v>10000</v>
      </c>
      <c r="Q93">
        <v>0</v>
      </c>
      <c r="R93">
        <v>0</v>
      </c>
      <c r="S93">
        <v>1</v>
      </c>
    </row>
    <row r="94" spans="1:19" x14ac:dyDescent="0.2">
      <c r="A94">
        <v>96</v>
      </c>
      <c r="B94" t="s">
        <v>605</v>
      </c>
      <c r="C94" t="s">
        <v>610</v>
      </c>
      <c r="D94" t="s">
        <v>62</v>
      </c>
      <c r="E94" t="s">
        <v>611</v>
      </c>
      <c r="F94" t="s">
        <v>612</v>
      </c>
      <c r="I94" t="s">
        <v>613</v>
      </c>
      <c r="J94" t="s">
        <v>89</v>
      </c>
      <c r="L94" t="s">
        <v>89</v>
      </c>
      <c r="N94" t="s">
        <v>61</v>
      </c>
      <c r="O94">
        <v>4</v>
      </c>
      <c r="P94">
        <v>48</v>
      </c>
      <c r="Q94">
        <v>0</v>
      </c>
      <c r="R94">
        <v>0</v>
      </c>
      <c r="S94">
        <v>1</v>
      </c>
    </row>
    <row r="95" spans="1:19" x14ac:dyDescent="0.2">
      <c r="A95">
        <v>97</v>
      </c>
      <c r="B95" t="s">
        <v>605</v>
      </c>
      <c r="C95" t="s">
        <v>606</v>
      </c>
      <c r="D95" t="s">
        <v>49</v>
      </c>
      <c r="E95" t="s">
        <v>607</v>
      </c>
      <c r="F95" t="s">
        <v>608</v>
      </c>
      <c r="I95" t="s">
        <v>609</v>
      </c>
      <c r="J95" t="s">
        <v>508</v>
      </c>
      <c r="L95" t="s">
        <v>508</v>
      </c>
      <c r="N95" t="s">
        <v>61</v>
      </c>
      <c r="O95">
        <v>1</v>
      </c>
      <c r="P95">
        <v>20</v>
      </c>
      <c r="Q95">
        <v>0</v>
      </c>
      <c r="R95">
        <v>0</v>
      </c>
      <c r="S95">
        <v>1</v>
      </c>
    </row>
    <row r="96" spans="1:19" x14ac:dyDescent="0.2">
      <c r="A96">
        <v>98</v>
      </c>
      <c r="B96" t="s">
        <v>605</v>
      </c>
      <c r="C96" t="s">
        <v>610</v>
      </c>
      <c r="D96" t="s">
        <v>49</v>
      </c>
      <c r="E96" t="s">
        <v>614</v>
      </c>
      <c r="F96" t="s">
        <v>615</v>
      </c>
      <c r="I96" t="s">
        <v>616</v>
      </c>
      <c r="J96" t="s">
        <v>89</v>
      </c>
      <c r="L96" t="s">
        <v>89</v>
      </c>
      <c r="N96" t="s">
        <v>61</v>
      </c>
      <c r="O96">
        <v>5</v>
      </c>
      <c r="P96">
        <v>85</v>
      </c>
      <c r="Q96">
        <v>0</v>
      </c>
      <c r="R96">
        <v>1</v>
      </c>
      <c r="S96">
        <v>1</v>
      </c>
    </row>
    <row r="97" spans="1:19" x14ac:dyDescent="0.2">
      <c r="A97">
        <v>99</v>
      </c>
      <c r="B97" t="s">
        <v>605</v>
      </c>
      <c r="C97" t="s">
        <v>610</v>
      </c>
      <c r="D97" t="s">
        <v>62</v>
      </c>
      <c r="E97" t="s">
        <v>625</v>
      </c>
      <c r="F97" t="s">
        <v>626</v>
      </c>
      <c r="I97" t="s">
        <v>627</v>
      </c>
      <c r="J97" t="s">
        <v>539</v>
      </c>
      <c r="L97" t="s">
        <v>236</v>
      </c>
      <c r="N97" t="s">
        <v>61</v>
      </c>
      <c r="O97">
        <v>21</v>
      </c>
      <c r="P97">
        <v>1200</v>
      </c>
      <c r="Q97">
        <v>6</v>
      </c>
      <c r="R97">
        <v>12</v>
      </c>
      <c r="S97">
        <v>1</v>
      </c>
    </row>
    <row r="98" spans="1:19" x14ac:dyDescent="0.2">
      <c r="A98">
        <v>100</v>
      </c>
      <c r="B98" t="s">
        <v>605</v>
      </c>
      <c r="C98" t="s">
        <v>632</v>
      </c>
      <c r="D98" t="s">
        <v>49</v>
      </c>
      <c r="E98" t="s">
        <v>633</v>
      </c>
      <c r="F98" t="s">
        <v>634</v>
      </c>
      <c r="I98" t="s">
        <v>635</v>
      </c>
      <c r="J98" t="s">
        <v>610</v>
      </c>
      <c r="N98" t="s">
        <v>61</v>
      </c>
      <c r="O98">
        <v>2</v>
      </c>
      <c r="P98">
        <v>164</v>
      </c>
      <c r="Q98">
        <v>2</v>
      </c>
      <c r="R98">
        <v>2</v>
      </c>
      <c r="S98">
        <v>1</v>
      </c>
    </row>
    <row r="99" spans="1:19" x14ac:dyDescent="0.2">
      <c r="A99">
        <v>101</v>
      </c>
      <c r="B99" t="s">
        <v>605</v>
      </c>
      <c r="C99" t="s">
        <v>632</v>
      </c>
      <c r="D99" t="s">
        <v>49</v>
      </c>
      <c r="F99" t="s">
        <v>637</v>
      </c>
      <c r="G99" t="s">
        <v>170</v>
      </c>
      <c r="I99" t="s">
        <v>638</v>
      </c>
      <c r="J99" t="s">
        <v>639</v>
      </c>
      <c r="N99" t="s">
        <v>640</v>
      </c>
      <c r="O99">
        <v>1</v>
      </c>
      <c r="P99">
        <v>75</v>
      </c>
      <c r="Q99">
        <v>0</v>
      </c>
      <c r="R99">
        <v>0</v>
      </c>
      <c r="S99">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DB5A0C-9495-4EA4-9540-56AAA426EA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yearbook_page</vt:lpstr>
      <vt:lpstr>world_ministry_list</vt:lpstr>
      <vt:lpstr>wc_reports_2024</vt:lpstr>
      <vt:lpstr>yearbook_page!Print_Area</vt:lpstr>
    </vt:vector>
  </TitlesOfParts>
  <Manager/>
  <Company>FMCNA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Kathi Walker</dc:creator>
  <cp:keywords/>
  <dc:description/>
  <cp:lastModifiedBy>Kevin Eccles</cp:lastModifiedBy>
  <cp:revision/>
  <dcterms:created xsi:type="dcterms:W3CDTF">2001-08-02T17:47:47Z</dcterms:created>
  <dcterms:modified xsi:type="dcterms:W3CDTF">2026-04-27T12:56:45Z</dcterms:modified>
  <cp:category/>
  <cp:contentStatus/>
</cp:coreProperties>
</file>