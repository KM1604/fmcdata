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mcna1.sharepoint.com/sites/WMCTeam/Shared Documents/ADM - Administration Files/Database Administration/Source Files/ICCM_giving/"/>
    </mc:Choice>
  </mc:AlternateContent>
  <xr:revisionPtr revIDLastSave="21" documentId="8_{CD18A7DA-5744-4CDD-BE04-A377898ABD72}" xr6:coauthVersionLast="47" xr6:coauthVersionMax="47" xr10:uidLastSave="{0DCE2FCF-D9B3-4254-9F57-89D6F6F49332}"/>
  <bookViews>
    <workbookView xWindow="-120" yWindow="-120" windowWidth="38640" windowHeight="21120" xr2:uid="{353734B1-6431-460B-AD26-B8690852EAD5}"/>
  </bookViews>
  <sheets>
    <sheet name="deductionsEPP_ICCM" sheetId="4" r:id="rId1"/>
    <sheet name="iccm_giving" sheetId="2" r:id="rId2"/>
    <sheet name="matching" sheetId="3" r:id="rId3"/>
    <sheet name="2025 Periodic Receipts for FMCs" sheetId="1" r:id="rId4"/>
  </sheets>
  <definedNames>
    <definedName name="ExternalData_1" localSheetId="1" hidden="1">iccm_giving!$A$1:$L$330</definedName>
    <definedName name="ExternalData_2" localSheetId="0" hidden="1">deductionsEPP_ICCM!$A$1:$E$216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28F07B-7BA7-45A5-9D34-67E7E385C7B2}" keepAlive="1" name="Query - deductionsEPP_ICCM" description="Connection to the 'deductionsEPP_ICCM' query in the workbook." type="5" refreshedVersion="8" background="1" saveData="1">
    <dbPr connection="Provider=Microsoft.Mashup.OleDb.1;Data Source=$Workbook$;Location=deductionsEPP_ICCM;Extended Properties=&quot;&quot;" command="SELECT * FROM [deductionsEPP_ICCM]"/>
  </connection>
  <connection id="2" xr16:uid="{62FC3861-0959-47A5-B1D0-F6306727B90F}" keepAlive="1" name="Query - ICCM_giving" description="Connection to the 'ICCM_giving' query in the workbook." type="5" refreshedVersion="8" background="1" saveData="1">
    <dbPr connection="Provider=Microsoft.Mashup.OleDb.1;Data Source=$Workbook$;Location=ICCM_giving;Extended Properties=&quot;&quot;" command="SELECT * FROM [ICCM_giving]"/>
  </connection>
</connections>
</file>

<file path=xl/sharedStrings.xml><?xml version="1.0" encoding="utf-8"?>
<sst xmlns="http://schemas.openxmlformats.org/spreadsheetml/2006/main" count="6575" uniqueCount="1760">
  <si>
    <t>RecordId</t>
  </si>
  <si>
    <t>RunId</t>
  </si>
  <si>
    <t>ReceiptId</t>
  </si>
  <si>
    <t>PageNumber</t>
  </si>
  <si>
    <t>TotalNumberOfPages</t>
  </si>
  <si>
    <t>AccountNumber</t>
  </si>
  <si>
    <t>FamilyId</t>
  </si>
  <si>
    <t>AccountType</t>
  </si>
  <si>
    <t>Title</t>
  </si>
  <si>
    <t>FirstName</t>
  </si>
  <si>
    <t>MiddleName</t>
  </si>
  <si>
    <t>LastName</t>
  </si>
  <si>
    <t>Suffix</t>
  </si>
  <si>
    <t>OrganizationName</t>
  </si>
  <si>
    <t>AddressId</t>
  </si>
  <si>
    <t>Salutation</t>
  </si>
  <si>
    <t>Type</t>
  </si>
  <si>
    <t>AddressLine1</t>
  </si>
  <si>
    <t>AddressLine2</t>
  </si>
  <si>
    <t>AddressLine3</t>
  </si>
  <si>
    <t>AddressLine4</t>
  </si>
  <si>
    <t>City</t>
  </si>
  <si>
    <t>State</t>
  </si>
  <si>
    <t>ZipPostal</t>
  </si>
  <si>
    <t>Country</t>
  </si>
  <si>
    <t>AddressIsPOBox</t>
  </si>
  <si>
    <t>FormattedAddressLine1</t>
  </si>
  <si>
    <t>FormattedAddressLine2</t>
  </si>
  <si>
    <t>FormattedAddressLine3</t>
  </si>
  <si>
    <t>FormattedAddressLine4</t>
  </si>
  <si>
    <t>FormattedAddressLine5</t>
  </si>
  <si>
    <t>FormattedAddressLine6</t>
  </si>
  <si>
    <t>FormattedAddressLine7</t>
  </si>
  <si>
    <t>EmailAddress</t>
  </si>
  <si>
    <t>YTDDTotal</t>
  </si>
  <si>
    <t>YTDNTotal</t>
  </si>
  <si>
    <t>YTDFTotal</t>
  </si>
  <si>
    <t>TransactionDate01</t>
  </si>
  <si>
    <t>TransactionAmount01</t>
  </si>
  <si>
    <t>DocumentNumber01</t>
  </si>
  <si>
    <t>FairMarketValue01</t>
  </si>
  <si>
    <t>TransactionDate02</t>
  </si>
  <si>
    <t>TransactionAmount02</t>
  </si>
  <si>
    <t>DocumentNumber02</t>
  </si>
  <si>
    <t>FairMarketValue02</t>
  </si>
  <si>
    <t>TransactionDate03</t>
  </si>
  <si>
    <t>TransactionAmount03</t>
  </si>
  <si>
    <t>DocumentNumber03</t>
  </si>
  <si>
    <t>FairMarketValue03</t>
  </si>
  <si>
    <t>TransactionDate04</t>
  </si>
  <si>
    <t>TransactionAmount04</t>
  </si>
  <si>
    <t>DocumentNumber04</t>
  </si>
  <si>
    <t>FairMarketValue04</t>
  </si>
  <si>
    <t>TransactionDate05</t>
  </si>
  <si>
    <t>TransactionAmount05</t>
  </si>
  <si>
    <t>DocumentNumber05</t>
  </si>
  <si>
    <t>FairMarketValue05</t>
  </si>
  <si>
    <t>TransactionDate06</t>
  </si>
  <si>
    <t>TransactionAmount06</t>
  </si>
  <si>
    <t>DocumentNumber06</t>
  </si>
  <si>
    <t>FairMarketValue06</t>
  </si>
  <si>
    <t>TransactionDate07</t>
  </si>
  <si>
    <t>TransactionAmount07</t>
  </si>
  <si>
    <t>DocumentNumber07</t>
  </si>
  <si>
    <t>FairMarketValue07</t>
  </si>
  <si>
    <t>TransactionDate08</t>
  </si>
  <si>
    <t>TransactionAmount08</t>
  </si>
  <si>
    <t>DocumentNumber08</t>
  </si>
  <si>
    <t>FairMarketValue08</t>
  </si>
  <si>
    <t>TransactionDate09</t>
  </si>
  <si>
    <t>TransactionAmount09</t>
  </si>
  <si>
    <t>DocumentNumber09</t>
  </si>
  <si>
    <t>FairMarketValue09</t>
  </si>
  <si>
    <t>TransactionDate10</t>
  </si>
  <si>
    <t>TransactionAmount10</t>
  </si>
  <si>
    <t>DocumentNumber10</t>
  </si>
  <si>
    <t>FairMarketValue10</t>
  </si>
  <si>
    <t>TransactionDate11</t>
  </si>
  <si>
    <t>TransactionAmount11</t>
  </si>
  <si>
    <t>DocumentNumber11</t>
  </si>
  <si>
    <t>FairMarketValue11</t>
  </si>
  <si>
    <t>TransactionDate12</t>
  </si>
  <si>
    <t>TransactionAmount12</t>
  </si>
  <si>
    <t>DocumentNumber12</t>
  </si>
  <si>
    <t>FairMarketValue12</t>
  </si>
  <si>
    <t>RoutingCode</t>
  </si>
  <si>
    <t>ExternalDocumentAddress</t>
  </si>
  <si>
    <t>ReceiptNumber</t>
  </si>
  <si>
    <t>IntelligentMailBarcode</t>
  </si>
  <si>
    <t>YTDIRATotal</t>
  </si>
  <si>
    <t>O</t>
  </si>
  <si>
    <t>Light &amp; Life Free Methodist Church</t>
  </si>
  <si>
    <t>Friends</t>
  </si>
  <si>
    <t>MAIL</t>
  </si>
  <si>
    <t>Lon Vanderveer</t>
  </si>
  <si>
    <t>15220 N 39th AVE</t>
  </si>
  <si>
    <t>PHOENIX</t>
  </si>
  <si>
    <t>AZ</t>
  </si>
  <si>
    <t>85053-4503</t>
  </si>
  <si>
    <t>USA</t>
  </si>
  <si>
    <t>PHOENIX, AZ 85053-4503</t>
  </si>
  <si>
    <t>finance@mylightandlife.com</t>
  </si>
  <si>
    <t>Foothill Community Church</t>
  </si>
  <si>
    <t>2475 Foothill Blvd</t>
  </si>
  <si>
    <t>Oroville</t>
  </si>
  <si>
    <t>CA</t>
  </si>
  <si>
    <t>Oroville, CA 95966</t>
  </si>
  <si>
    <t>Foothill Community FMC, WMI</t>
  </si>
  <si>
    <t>Elaina McCullough</t>
  </si>
  <si>
    <t>2475 FOOTHILL BLVD</t>
  </si>
  <si>
    <t>OROVILLE</t>
  </si>
  <si>
    <t>95966-6313</t>
  </si>
  <si>
    <t>OROVILLE, CA 95966-6313</t>
  </si>
  <si>
    <t>orovillefcc@sbcglobal.net</t>
  </si>
  <si>
    <t>Ripon FMC - SS Class</t>
  </si>
  <si>
    <t>Carol Madoski</t>
  </si>
  <si>
    <t>218 W MAIN ST</t>
  </si>
  <si>
    <t>RIPON</t>
  </si>
  <si>
    <t>95366-2422</t>
  </si>
  <si>
    <t>RIPON, CA 95366-2422</t>
  </si>
  <si>
    <t>Gloversville NY FMC</t>
  </si>
  <si>
    <t>Brenda Leitt</t>
  </si>
  <si>
    <t>33 BLEECKER ST</t>
  </si>
  <si>
    <t>GLOVERSVILLE</t>
  </si>
  <si>
    <t>NY</t>
  </si>
  <si>
    <t>12078-2909</t>
  </si>
  <si>
    <t>GLOVERSVILLE, NY 12078-2909</t>
  </si>
  <si>
    <t>71emae29@gmail.com</t>
  </si>
  <si>
    <t>Oakridge FMC</t>
  </si>
  <si>
    <t>838 W German St</t>
  </si>
  <si>
    <t>Herkimer</t>
  </si>
  <si>
    <t>Herkimer, NY 13350</t>
  </si>
  <si>
    <t>Pine Grove Community Church</t>
  </si>
  <si>
    <t>Mark Kehrer</t>
  </si>
  <si>
    <t>59 PINE RD</t>
  </si>
  <si>
    <t>SARATOGA SPGS</t>
  </si>
  <si>
    <t>12866-5942</t>
  </si>
  <si>
    <t>SARATOGA SPGS, NY 12866-5942</t>
  </si>
  <si>
    <t>Scotch Bush Free Methodist Church</t>
  </si>
  <si>
    <t xml:space="preserve">Kelly Clemons </t>
  </si>
  <si>
    <t>440 North Road</t>
  </si>
  <si>
    <t>Dolgeville</t>
  </si>
  <si>
    <t>Dolgeville, NY 13329</t>
  </si>
  <si>
    <t>Ashburn FMC</t>
  </si>
  <si>
    <t>16312 PIKE 152</t>
  </si>
  <si>
    <t>ASHBURN</t>
  </si>
  <si>
    <t>MO</t>
  </si>
  <si>
    <t>63433-2010</t>
  </si>
  <si>
    <t>ASHBURN, MO 63433-2010</t>
  </si>
  <si>
    <t>Coffeen Free Methodist Church</t>
  </si>
  <si>
    <t>Carol Vollintine</t>
  </si>
  <si>
    <t>207 S CHURCH ST</t>
  </si>
  <si>
    <t>COFFEEN</t>
  </si>
  <si>
    <t>IL</t>
  </si>
  <si>
    <t>62017-1136</t>
  </si>
  <si>
    <t>COFFEEN, IL 62017-1136</t>
  </si>
  <si>
    <t>coffeenfreemethodist@frontiernet.net</t>
  </si>
  <si>
    <t xml:space="preserve">Cowden FMC - Children's Dept. </t>
  </si>
  <si>
    <t>Emily Boehm</t>
  </si>
  <si>
    <t>1185 E 200 NORTH RD</t>
  </si>
  <si>
    <t>COWDEN</t>
  </si>
  <si>
    <t>62422-4006</t>
  </si>
  <si>
    <t>Cowden FMC - Children's Dept.</t>
  </si>
  <si>
    <t>COWDEN, IL 62422-4006</t>
  </si>
  <si>
    <t>eboehm610@gmail.com</t>
  </si>
  <si>
    <t>Ferges FMC</t>
  </si>
  <si>
    <t>Lana Peck</t>
  </si>
  <si>
    <t>13651 MACOMB ST</t>
  </si>
  <si>
    <t>MARION</t>
  </si>
  <si>
    <t>62959-8240</t>
  </si>
  <si>
    <t>MARION, IL 62959-8240</t>
  </si>
  <si>
    <t>foofy13@frontier.com</t>
  </si>
  <si>
    <t>Greenville Free Methodist Church</t>
  </si>
  <si>
    <t>1367 Illinois State Rte 140</t>
  </si>
  <si>
    <t>Greenville</t>
  </si>
  <si>
    <t>Greenville, IL 62246</t>
  </si>
  <si>
    <t>finance@greenvillefmc.org</t>
  </si>
  <si>
    <t>Springs of Living Water FMC</t>
  </si>
  <si>
    <t>6957 Labrosse Hill St</t>
  </si>
  <si>
    <t>Bonners Ferry</t>
  </si>
  <si>
    <t>ID</t>
  </si>
  <si>
    <t>Bonners Ferry, ID 83805</t>
  </si>
  <si>
    <t>trives@sevir.net</t>
  </si>
  <si>
    <t>Caldwell Free Methodist Church</t>
  </si>
  <si>
    <t>3320 S MONTANA AVE</t>
  </si>
  <si>
    <t>CALDWELL</t>
  </si>
  <si>
    <t>83605-6338</t>
  </si>
  <si>
    <t>CALDWELL, ID 83605-6338</t>
  </si>
  <si>
    <t>porshe@caldwellfmc.church</t>
  </si>
  <si>
    <t>Colville FMC</t>
  </si>
  <si>
    <t>1221 E Hawthorne St.</t>
  </si>
  <si>
    <t>Colville</t>
  </si>
  <si>
    <t>WA</t>
  </si>
  <si>
    <t>Colville, WA 99114</t>
  </si>
  <si>
    <t>secretary@colvillefree.com</t>
  </si>
  <si>
    <t>Deerflat FMC</t>
  </si>
  <si>
    <t>Carol Fradenburgh</t>
  </si>
  <si>
    <t>4708 SAGEWOOD LN STE F103</t>
  </si>
  <si>
    <t>83607-8955</t>
  </si>
  <si>
    <t>CALDWELL, ID 83607-8955</t>
  </si>
  <si>
    <t>carol.j.fradenburgh@gmail.com</t>
  </si>
  <si>
    <t>Faith Harvest Fellowship</t>
  </si>
  <si>
    <t>PO BOX 1493</t>
  </si>
  <si>
    <t>MISSOULA</t>
  </si>
  <si>
    <t>MT</t>
  </si>
  <si>
    <t>59806-1493</t>
  </si>
  <si>
    <t>MISSOULA, MT 59806-1493</t>
  </si>
  <si>
    <t>hamiltonbeckyjane@gmail.com</t>
  </si>
  <si>
    <t>New Covenant FMC</t>
  </si>
  <si>
    <t>Larry Kilbourn</t>
  </si>
  <si>
    <t>13176 N Linden Rd</t>
  </si>
  <si>
    <t>CLIO</t>
  </si>
  <si>
    <t>MI</t>
  </si>
  <si>
    <t>48420-1429</t>
  </si>
  <si>
    <t>CLIO, MI 48420-1429</t>
  </si>
  <si>
    <t>lekilbourn@gmail.com</t>
  </si>
  <si>
    <t>Dansville Free Methodist Church</t>
  </si>
  <si>
    <t>PO BOX 138</t>
  </si>
  <si>
    <t>DANSVILLE</t>
  </si>
  <si>
    <t>48819-0138</t>
  </si>
  <si>
    <t>DANSVILLE, MI 48819-0138</t>
  </si>
  <si>
    <t>Gladwin Free Methodist Church</t>
  </si>
  <si>
    <t>1312 N STATE ST</t>
  </si>
  <si>
    <t>GLADWIN</t>
  </si>
  <si>
    <t>48624-1662</t>
  </si>
  <si>
    <t>GLADWIN, MI 48624-1662</t>
  </si>
  <si>
    <t>gladwinfmc@gmail.com</t>
  </si>
  <si>
    <t>Benchmark FMC 9:30 SS Class</t>
  </si>
  <si>
    <t>Barb Fisher</t>
  </si>
  <si>
    <t>11680 DUNHAM RD</t>
  </si>
  <si>
    <t>HARTLAND</t>
  </si>
  <si>
    <t>48353-1920</t>
  </si>
  <si>
    <t>HARTLAND, MI 48353-1920</t>
  </si>
  <si>
    <t>Lansing Central FMC</t>
  </si>
  <si>
    <t>Joanna DeWolf</t>
  </si>
  <si>
    <t>828 N WASHINGTON AVE</t>
  </si>
  <si>
    <t>LANSING</t>
  </si>
  <si>
    <t>48906-5134</t>
  </si>
  <si>
    <t>LANSING, MI 48906-5134</t>
  </si>
  <si>
    <t>Lapeer FMC</t>
  </si>
  <si>
    <t>Gina Lawton</t>
  </si>
  <si>
    <t>1621 N SAGINAW ST</t>
  </si>
  <si>
    <t>LAPEER</t>
  </si>
  <si>
    <t>48446-1548</t>
  </si>
  <si>
    <t>LAPEER, MI 48446-1548</t>
  </si>
  <si>
    <t>lapeerfreemethodist@charter.net</t>
  </si>
  <si>
    <t>Midland Free Methodist Church</t>
  </si>
  <si>
    <t>Young Teens Group</t>
  </si>
  <si>
    <t>5821 Eastman Ave</t>
  </si>
  <si>
    <t>Midland</t>
  </si>
  <si>
    <t>48641-2161</t>
  </si>
  <si>
    <t>Midland, MI 48641-2161</t>
  </si>
  <si>
    <t>Mt Morris FMC - ICCM Club</t>
  </si>
  <si>
    <t>Pat Lindstrom</t>
  </si>
  <si>
    <t>PO BOX 446</t>
  </si>
  <si>
    <t>MOUNT MORRIS</t>
  </si>
  <si>
    <t>48458-0446</t>
  </si>
  <si>
    <t>MOUNT MORRIS, MI 48458-0446</t>
  </si>
  <si>
    <t>lindstrompat@yahoo.com</t>
  </si>
  <si>
    <t>Ogemaw Hills Free Methodist Church</t>
  </si>
  <si>
    <t>PO BOX 156</t>
  </si>
  <si>
    <t>WEST BRANCH</t>
  </si>
  <si>
    <t>48661-0156</t>
  </si>
  <si>
    <t>WEST BRANCH, MI 48661-0156</t>
  </si>
  <si>
    <t>treasurer@ogemawhills.org</t>
  </si>
  <si>
    <t>Pleasant View Free Methodist Church</t>
  </si>
  <si>
    <t>8643 LAPEER RD</t>
  </si>
  <si>
    <t>MAYVILLE</t>
  </si>
  <si>
    <t>48744-9304</t>
  </si>
  <si>
    <t>MAYVILLE, MI 48744-9304</t>
  </si>
  <si>
    <t>michelle.pvfmc@yahoo.com</t>
  </si>
  <si>
    <t>Blue Water FMC Maturing Christian Class</t>
  </si>
  <si>
    <t>1963 ALLEN RD</t>
  </si>
  <si>
    <t>KIMBALL</t>
  </si>
  <si>
    <t>48074-2607</t>
  </si>
  <si>
    <t>KIMBALL, MI 48074-2607</t>
  </si>
  <si>
    <t>Blue Water FMC -Friendship Class</t>
  </si>
  <si>
    <t>Timothy Owens</t>
  </si>
  <si>
    <t>813 Florida Avenue</t>
  </si>
  <si>
    <t>PORT HURON</t>
  </si>
  <si>
    <t>PORT HURON, MI 48060</t>
  </si>
  <si>
    <t>senorowens@msn.com</t>
  </si>
  <si>
    <t>Porter Missions Team</t>
  </si>
  <si>
    <t>Missions Team</t>
  </si>
  <si>
    <t>Gary Hoyt</t>
  </si>
  <si>
    <t>3187 W. Pine River Rd</t>
  </si>
  <si>
    <t>St Louis</t>
  </si>
  <si>
    <t>St Louis, MI 48880</t>
  </si>
  <si>
    <t>Roscommon FMC</t>
  </si>
  <si>
    <t>1515 N M 18</t>
  </si>
  <si>
    <t>ROSCOMMON</t>
  </si>
  <si>
    <t>48653-8564</t>
  </si>
  <si>
    <t>ROSCOMMON, MI 48653-8564</t>
  </si>
  <si>
    <t>First FMC - Saginaw WMI</t>
  </si>
  <si>
    <t>Att: Marilyn Norman</t>
  </si>
  <si>
    <t>2795 Wexford Drive</t>
  </si>
  <si>
    <t>SAGINAW</t>
  </si>
  <si>
    <t>48603-2943</t>
  </si>
  <si>
    <t>SAGINAW, MI 48603-2943</t>
  </si>
  <si>
    <t>Williamston Free Methodist Church</t>
  </si>
  <si>
    <t>4400 N Williamston Rd</t>
  </si>
  <si>
    <t>Williamston</t>
  </si>
  <si>
    <t>Williamston, MI 48895</t>
  </si>
  <si>
    <t>OFFICE@WILLIAMSTONCHURCH.ORG</t>
  </si>
  <si>
    <t>Cape Coral Community FMC, Men's Group</t>
  </si>
  <si>
    <t>1106 SE 4th ST</t>
  </si>
  <si>
    <t>CAPE CORAL</t>
  </si>
  <si>
    <t>FL</t>
  </si>
  <si>
    <t>33990-2691</t>
  </si>
  <si>
    <t>CAPE CORAL, FL 33990-2691</t>
  </si>
  <si>
    <t>francine.strever@gmail.com</t>
  </si>
  <si>
    <t>Cape Coral Community Church</t>
  </si>
  <si>
    <t>811 SANTA BARBARA BLVD</t>
  </si>
  <si>
    <t>33991-2072</t>
  </si>
  <si>
    <t>CAPE CORAL, FL 33991-2072</t>
  </si>
  <si>
    <t>Cornerstone Community Church</t>
  </si>
  <si>
    <t>6745 38th AVE N</t>
  </si>
  <si>
    <t>ST PETERSBURG</t>
  </si>
  <si>
    <t>33710-1536</t>
  </si>
  <si>
    <t>ST PETERSBURG, FL 33710-1536</t>
  </si>
  <si>
    <t>Cornerstone Comm. Ch. - Kidzone</t>
  </si>
  <si>
    <t>Akron FMC</t>
  </si>
  <si>
    <t>Kristen Hall</t>
  </si>
  <si>
    <t>6 SCOTLAND RD</t>
  </si>
  <si>
    <t>AKRON</t>
  </si>
  <si>
    <t>14001-1101</t>
  </si>
  <si>
    <t>AKRON, NY 14001-1101</t>
  </si>
  <si>
    <t>afmckirsten@gmail.com</t>
  </si>
  <si>
    <t>Northgate FMC</t>
  </si>
  <si>
    <t>Allison Lang, Dir. of Operations</t>
  </si>
  <si>
    <t>8160 BANK STREET RD</t>
  </si>
  <si>
    <t>BATAVIA</t>
  </si>
  <si>
    <t>14020-9705</t>
  </si>
  <si>
    <t>BATAVIA, NY 14020-9705</t>
  </si>
  <si>
    <t>Allison@northgatefmc.com</t>
  </si>
  <si>
    <t>Faith Lighthouse Chapel</t>
  </si>
  <si>
    <t>Amanda LaQuay</t>
  </si>
  <si>
    <t>104 JAMESTOWN RD</t>
  </si>
  <si>
    <t>RANDOLPH</t>
  </si>
  <si>
    <t>14772-9788</t>
  </si>
  <si>
    <t>RANDOLPH, NY 14772-9788</t>
  </si>
  <si>
    <t>faithlighthousechapelfmc@outlook.com</t>
  </si>
  <si>
    <t>Harvest Chapel FMC</t>
  </si>
  <si>
    <t>Ruth Ann Mrowka</t>
  </si>
  <si>
    <t>39 MATTESON ST</t>
  </si>
  <si>
    <t>FREDONIA</t>
  </si>
  <si>
    <t>14063-1009</t>
  </si>
  <si>
    <t>FREDONIA, NY 14063-1009</t>
  </si>
  <si>
    <t>ruthannm.harvest@gmail.com</t>
  </si>
  <si>
    <t>Colonial Heights FMC-Adult SS Class</t>
  </si>
  <si>
    <t>Donna Stevens</t>
  </si>
  <si>
    <t>1310 SAUNDERS SETTLEMENT RD</t>
  </si>
  <si>
    <t>NIAGARA FALLS</t>
  </si>
  <si>
    <t>14305-1443</t>
  </si>
  <si>
    <t>NIAGARA FALLS, NY 14305-1443</t>
  </si>
  <si>
    <t>Open Arms Community Church</t>
  </si>
  <si>
    <t>4143 BEACH RIDGE RD</t>
  </si>
  <si>
    <t>N TONAWANDA</t>
  </si>
  <si>
    <t>14120-9574</t>
  </si>
  <si>
    <t>N TONAWANDA, NY 14120-9574</t>
  </si>
  <si>
    <t>openarmsnt@gmail.com</t>
  </si>
  <si>
    <t>Edgewood Free Methodist Church</t>
  </si>
  <si>
    <t>111 E JEFFERSON RD</t>
  </si>
  <si>
    <t>PITTSFORD</t>
  </si>
  <si>
    <t>14534-2321</t>
  </si>
  <si>
    <t>PITTSFORD, NY 14534-2321</t>
  </si>
  <si>
    <t>office@edgewoodroc.org</t>
  </si>
  <si>
    <t>Heart &amp; Soul FMC</t>
  </si>
  <si>
    <t>Miriam Vazquez</t>
  </si>
  <si>
    <t>1185 N CLINTON AVE</t>
  </si>
  <si>
    <t>ROCHESTER</t>
  </si>
  <si>
    <t>14621-3337</t>
  </si>
  <si>
    <t>ROCHESTER, NY 14621-3337</t>
  </si>
  <si>
    <t>vazquez@rochester.rr.com</t>
  </si>
  <si>
    <t>Park Ridge FMC</t>
  </si>
  <si>
    <t>10 Straub Road</t>
  </si>
  <si>
    <t>Rochester</t>
  </si>
  <si>
    <t>Rochester, NY 14626</t>
  </si>
  <si>
    <t>treasurer@parkridgefmc.org</t>
  </si>
  <si>
    <t>South Dayton FMC</t>
  </si>
  <si>
    <t>Evelyn Hooker</t>
  </si>
  <si>
    <t>PO BOX 261</t>
  </si>
  <si>
    <t>SOUTH DAYTON</t>
  </si>
  <si>
    <t>14138-0261</t>
  </si>
  <si>
    <t>SOUTH DAYTON, NY 14138-0261</t>
  </si>
  <si>
    <t>southdaytonfmc@gmail.com</t>
  </si>
  <si>
    <t>Murphy Free Methodist Church</t>
  </si>
  <si>
    <t>Lois Huff</t>
  </si>
  <si>
    <t>PO BOX 1222</t>
  </si>
  <si>
    <t>MURPHY</t>
  </si>
  <si>
    <t>NC</t>
  </si>
  <si>
    <t>28906-1222</t>
  </si>
  <si>
    <t>MURPHY, NC 28906-1222</t>
  </si>
  <si>
    <t>aapayne1@frontier.com</t>
  </si>
  <si>
    <t xml:space="preserve">Beloit FMC Missions Com - SS Dept  </t>
  </si>
  <si>
    <t>Clara McFall</t>
  </si>
  <si>
    <t>1919 CLEORA DR</t>
  </si>
  <si>
    <t>BELOIT</t>
  </si>
  <si>
    <t>WI</t>
  </si>
  <si>
    <t>53511-2706</t>
  </si>
  <si>
    <t>Beloit FMC Missions Com - SS Dept</t>
  </si>
  <si>
    <t>BELOIT, WI 53511-2706</t>
  </si>
  <si>
    <t>Henriette Free Methodist Church</t>
  </si>
  <si>
    <t>Attn: Marge Carter</t>
  </si>
  <si>
    <t>21004 STATE HIGHWAY 107</t>
  </si>
  <si>
    <t>GRASSTON</t>
  </si>
  <si>
    <t>MN</t>
  </si>
  <si>
    <t>55030-3178</t>
  </si>
  <si>
    <t>GRASSTON, MN 55030-3178</t>
  </si>
  <si>
    <t>marge2u2003@yahoo.com</t>
  </si>
  <si>
    <t>Free Methodist Missions</t>
  </si>
  <si>
    <t>Tammy O'Brien</t>
  </si>
  <si>
    <t>420 JEFFERSON ST</t>
  </si>
  <si>
    <t>FENNIMORE</t>
  </si>
  <si>
    <t>53809-1244</t>
  </si>
  <si>
    <t>FENNIMORE, WI 53809-1244</t>
  </si>
  <si>
    <t>Platteville FMC</t>
  </si>
  <si>
    <t>Craig Humphreys</t>
  </si>
  <si>
    <t>3739 COUNTY ROAD A</t>
  </si>
  <si>
    <t>LANCASTER</t>
  </si>
  <si>
    <t>53813-9311</t>
  </si>
  <si>
    <t>LANCASTER, WI 53813-9311</t>
  </si>
  <si>
    <t>cthumphreys@hotmail.com</t>
  </si>
  <si>
    <t>Richland Center FMC</t>
  </si>
  <si>
    <t>Att: Peggy Kidd</t>
  </si>
  <si>
    <t>405 S PARK ST</t>
  </si>
  <si>
    <t>RICHLAND CTR</t>
  </si>
  <si>
    <t>53581-2525</t>
  </si>
  <si>
    <t>RICHLAND CTR, WI 53581-2525</t>
  </si>
  <si>
    <t>Wesley Free Methodist Church</t>
  </si>
  <si>
    <t>Lori Villalobos</t>
  </si>
  <si>
    <t>3601 N LEWIS AVE</t>
  </si>
  <si>
    <t>WAUKEGAN</t>
  </si>
  <si>
    <t>60087-1516</t>
  </si>
  <si>
    <t>WAUKEGAN, IL 60087-1516</t>
  </si>
  <si>
    <t>office@wesleyfmc.org</t>
  </si>
  <si>
    <t>Woodstock Free Methodist Church</t>
  </si>
  <si>
    <t>934 N SEMINARY AVE</t>
  </si>
  <si>
    <t>WOODSTOCK</t>
  </si>
  <si>
    <t>60098-2953</t>
  </si>
  <si>
    <t>WOODSTOCK, IL 60098-2953</t>
  </si>
  <si>
    <t>treasurer.woodstockfmc@gmail.com</t>
  </si>
  <si>
    <t>Motley Free Methodist Church</t>
  </si>
  <si>
    <t>PO BOX A</t>
  </si>
  <si>
    <t>MOTLEY</t>
  </si>
  <si>
    <t>56466-0287</t>
  </si>
  <si>
    <t>MOTLEY, MN 56466-0287</t>
  </si>
  <si>
    <t>Central Comm Church</t>
  </si>
  <si>
    <t>Verna Benson</t>
  </si>
  <si>
    <t>8105 DOUGLAS AVE</t>
  </si>
  <si>
    <t>URBANDALE</t>
  </si>
  <si>
    <t>IA</t>
  </si>
  <si>
    <t>50322-2455</t>
  </si>
  <si>
    <t>URBANDALE, IA 50322-2455</t>
  </si>
  <si>
    <t>lvbenson@hickorytech.net</t>
  </si>
  <si>
    <t>New Life Community FMC</t>
  </si>
  <si>
    <t>Diane Hall</t>
  </si>
  <si>
    <t>500 W WASHINGTON AVE</t>
  </si>
  <si>
    <t>FAIRFIELD</t>
  </si>
  <si>
    <t>52556-3346</t>
  </si>
  <si>
    <t>FAIRFIELD, IA 52556-3346</t>
  </si>
  <si>
    <t>rghall@netins.net</t>
  </si>
  <si>
    <t>Manhattan 1st FMC</t>
  </si>
  <si>
    <t>SS Department</t>
  </si>
  <si>
    <t>1231 POYNTZ AVE</t>
  </si>
  <si>
    <t>MANHATTAN</t>
  </si>
  <si>
    <t>KS</t>
  </si>
  <si>
    <t>66502-4361</t>
  </si>
  <si>
    <t>MANHATTAN, KS 66502-4361</t>
  </si>
  <si>
    <t>Homeward Bound SS Class</t>
  </si>
  <si>
    <t>David Rott</t>
  </si>
  <si>
    <t>409 N. Charles</t>
  </si>
  <si>
    <t>MCPHERSON</t>
  </si>
  <si>
    <t>67460-2723</t>
  </si>
  <si>
    <t>MCPHERSON, KS 67460-2723</t>
  </si>
  <si>
    <t>Golden Plains Church</t>
  </si>
  <si>
    <t>224 NW 60th ST</t>
  </si>
  <si>
    <t>NEWTON</t>
  </si>
  <si>
    <t>67114-9209</t>
  </si>
  <si>
    <t>NEWTON, KS 67114-9209</t>
  </si>
  <si>
    <t>saphirestone@iwichita.com</t>
  </si>
  <si>
    <t>West Bethany FMC - Youth Group</t>
  </si>
  <si>
    <t>Jeff Brown</t>
  </si>
  <si>
    <t>210 COUNTY ROAD 100</t>
  </si>
  <si>
    <t>WALLACE</t>
  </si>
  <si>
    <t>67761-3004</t>
  </si>
  <si>
    <t>WALLACE, KS 67761-3004</t>
  </si>
  <si>
    <t>Forrest Chapel FMC</t>
  </si>
  <si>
    <t>Ruth Sullivan</t>
  </si>
  <si>
    <t>2212 LAMBERT DR</t>
  </si>
  <si>
    <t>WESTMORELAND</t>
  </si>
  <si>
    <t>TN</t>
  </si>
  <si>
    <t>37186-2110</t>
  </si>
  <si>
    <t>WESTMORELAND, TN 37186-2110</t>
  </si>
  <si>
    <t>Wilmore Free Methodist Church</t>
  </si>
  <si>
    <t>1200 LEXINGTON RD</t>
  </si>
  <si>
    <t>WILMORE</t>
  </si>
  <si>
    <t>KY</t>
  </si>
  <si>
    <t>40390-9632</t>
  </si>
  <si>
    <t>WILMORE, KY 40390-9632</t>
  </si>
  <si>
    <t>treasurer@wfmc.net</t>
  </si>
  <si>
    <t xml:space="preserve">Gulf Coast WMI </t>
  </si>
  <si>
    <t>Katy Price</t>
  </si>
  <si>
    <t>715 Highway 115</t>
  </si>
  <si>
    <t>Deville</t>
  </si>
  <si>
    <t>LA</t>
  </si>
  <si>
    <t>Gulf Coast WMI</t>
  </si>
  <si>
    <t>Deville, LA 71328</t>
  </si>
  <si>
    <t>lloydkatyprice@yahoo.com</t>
  </si>
  <si>
    <t xml:space="preserve">316 Edgewood Dr. </t>
  </si>
  <si>
    <t>PINEVILLE</t>
  </si>
  <si>
    <t>71360-4679</t>
  </si>
  <si>
    <t>PINEVILLE, LA 71360-4679</t>
  </si>
  <si>
    <t>theedgefmc@gmail.com</t>
  </si>
  <si>
    <t>Central Free Methodist Church</t>
  </si>
  <si>
    <t>2755 Ashton Street</t>
  </si>
  <si>
    <t>Shreveport</t>
  </si>
  <si>
    <t>71103-2300</t>
  </si>
  <si>
    <t>Shreveport, LA 71103-2300</t>
  </si>
  <si>
    <t>Summerville FMC</t>
  </si>
  <si>
    <t>Levena Roark</t>
  </si>
  <si>
    <t>139 ZIMMER CREEK RD</t>
  </si>
  <si>
    <t>TROUT</t>
  </si>
  <si>
    <t>71371-3917</t>
  </si>
  <si>
    <t>TROUT, LA 71371-3917</t>
  </si>
  <si>
    <t>lroark71371@yahoo.com</t>
  </si>
  <si>
    <t>Edgemere FMC</t>
  </si>
  <si>
    <t>2512 Brannan Ave</t>
  </si>
  <si>
    <t>Baltimore</t>
  </si>
  <si>
    <t>MD</t>
  </si>
  <si>
    <t>Baltimore, MD 21219</t>
  </si>
  <si>
    <t>edgemerefmchurch@gmail.com</t>
  </si>
  <si>
    <t>Baltimore FMC: SS class</t>
  </si>
  <si>
    <t>3439 KESWICK RD</t>
  </si>
  <si>
    <t>BALTIMORE</t>
  </si>
  <si>
    <t>21211-2635</t>
  </si>
  <si>
    <t>BALTIMORE, MD 21211-2635</t>
  </si>
  <si>
    <t>Church on the Rise</t>
  </si>
  <si>
    <t>1136 SPERRYVILLE PIKE</t>
  </si>
  <si>
    <t>CULPEPER</t>
  </si>
  <si>
    <t>VA</t>
  </si>
  <si>
    <t>22701-1918</t>
  </si>
  <si>
    <t>CULPEPER, VA 22701-1918</t>
  </si>
  <si>
    <t>aswearingen471@yahoo.com</t>
  </si>
  <si>
    <t>Crossway Christian Church</t>
  </si>
  <si>
    <t>Peggy Poole</t>
  </si>
  <si>
    <t>15510 KRUHM RD</t>
  </si>
  <si>
    <t>BURTONSVILLE</t>
  </si>
  <si>
    <t>20866-1406</t>
  </si>
  <si>
    <t>BURTONSVILLE, MD 20866-1406</t>
  </si>
  <si>
    <t>pooleauntie@gmail.com</t>
  </si>
  <si>
    <t>Waynesboro FMC</t>
  </si>
  <si>
    <t>600 HOPEMAN PKWY</t>
  </si>
  <si>
    <t>WAYNESBORO</t>
  </si>
  <si>
    <t>22980-1830</t>
  </si>
  <si>
    <t>WAYNESBORO, VA 22980-1830</t>
  </si>
  <si>
    <t>office@waynesborofm.com</t>
  </si>
  <si>
    <t>Fillmore Free Methodist Church</t>
  </si>
  <si>
    <t>19127 Co Rd 8</t>
  </si>
  <si>
    <t>Wykoff</t>
  </si>
  <si>
    <t>Wykoff, MN 55990</t>
  </si>
  <si>
    <t>swimfast@hmtel.com</t>
  </si>
  <si>
    <t>Minneapolis First FMC - WMI</t>
  </si>
  <si>
    <t>Donna Smith</t>
  </si>
  <si>
    <t>4227 2ND AVE S</t>
  </si>
  <si>
    <t>MINNEAPOLIS</t>
  </si>
  <si>
    <t>55409-2101</t>
  </si>
  <si>
    <t>MINNEAPOLIS, MN 55409-2101</t>
  </si>
  <si>
    <t>Rapid City FMC - WMI</t>
  </si>
  <si>
    <t>Lila Scandrett</t>
  </si>
  <si>
    <t>10500 DIAMOND ARROW LN</t>
  </si>
  <si>
    <t>BLACK HAWK</t>
  </si>
  <si>
    <t>SD</t>
  </si>
  <si>
    <t>57718-9493</t>
  </si>
  <si>
    <t>BLACK HAWK, SD 57718-9493</t>
  </si>
  <si>
    <t>Beaumont FMC, WMI</t>
  </si>
  <si>
    <t>Wilma Hontz</t>
  </si>
  <si>
    <t>32 IROQUOIS TRL</t>
  </si>
  <si>
    <t>WHITE HAVEN</t>
  </si>
  <si>
    <t>PA</t>
  </si>
  <si>
    <t>18661-2023</t>
  </si>
  <si>
    <t>WHITE HAVEN, PA 18661-2023</t>
  </si>
  <si>
    <t>hontz02@outlook.com</t>
  </si>
  <si>
    <t>Bowmans Creek FMC - WMI</t>
  </si>
  <si>
    <t>Sherry Butler</t>
  </si>
  <si>
    <t>175 MAPLE TREE RD</t>
  </si>
  <si>
    <t>DALLAS</t>
  </si>
  <si>
    <t>18612-2420</t>
  </si>
  <si>
    <t>DALLAS, PA 18612-2420</t>
  </si>
  <si>
    <t>sritt@ptd.net</t>
  </si>
  <si>
    <t>Ironia Free Methodist Church - WMI</t>
  </si>
  <si>
    <t>PO BOX 240</t>
  </si>
  <si>
    <t>IRONIA</t>
  </si>
  <si>
    <t>NJ</t>
  </si>
  <si>
    <t>07845-0240</t>
  </si>
  <si>
    <t>IRONIA, NJ 07845-0240</t>
  </si>
  <si>
    <t>pastormyller@aol.com</t>
  </si>
  <si>
    <t>Living Faith Community Free Methodist Church</t>
  </si>
  <si>
    <t>PO Box 102</t>
  </si>
  <si>
    <t>Maplecrest</t>
  </si>
  <si>
    <t>Maplecrest, NY 12454</t>
  </si>
  <si>
    <t>S Canaan FMC  WMI Group</t>
  </si>
  <si>
    <t>PO BOX 35</t>
  </si>
  <si>
    <t>SOUTH CANAAN</t>
  </si>
  <si>
    <t>18459-0035</t>
  </si>
  <si>
    <t>SOUTH CANAAN, PA 18459-0035</t>
  </si>
  <si>
    <t>New Hope Community Church</t>
  </si>
  <si>
    <t>Wendy Miller</t>
  </si>
  <si>
    <t>45 Stockton Ave</t>
  </si>
  <si>
    <t>Walton</t>
  </si>
  <si>
    <t>Walton, NY 13856</t>
  </si>
  <si>
    <t>beersy@hotmail.com</t>
  </si>
  <si>
    <t>Waverly FMC</t>
  </si>
  <si>
    <t>PO Box 85</t>
  </si>
  <si>
    <t>Waverly</t>
  </si>
  <si>
    <t>Waverly, PA 18471</t>
  </si>
  <si>
    <t xml:space="preserve">Wed. Eve. Bible Study </t>
  </si>
  <si>
    <t>Linda Magnot</t>
  </si>
  <si>
    <t>672 Montdale Rd</t>
  </si>
  <si>
    <t>Scott Township</t>
  </si>
  <si>
    <t>Wed. Eve. Bible Study</t>
  </si>
  <si>
    <t>Scott Township, PA 18447</t>
  </si>
  <si>
    <t>Center St. FMC of Belding</t>
  </si>
  <si>
    <t>Sharon Schultz</t>
  </si>
  <si>
    <t>9618 W Belding Rd</t>
  </si>
  <si>
    <t>Belding</t>
  </si>
  <si>
    <t>Belding, MI 48809</t>
  </si>
  <si>
    <t>SKSJESSCHULTZ@SBCGLOBAL.NET</t>
  </si>
  <si>
    <t>Caldwell FMC</t>
  </si>
  <si>
    <t>Elaine Mallion</t>
  </si>
  <si>
    <t>10040 W CUTCHEON RD</t>
  </si>
  <si>
    <t>MANTON</t>
  </si>
  <si>
    <t>49663-9325</t>
  </si>
  <si>
    <t>MANTON, MI 49663-9325</t>
  </si>
  <si>
    <t>emallion@hotmail.com</t>
  </si>
  <si>
    <t>Springs Church</t>
  </si>
  <si>
    <t>135 N GRANT ST</t>
  </si>
  <si>
    <t>CEDAR SPRINGS</t>
  </si>
  <si>
    <t>49319-8594</t>
  </si>
  <si>
    <t>CEDAR SPRINGS, MI 49319-8594</t>
  </si>
  <si>
    <t>office@thespringschurch.info</t>
  </si>
  <si>
    <t>New Hope FMC</t>
  </si>
  <si>
    <t>5665 EASTERN AVE SE</t>
  </si>
  <si>
    <t>KENTWOOD</t>
  </si>
  <si>
    <t>49508-6023</t>
  </si>
  <si>
    <t>KENTWOOD, MI 49508-6023</t>
  </si>
  <si>
    <t>hissongd009@gmail.com</t>
  </si>
  <si>
    <t>Lakeview FMC- LLMI</t>
  </si>
  <si>
    <t>Ted Johnson</t>
  </si>
  <si>
    <t>PO BOX 350</t>
  </si>
  <si>
    <t>LAKEVIEW</t>
  </si>
  <si>
    <t>48850-0350</t>
  </si>
  <si>
    <t>LAKEVIEW, MI 48850-0350</t>
  </si>
  <si>
    <t>Mancelona FMC</t>
  </si>
  <si>
    <t>Barbara Elder</t>
  </si>
  <si>
    <t>10725 Darragh Rd</t>
  </si>
  <si>
    <t>Mancelona</t>
  </si>
  <si>
    <t>Mancelona, MI 49659</t>
  </si>
  <si>
    <t>fr33mchurch@gmail.com</t>
  </si>
  <si>
    <t>The River FMC</t>
  </si>
  <si>
    <t>Treasurer</t>
  </si>
  <si>
    <t>PO Box 38</t>
  </si>
  <si>
    <t>Mesick</t>
  </si>
  <si>
    <t>Mesick, MI 49668</t>
  </si>
  <si>
    <t>theriverfmc777@yahoo.com</t>
  </si>
  <si>
    <t>Central Michigan FMC</t>
  </si>
  <si>
    <t>Brent Neubecker</t>
  </si>
  <si>
    <t>6012 S MISSION RD</t>
  </si>
  <si>
    <t>MT PLEASANT</t>
  </si>
  <si>
    <t>48858-9138</t>
  </si>
  <si>
    <t>MT PLEASANT, MI 48858-9138</t>
  </si>
  <si>
    <t>cmfmchurch@gmail.com</t>
  </si>
  <si>
    <t>Pleasant Valley FMC - WMI</t>
  </si>
  <si>
    <t>Nelson Ogden</t>
  </si>
  <si>
    <t>3055 W OLD STATE RD</t>
  </si>
  <si>
    <t>EAST JORDAN</t>
  </si>
  <si>
    <t>49727-9225</t>
  </si>
  <si>
    <t>EAST JORDAN, MI 49727-9225</t>
  </si>
  <si>
    <t>Rose Lake FMC</t>
  </si>
  <si>
    <t>Vickie Schaefer</t>
  </si>
  <si>
    <t>14233 17 MILE RD</t>
  </si>
  <si>
    <t>LEROY</t>
  </si>
  <si>
    <t>49655-8288</t>
  </si>
  <si>
    <t>LEROY, MI 49655-8288</t>
  </si>
  <si>
    <t>roselakefmc@hotmail.com</t>
  </si>
  <si>
    <t>Sault Ste Marie FMC</t>
  </si>
  <si>
    <t>505 W 4th Ave</t>
  </si>
  <si>
    <t>Sault Sainte Marie</t>
  </si>
  <si>
    <t>Sault Sainte Marie, MI 49783</t>
  </si>
  <si>
    <t>tgoff@eupschools.org</t>
  </si>
  <si>
    <t>Stanwood FMC</t>
  </si>
  <si>
    <t>ATTN:  Kathy Marek</t>
  </si>
  <si>
    <t>7486 Stanwood Dr.</t>
  </si>
  <si>
    <t>Stanwood</t>
  </si>
  <si>
    <t>Stanwood, MI 49346</t>
  </si>
  <si>
    <t>office@thewoodsfmc.com</t>
  </si>
  <si>
    <t>Vickie Snyder</t>
  </si>
  <si>
    <t>39990 PINE LAKE RD</t>
  </si>
  <si>
    <t>OH</t>
  </si>
  <si>
    <t>43724-9210</t>
  </si>
  <si>
    <t>CALDWELL, OH 43724-9210</t>
  </si>
  <si>
    <t>snyder.252@osu.edu</t>
  </si>
  <si>
    <t>HUBER HEIGHTS FMC</t>
  </si>
  <si>
    <t>6875 Old Troy Pike</t>
  </si>
  <si>
    <t>Huber Heights</t>
  </si>
  <si>
    <t>Huber Heights, OH 45424</t>
  </si>
  <si>
    <t>Huber Heights FMC: SS Class</t>
  </si>
  <si>
    <t>Randy Griffith</t>
  </si>
  <si>
    <t>6875 OLD TROY PIKE</t>
  </si>
  <si>
    <t>HUBER HEIGHTS</t>
  </si>
  <si>
    <t>45424-2751</t>
  </si>
  <si>
    <t>HUBER HEIGHTS, OH 45424-2751</t>
  </si>
  <si>
    <t>Grace Point Church</t>
  </si>
  <si>
    <t>Kim Lovely</t>
  </si>
  <si>
    <t>683 PORTLAND WAY N</t>
  </si>
  <si>
    <t>GALION</t>
  </si>
  <si>
    <t>44833-1151</t>
  </si>
  <si>
    <t>GALION, OH 44833-1151</t>
  </si>
  <si>
    <t>kimlovely@galiongracepoint.com</t>
  </si>
  <si>
    <t>Hopewell Free Methodist Church</t>
  </si>
  <si>
    <t>9515 WEST PIKE</t>
  </si>
  <si>
    <t>HOPEWELL</t>
  </si>
  <si>
    <t>HOPEWELL, OH 43746</t>
  </si>
  <si>
    <t>paulbugglin@yahoo.com</t>
  </si>
  <si>
    <t>Freedom Ridge Church</t>
  </si>
  <si>
    <t>2200 BEDFORD BLVD</t>
  </si>
  <si>
    <t>ONTARIO</t>
  </si>
  <si>
    <t>44906-1101</t>
  </si>
  <si>
    <t>ONTARIO, OH 44906-1101</t>
  </si>
  <si>
    <t>freedomridgechurch@gmail.com</t>
  </si>
  <si>
    <t>Laurel Cliff FMC, Youth Group</t>
  </si>
  <si>
    <t>PO BOX 41</t>
  </si>
  <si>
    <t>CHESTER</t>
  </si>
  <si>
    <t>45720-0041</t>
  </si>
  <si>
    <t>CHESTER, OH 45720-0041</t>
  </si>
  <si>
    <t>Bradford First FMC</t>
  </si>
  <si>
    <t>Jim Lenaway</t>
  </si>
  <si>
    <t>PO BOX 703</t>
  </si>
  <si>
    <t>BRADFORD</t>
  </si>
  <si>
    <t>16701-0703</t>
  </si>
  <si>
    <t>BRADFORD, PA 16701-0703</t>
  </si>
  <si>
    <t>jim.lenaway@verizon.net</t>
  </si>
  <si>
    <t>Cherry Grove FMC WMI</t>
  </si>
  <si>
    <t>Carleena McMillen</t>
  </si>
  <si>
    <t>PO Box 33</t>
  </si>
  <si>
    <t>Clarendon</t>
  </si>
  <si>
    <t>Clarendon, PA 16313</t>
  </si>
  <si>
    <t>God's Country Ministries</t>
  </si>
  <si>
    <t>PO BOX 674</t>
  </si>
  <si>
    <t>COUDERSPORT</t>
  </si>
  <si>
    <t>16915-0674</t>
  </si>
  <si>
    <t>COUDERSPORT, PA 16915-0674</t>
  </si>
  <si>
    <t>godscountrymin@gmail.com</t>
  </si>
  <si>
    <t>Light &amp; Life FMC, WMI</t>
  </si>
  <si>
    <t>128 S 8th ST</t>
  </si>
  <si>
    <t>DUBOIS</t>
  </si>
  <si>
    <t>15801-2847</t>
  </si>
  <si>
    <t>DUBOIS, PA 15801-2847</t>
  </si>
  <si>
    <t>pastordude86@verizon.net</t>
  </si>
  <si>
    <t>Fleming FMC</t>
  </si>
  <si>
    <t>PO BOX 140</t>
  </si>
  <si>
    <t>FLEMING</t>
  </si>
  <si>
    <t>16835-0140</t>
  </si>
  <si>
    <t>FLEMING, PA 16835-0140</t>
  </si>
  <si>
    <t>melry0609@gmail.com</t>
  </si>
  <si>
    <t xml:space="preserve">Living Faith Ministry FMC </t>
  </si>
  <si>
    <t>WMI</t>
  </si>
  <si>
    <t>WMI Treasurer</t>
  </si>
  <si>
    <t>7175 NITTANY VALLEY DR</t>
  </si>
  <si>
    <t>MILL HALL</t>
  </si>
  <si>
    <t>17751-9013</t>
  </si>
  <si>
    <t>Living Faith Ministry FMC</t>
  </si>
  <si>
    <t>MILL HALL, PA 17751-9013</t>
  </si>
  <si>
    <t>livingfaith7175@gmail.com</t>
  </si>
  <si>
    <t>The Crossing FMC of Oil City</t>
  </si>
  <si>
    <t>Pastor Chris Hill</t>
  </si>
  <si>
    <t>202 Wilson Avenue</t>
  </si>
  <si>
    <t>Oil City</t>
  </si>
  <si>
    <t>Oil City, PA 16301</t>
  </si>
  <si>
    <t>Sugar Grove FMC</t>
  </si>
  <si>
    <t>210 JAMESTOWN ST</t>
  </si>
  <si>
    <t>PO Box 596</t>
  </si>
  <si>
    <t>SUGAR GROVE</t>
  </si>
  <si>
    <t>16350-</t>
  </si>
  <si>
    <t>SUGAR GROVE, PA 16350-</t>
  </si>
  <si>
    <t>sgfree@verizon.net</t>
  </si>
  <si>
    <t>Youngsville Free Methodist Church</t>
  </si>
  <si>
    <t>Marlene Hamrick</t>
  </si>
  <si>
    <t>179 Davis Street</t>
  </si>
  <si>
    <t>Youngsville</t>
  </si>
  <si>
    <t>Youngsville, PA 16371</t>
  </si>
  <si>
    <t>office@ybfree.org</t>
  </si>
  <si>
    <t>Midwest City FMC</t>
  </si>
  <si>
    <t>Sheri Miller</t>
  </si>
  <si>
    <t>6500 E RENO AVE</t>
  </si>
  <si>
    <t>MIDWEST CITY</t>
  </si>
  <si>
    <t>OK</t>
  </si>
  <si>
    <t>73110-2144</t>
  </si>
  <si>
    <t>MIDWEST CITY, OK 73110-2144</t>
  </si>
  <si>
    <t>fmchurchmwc@aol.com</t>
  </si>
  <si>
    <t>Highland Chapel Missionary</t>
  </si>
  <si>
    <t>PO BOX 43</t>
  </si>
  <si>
    <t>MILLER</t>
  </si>
  <si>
    <t>65707-0043</t>
  </si>
  <si>
    <t>MILLER, MO 65707-0043</t>
  </si>
  <si>
    <t>Mountain Gospel Fellowship</t>
  </si>
  <si>
    <t>Charlie Flynn</t>
  </si>
  <si>
    <t>PO BOX 59</t>
  </si>
  <si>
    <t>FALLS CITY</t>
  </si>
  <si>
    <t>OR</t>
  </si>
  <si>
    <t>97344-0059</t>
  </si>
  <si>
    <t>FALLS CITY, OR 97344-0059</t>
  </si>
  <si>
    <t>money.mgf@gmail.com</t>
  </si>
  <si>
    <t>Salem First Free Methodist Church</t>
  </si>
  <si>
    <t>4455 SILVERTON RD NE</t>
  </si>
  <si>
    <t>SALEM</t>
  </si>
  <si>
    <t>97305-2061</t>
  </si>
  <si>
    <t>SALEM, OR 97305-2061</t>
  </si>
  <si>
    <t>Office@salemfirst.com</t>
  </si>
  <si>
    <t>Genesis Community Church</t>
  </si>
  <si>
    <t>1020 JANUS ST</t>
  </si>
  <si>
    <t>SPRINGFIELD</t>
  </si>
  <si>
    <t>97477-3530</t>
  </si>
  <si>
    <t>SPRINGFIELD, OR 97477-3530</t>
  </si>
  <si>
    <t>gccspringfieldoffice@gmail.com</t>
  </si>
  <si>
    <t>Willamina Free Methodist Church</t>
  </si>
  <si>
    <t>Pastor Jim York</t>
  </si>
  <si>
    <t>PO BOX 957</t>
  </si>
  <si>
    <t>WILLAMINA</t>
  </si>
  <si>
    <t>97396-0957</t>
  </si>
  <si>
    <t>WILLAMINA, OR 97396-0957</t>
  </si>
  <si>
    <t>pastor@willaminafmc.com</t>
  </si>
  <si>
    <t>Chillicothe FMC Kids Church</t>
  </si>
  <si>
    <t>Brenda Toot &amp; Lisa Lanning</t>
  </si>
  <si>
    <t>1441 Jackson St PO BOX 851</t>
  </si>
  <si>
    <t>CHILLICOTHE</t>
  </si>
  <si>
    <t>64601-0851</t>
  </si>
  <si>
    <t>CHILLICOTHE, MO 64601-0851</t>
  </si>
  <si>
    <t>treasurerfmc@outlook.com</t>
  </si>
  <si>
    <t>Rise OC</t>
  </si>
  <si>
    <t>3198 AIRPORT LOOP DR STE B</t>
  </si>
  <si>
    <t>COSTA MESA</t>
  </si>
  <si>
    <t>92626-3407</t>
  </si>
  <si>
    <t>COSTA MESA, CA 92626-3407</t>
  </si>
  <si>
    <t>Eastmont Community Church</t>
  </si>
  <si>
    <t>Elise Guelich</t>
  </si>
  <si>
    <t>783 4th St NE</t>
  </si>
  <si>
    <t>East Wenatchee</t>
  </si>
  <si>
    <t>East Wenatchee, WA 98802</t>
  </si>
  <si>
    <t>manager@eastmontcc.com</t>
  </si>
  <si>
    <t>Light &amp; Life Community Church</t>
  </si>
  <si>
    <t>2740 SIMPSON AVE</t>
  </si>
  <si>
    <t>HOQUIAM</t>
  </si>
  <si>
    <t>98550-2931</t>
  </si>
  <si>
    <t>HOQUIAM, WA 98550-2931</t>
  </si>
  <si>
    <t>oldbeeman@comcast.net</t>
  </si>
  <si>
    <t>Cornerstone Christian Fellowship</t>
  </si>
  <si>
    <t>Omak</t>
  </si>
  <si>
    <t>Omak, WA 98841</t>
  </si>
  <si>
    <t>ccfomak@gmail.com</t>
  </si>
  <si>
    <t>Quincy FMC Sunday School</t>
  </si>
  <si>
    <t>301 I ST SW</t>
  </si>
  <si>
    <t>QUINCY</t>
  </si>
  <si>
    <t>98848-1378</t>
  </si>
  <si>
    <t>QUINCY, WA 98848-1378</t>
  </si>
  <si>
    <t>Rainier Ave FMC</t>
  </si>
  <si>
    <t>4517 S JUNEAU ST</t>
  </si>
  <si>
    <t>SEATTLE</t>
  </si>
  <si>
    <t>98118-2841</t>
  </si>
  <si>
    <t>SEATTLE, WA 98118-2841</t>
  </si>
  <si>
    <t>The Harvest Conference Office</t>
  </si>
  <si>
    <t>PO Box 1179</t>
  </si>
  <si>
    <t>Mars</t>
  </si>
  <si>
    <t>16046-1179</t>
  </si>
  <si>
    <t>Mars, PA 16046-1179</t>
  </si>
  <si>
    <t>pghfmc@gmail.com</t>
  </si>
  <si>
    <t>Apollo Free Methodist Church</t>
  </si>
  <si>
    <t>1027 STATE ROUTE 56 E</t>
  </si>
  <si>
    <t>APOLLO</t>
  </si>
  <si>
    <t>15613-9745</t>
  </si>
  <si>
    <t>APOLLO, PA 15613-9745</t>
  </si>
  <si>
    <t>Char-Belle Vernon FMC</t>
  </si>
  <si>
    <t>608 Arch Street</t>
  </si>
  <si>
    <t>Belle Vernon</t>
  </si>
  <si>
    <t>Belle Vernon, PA 15012</t>
  </si>
  <si>
    <t>pghconfoffice@verizon.net</t>
  </si>
  <si>
    <t>Cove Run FMC</t>
  </si>
  <si>
    <t>Laureen Livingston</t>
  </si>
  <si>
    <t>345 YAUGER HOLLOW RD</t>
  </si>
  <si>
    <t>LEMONT FRNC</t>
  </si>
  <si>
    <t>15456-1217</t>
  </si>
  <si>
    <t>LEMONT FRNC, PA 15456-1217</t>
  </si>
  <si>
    <t>coverunchurch@breezeline.net</t>
  </si>
  <si>
    <t>Hopwood FMC</t>
  </si>
  <si>
    <t>Fannie Nicholson</t>
  </si>
  <si>
    <t>98 CONFER VISTA DR, Apt. #310</t>
  </si>
  <si>
    <t>UNIONTOWN</t>
  </si>
  <si>
    <t>15401-2261</t>
  </si>
  <si>
    <t>UNIONTOWN, PA 15401-2261</t>
  </si>
  <si>
    <t>Kiski Unity FMC</t>
  </si>
  <si>
    <t>Patty Bartoe</t>
  </si>
  <si>
    <t>29 GREENBRIAR DR</t>
  </si>
  <si>
    <t>LEECHBURG</t>
  </si>
  <si>
    <t>15656-8246</t>
  </si>
  <si>
    <t>LEECHBURG, PA 15656-8246</t>
  </si>
  <si>
    <t>pastorpaul7@windstream.net</t>
  </si>
  <si>
    <t>McClellandtown FMC</t>
  </si>
  <si>
    <t>641 BALD HILL CHURCH RD</t>
  </si>
  <si>
    <t>DILLINER</t>
  </si>
  <si>
    <t>15327-1683</t>
  </si>
  <si>
    <t>DILLINER, PA 15327-1683</t>
  </si>
  <si>
    <t>higbee1234@outlook.com</t>
  </si>
  <si>
    <t>Monacrest FMC</t>
  </si>
  <si>
    <t>Valerie Cichoski</t>
  </si>
  <si>
    <t>995 ELMIRA ST</t>
  </si>
  <si>
    <t>MONACA</t>
  </si>
  <si>
    <t>15061-1118</t>
  </si>
  <si>
    <t>MONACA, PA 15061-1118</t>
  </si>
  <si>
    <t>valcichoski@gmail.com</t>
  </si>
  <si>
    <t>New Brighton FMC</t>
  </si>
  <si>
    <t>925 11th ST</t>
  </si>
  <si>
    <t>NEW BRIGHTON</t>
  </si>
  <si>
    <t>15066-1621</t>
  </si>
  <si>
    <t>NEW BRIGHTON, PA 15066-1621</t>
  </si>
  <si>
    <t>nbfmchurch@gmail.com</t>
  </si>
  <si>
    <t>Ohioville FMC WMI</t>
  </si>
  <si>
    <t>Pam Braun</t>
  </si>
  <si>
    <t>6464 Tusca Rd</t>
  </si>
  <si>
    <t>Midland, PA 15059</t>
  </si>
  <si>
    <t>Rochester FMC</t>
  </si>
  <si>
    <t>480 JEFFERSON ST</t>
  </si>
  <si>
    <t>15074-1882</t>
  </si>
  <si>
    <t>ROCHESTER, PA 15074-1882</t>
  </si>
  <si>
    <t>cdthomas81@gmail.com</t>
  </si>
  <si>
    <t>Sarver FMC, WMI</t>
  </si>
  <si>
    <t>509 SARVER RD</t>
  </si>
  <si>
    <t>SARVER</t>
  </si>
  <si>
    <t>16055-9212</t>
  </si>
  <si>
    <t>SARVER, PA 16055-9212</t>
  </si>
  <si>
    <t>palinhart@yahoo.com</t>
  </si>
  <si>
    <t>New Life FMC</t>
  </si>
  <si>
    <t>2370 PITTSBURGH RD</t>
  </si>
  <si>
    <t>SMOCK</t>
  </si>
  <si>
    <t>15480-2018</t>
  </si>
  <si>
    <t>SMOCK, PA 15480-2018</t>
  </si>
  <si>
    <t>Keirstenlee93@gmail.com</t>
  </si>
  <si>
    <t>Uniontown Free Methodist Church</t>
  </si>
  <si>
    <t>Pastor Kayleigh Clark</t>
  </si>
  <si>
    <t>210 Barbara Street</t>
  </si>
  <si>
    <t>15401-3742</t>
  </si>
  <si>
    <t>UNIONTOWN, PA 15401-3742</t>
  </si>
  <si>
    <t>uniontownfmc@gmail.com</t>
  </si>
  <si>
    <t>UFMC Worship Team</t>
  </si>
  <si>
    <t>Kelly Leonard</t>
  </si>
  <si>
    <t>210 Barbara ST</t>
  </si>
  <si>
    <t>UNIONTOWN, PA 15401</t>
  </si>
  <si>
    <t>The Foundery Church</t>
  </si>
  <si>
    <t>1340 WASHINGTON PIKE</t>
  </si>
  <si>
    <t>WELLSBURG</t>
  </si>
  <si>
    <t>WV</t>
  </si>
  <si>
    <t>26070-2226</t>
  </si>
  <si>
    <t>WELLSBURG, WV 26070-2226</t>
  </si>
  <si>
    <t>office@thefoundery.church</t>
  </si>
  <si>
    <t>Bangor FMC WMI</t>
  </si>
  <si>
    <t>Eva Shinault</t>
  </si>
  <si>
    <t>304 W Douglas</t>
  </si>
  <si>
    <t>BANGOR</t>
  </si>
  <si>
    <t>49013-1163</t>
  </si>
  <si>
    <t>BANGOR, MI 49013-1163</t>
  </si>
  <si>
    <t>Cornerstone Comm Church</t>
  </si>
  <si>
    <t>Homer Root</t>
  </si>
  <si>
    <t>3030 BECKLEY RD</t>
  </si>
  <si>
    <t>BATTLE CREEK</t>
  </si>
  <si>
    <t>49015-9388</t>
  </si>
  <si>
    <t>BATTLE CREEK, MI 49015-9388</t>
  </si>
  <si>
    <t>cornerstonechurchbc@yahoo.com</t>
  </si>
  <si>
    <t>Ferndale FMC: Discovery SS Class</t>
  </si>
  <si>
    <t>1950 WOODWARD HTS</t>
  </si>
  <si>
    <t>FERNDALE</t>
  </si>
  <si>
    <t>48220-1520</t>
  </si>
  <si>
    <t>FERNDALE, MI 48220-1520</t>
  </si>
  <si>
    <t>Hillsdale FMC Jr Church</t>
  </si>
  <si>
    <t>150 Union St.</t>
  </si>
  <si>
    <t>Hillsdale</t>
  </si>
  <si>
    <t>Hillsdale, MI 49242</t>
  </si>
  <si>
    <t>Jackson FMC - Jr High</t>
  </si>
  <si>
    <t>Josh Turner</t>
  </si>
  <si>
    <t>2829 PARK DR</t>
  </si>
  <si>
    <t>JACKSON</t>
  </si>
  <si>
    <t>49203-4868</t>
  </si>
  <si>
    <t>JACKSON, MI 49203-4868</t>
  </si>
  <si>
    <t>Jackson FMC - SS Class</t>
  </si>
  <si>
    <t>Sharon Hastings</t>
  </si>
  <si>
    <t xml:space="preserve">PO Box 452 </t>
  </si>
  <si>
    <t>Spring Arbor</t>
  </si>
  <si>
    <t>Spring Arbor, MI 49283</t>
  </si>
  <si>
    <t>Pulaski FMC</t>
  </si>
  <si>
    <t>Mike Warner</t>
  </si>
  <si>
    <t>9975 MILLER RD</t>
  </si>
  <si>
    <t>HANOVER</t>
  </si>
  <si>
    <t>49241-9755</t>
  </si>
  <si>
    <t>HANOVER, MI 49241-9755</t>
  </si>
  <si>
    <t>office@pulaskifmc.com</t>
  </si>
  <si>
    <t>The Arbor Church</t>
  </si>
  <si>
    <t>120 E Main St</t>
  </si>
  <si>
    <t>The Arbor Church Ambassador SS Class</t>
  </si>
  <si>
    <t>Gary Shaw</t>
  </si>
  <si>
    <t>PO Box 399</t>
  </si>
  <si>
    <t>The Arbor Vine Life Sunday School</t>
  </si>
  <si>
    <t>Stan Garn</t>
  </si>
  <si>
    <t>PO BOX 399</t>
  </si>
  <si>
    <t>SPRING ARBOR</t>
  </si>
  <si>
    <t>49283-0399</t>
  </si>
  <si>
    <t>SPRING ARBOR, MI 49283-0399</t>
  </si>
  <si>
    <t>Watervliet Free Methodist Church</t>
  </si>
  <si>
    <t>Pastor Brian Hall</t>
  </si>
  <si>
    <t>7734 Paw Paw Ave</t>
  </si>
  <si>
    <t>Watervliet</t>
  </si>
  <si>
    <t>Watervliet, MI 49098</t>
  </si>
  <si>
    <t>watervlietfmchurch@gmail.com</t>
  </si>
  <si>
    <t>Ypsilanti FMC-Children's Ministries</t>
  </si>
  <si>
    <t>Tammy Walker</t>
  </si>
  <si>
    <t>1800 PACKARD RD</t>
  </si>
  <si>
    <t>YPSILANTI</t>
  </si>
  <si>
    <t>48197-1817</t>
  </si>
  <si>
    <t>YPSILANTI, MI 48197-1817</t>
  </si>
  <si>
    <t>tammy.walker@ypsifree.org</t>
  </si>
  <si>
    <t>Hands of Hope FMC</t>
  </si>
  <si>
    <t>Henry Ausby &amp; Alyson Thomas</t>
  </si>
  <si>
    <t>270 Robinson Street</t>
  </si>
  <si>
    <t>Binghamton</t>
  </si>
  <si>
    <t>Binghamton, NY 13904</t>
  </si>
  <si>
    <t>hohfm2018@gmail.com</t>
  </si>
  <si>
    <t>Canasawacta Valley FMC</t>
  </si>
  <si>
    <t>4299 STATE HIGHWAY 23</t>
  </si>
  <si>
    <t>NORWICH</t>
  </si>
  <si>
    <t>13815-3604</t>
  </si>
  <si>
    <t>NORWICH, NY 13815-3604</t>
  </si>
  <si>
    <t>jamie@cvfree.church</t>
  </si>
  <si>
    <t>Rose FMC</t>
  </si>
  <si>
    <t>Ellen Young</t>
  </si>
  <si>
    <t>PO BOX 12</t>
  </si>
  <si>
    <t>ROSE</t>
  </si>
  <si>
    <t>14542-0012</t>
  </si>
  <si>
    <t>ROSE, NY 14542-0012</t>
  </si>
  <si>
    <t>New Life Ministries</t>
  </si>
  <si>
    <t>201 Hill Ave</t>
  </si>
  <si>
    <t>Endicott</t>
  </si>
  <si>
    <t>Endicott, NY 13760</t>
  </si>
  <si>
    <t>info@newlifefm.com</t>
  </si>
  <si>
    <t>Crossroads Community Webster</t>
  </si>
  <si>
    <t>Dorothy Barnhill &amp; Ruth Freitas</t>
  </si>
  <si>
    <t>541 Webster Ave</t>
  </si>
  <si>
    <t>Rochester, NY 14609</t>
  </si>
  <si>
    <t>Iglesia Evangelica Metodista Libre</t>
  </si>
  <si>
    <t>Eunice Guzman</t>
  </si>
  <si>
    <t>PO Box 271674</t>
  </si>
  <si>
    <t>Corpus Christi</t>
  </si>
  <si>
    <t>TX</t>
  </si>
  <si>
    <t>Corpus Christi, TX 78427</t>
  </si>
  <si>
    <t>staffing@therdhconnection.com</t>
  </si>
  <si>
    <t>Praise Christian Fellowship</t>
  </si>
  <si>
    <t>1109 N MAIN ST</t>
  </si>
  <si>
    <t>MCALLEN</t>
  </si>
  <si>
    <t>78501-4330</t>
  </si>
  <si>
    <t>MCALLEN, TX 78501-4330</t>
  </si>
  <si>
    <t>mcallenpcffmc@yahoo.com</t>
  </si>
  <si>
    <t>Rockwall FMC CLC</t>
  </si>
  <si>
    <t>CLC</t>
  </si>
  <si>
    <t>315 DALTON RD</t>
  </si>
  <si>
    <t>ROCKWALL</t>
  </si>
  <si>
    <t>75087-7062</t>
  </si>
  <si>
    <t>ROCKWALL, TX 75087-7062</t>
  </si>
  <si>
    <t>urbks@ontarget-tx.com</t>
  </si>
  <si>
    <t>Rockwall FMC: Esther's SS Class</t>
  </si>
  <si>
    <t>rajmooney@hotmail.com</t>
  </si>
  <si>
    <t>Albion FMC</t>
  </si>
  <si>
    <t>Sue Sherrick</t>
  </si>
  <si>
    <t>375 County Rd. 820 North</t>
  </si>
  <si>
    <t>Albion</t>
  </si>
  <si>
    <t>Albion, IL 62806</t>
  </si>
  <si>
    <t>suelew72@yahoo.com</t>
  </si>
  <si>
    <t>Wesley FM-Missions Team</t>
  </si>
  <si>
    <t>Teresa Joyce</t>
  </si>
  <si>
    <t>3017 W 8th ST</t>
  </si>
  <si>
    <t>ANDERSON</t>
  </si>
  <si>
    <t>IN</t>
  </si>
  <si>
    <t>46011-1903</t>
  </si>
  <si>
    <t>ANDERSON, IN 46011-1903</t>
  </si>
  <si>
    <t>teresaljoyce@comcast.net</t>
  </si>
  <si>
    <t>Attica FMC CLC</t>
  </si>
  <si>
    <t>1212 E Main Ste B</t>
  </si>
  <si>
    <t xml:space="preserve">               </t>
  </si>
  <si>
    <t>ATTICA</t>
  </si>
  <si>
    <t>47918-1137</t>
  </si>
  <si>
    <t>ATTICA, IN 47918-1137</t>
  </si>
  <si>
    <t>Bedford First FMC</t>
  </si>
  <si>
    <t>630 R ST</t>
  </si>
  <si>
    <t>BEDFORD</t>
  </si>
  <si>
    <t>47421-2034</t>
  </si>
  <si>
    <t>BEDFORD, IN 47421-2034</t>
  </si>
  <si>
    <t>Bedford First FMC, WMI</t>
  </si>
  <si>
    <t>Trish Ueltschi</t>
  </si>
  <si>
    <t>1010 SPENCER PIKE RD</t>
  </si>
  <si>
    <t>SPRINGVILLE</t>
  </si>
  <si>
    <t>47462-5371</t>
  </si>
  <si>
    <t>SPRINGVILLE, IN 47462-5371</t>
  </si>
  <si>
    <t>Bedford 1st FMC-Ambassadors Class</t>
  </si>
  <si>
    <t>Reed Beard</t>
  </si>
  <si>
    <t>500 GREENTREE DR UNIT 5</t>
  </si>
  <si>
    <t>47421-9675</t>
  </si>
  <si>
    <t>BEDFORD, IN 47421-9675</t>
  </si>
  <si>
    <t>Bedford FMC Light &amp; Life SS</t>
  </si>
  <si>
    <t>Mike Mullis</t>
  </si>
  <si>
    <t>212 HAYDEN DR</t>
  </si>
  <si>
    <t>47421-9225</t>
  </si>
  <si>
    <t>BEDFORD, IN 47421-9225</t>
  </si>
  <si>
    <t>Bloomington FMC  VBS</t>
  </si>
  <si>
    <t>Vacation Bible School</t>
  </si>
  <si>
    <t>1121 S LINCOLN ST</t>
  </si>
  <si>
    <t>BLOOMINGTON</t>
  </si>
  <si>
    <t>47401-5847</t>
  </si>
  <si>
    <t>BLOOMINGTON, IN 47401-5847</t>
  </si>
  <si>
    <t>bfmchurch@bloomingtonfreemethodist.org</t>
  </si>
  <si>
    <t>Boswell FMC</t>
  </si>
  <si>
    <t>Judy Harper</t>
  </si>
  <si>
    <t>PO BOX 136</t>
  </si>
  <si>
    <t>BOSWELL</t>
  </si>
  <si>
    <t>47921-0367</t>
  </si>
  <si>
    <t>BOSWELL, IN 47921-0367</t>
  </si>
  <si>
    <t>Bridgeport FMC-Willing Workers</t>
  </si>
  <si>
    <t>Sarah Keneipp</t>
  </si>
  <si>
    <t>4764 ADAMS LN</t>
  </si>
  <si>
    <t>SUMNER</t>
  </si>
  <si>
    <t>62466-4734</t>
  </si>
  <si>
    <t>SUMNER, IL 62466-4734</t>
  </si>
  <si>
    <t>The Rock FMC</t>
  </si>
  <si>
    <t>ATTN: Connie Buterbaugh</t>
  </si>
  <si>
    <t>3990 ROCKY FORD RD</t>
  </si>
  <si>
    <t>COLUMBUS</t>
  </si>
  <si>
    <t>47203-2584</t>
  </si>
  <si>
    <t>COLUMBUS, IN 47203-2584</t>
  </si>
  <si>
    <t>columbustherock@gmail.com</t>
  </si>
  <si>
    <t>Cowling FMC</t>
  </si>
  <si>
    <t>Sally Daniel</t>
  </si>
  <si>
    <t>6379 E 270 Rd</t>
  </si>
  <si>
    <t>Mt. Carmel</t>
  </si>
  <si>
    <t>Mt. Carmel, IL 62863</t>
  </si>
  <si>
    <t>cowlingfreemethodist@gmail.com</t>
  </si>
  <si>
    <t>The Journey FMC</t>
  </si>
  <si>
    <t>3536 W WALLEN RD</t>
  </si>
  <si>
    <t>FORT WAYNE</t>
  </si>
  <si>
    <t>46818-2236</t>
  </si>
  <si>
    <t>FORT WAYNE, IN 46818-2236</t>
  </si>
  <si>
    <t>Trinity FMC</t>
  </si>
  <si>
    <t>8650 GRAND BLVD</t>
  </si>
  <si>
    <t>MERRILLVILLE</t>
  </si>
  <si>
    <t>46410-7421</t>
  </si>
  <si>
    <t>MERRILLVILLE, IN 46410-7421</t>
  </si>
  <si>
    <t>Indianapolis First FMC</t>
  </si>
  <si>
    <t>Cathy DeVries</t>
  </si>
  <si>
    <t>2024 E. 12th St.</t>
  </si>
  <si>
    <t>INDIANAPOLIS</t>
  </si>
  <si>
    <t>46201-1118</t>
  </si>
  <si>
    <t>INDIANAPOLIS, IN 46201-1118</t>
  </si>
  <si>
    <t>indyfirstchurch@gmail.com</t>
  </si>
  <si>
    <t>8264 E Co Rd 100 S</t>
  </si>
  <si>
    <t>Avon</t>
  </si>
  <si>
    <t>Avon, IN 46123</t>
  </si>
  <si>
    <t>L&amp;L FMC-Life Youth Group</t>
  </si>
  <si>
    <t>L&amp;L FMC Children's Group</t>
  </si>
  <si>
    <t>Brookside FMC: WMI</t>
  </si>
  <si>
    <t>Theresa Gordon</t>
  </si>
  <si>
    <t>2672 South 200 E.</t>
  </si>
  <si>
    <t>KOKOMO</t>
  </si>
  <si>
    <t>46902-5524</t>
  </si>
  <si>
    <t>KOKOMO, IN 46902-5524</t>
  </si>
  <si>
    <t>theresagordon53@aol.com</t>
  </si>
  <si>
    <t>Mt Zion FMC</t>
  </si>
  <si>
    <t>Jackson Moore</t>
  </si>
  <si>
    <t>13048 S 400 W</t>
  </si>
  <si>
    <t>46901-7513</t>
  </si>
  <si>
    <t>KOKOMO, IN 46901-7513</t>
  </si>
  <si>
    <t>jackson@mtzionkokomo.com</t>
  </si>
  <si>
    <t>Brookside FMC-Adult SS Class</t>
  </si>
  <si>
    <t>Working with Faith: Shirley Singh</t>
  </si>
  <si>
    <t>1912 W Havens Street</t>
  </si>
  <si>
    <t>Kokomo</t>
  </si>
  <si>
    <t>Kokomo, IN 46901</t>
  </si>
  <si>
    <t>Mooresville FMC - Children</t>
  </si>
  <si>
    <t>20 STAR LN</t>
  </si>
  <si>
    <t>MOORESVILLE</t>
  </si>
  <si>
    <t>46158-1025</t>
  </si>
  <si>
    <t>MOORESVILLE, IN 46158-1025</t>
  </si>
  <si>
    <t>mooresvillefmc.treasurer@gmail.com</t>
  </si>
  <si>
    <t>Mooresville FMC</t>
  </si>
  <si>
    <t>Koinonia SS Class</t>
  </si>
  <si>
    <t>Marjorie Stoneberger</t>
  </si>
  <si>
    <t>423 West 5th Street</t>
  </si>
  <si>
    <t>MOUNT CARMEL</t>
  </si>
  <si>
    <t>MOUNT CARMEL, IL 62863</t>
  </si>
  <si>
    <t>Olney FMC - Shekinah SS</t>
  </si>
  <si>
    <t>Nancy Means</t>
  </si>
  <si>
    <t>3930 N GENTRY RD</t>
  </si>
  <si>
    <t>OLNEY</t>
  </si>
  <si>
    <t>62450-4730</t>
  </si>
  <si>
    <t>OLNEY, IL 62450-4730</t>
  </si>
  <si>
    <t>Petersburg FMC</t>
  </si>
  <si>
    <t>PO BOX 538</t>
  </si>
  <si>
    <t>PETERSBURG</t>
  </si>
  <si>
    <t>47567-0538</t>
  </si>
  <si>
    <t>PETERSBURG, IN 47567-0538</t>
  </si>
  <si>
    <t>markschlechty1@gmail.com</t>
  </si>
  <si>
    <t>Janet Goodrid</t>
  </si>
  <si>
    <t>I</t>
  </si>
  <si>
    <t>Liana</t>
  </si>
  <si>
    <t>Shaffer</t>
  </si>
  <si>
    <t>720 Audubon Dr.</t>
  </si>
  <si>
    <t>Evansville</t>
  </si>
  <si>
    <t>Liana Shaffer</t>
  </si>
  <si>
    <t>Evansville, IN 47715</t>
  </si>
  <si>
    <t>lbales3@outlook.com</t>
  </si>
  <si>
    <t>St Francisville FMC - Young Adults</t>
  </si>
  <si>
    <t>PO BOX 316</t>
  </si>
  <si>
    <t>ST FRANCISVLE</t>
  </si>
  <si>
    <t>62460-0316</t>
  </si>
  <si>
    <t>ST FRANCISVLE, IL 62460-0316</t>
  </si>
  <si>
    <t>St Francisville FMC - Seniors</t>
  </si>
  <si>
    <t>Island FMC: WMI</t>
  </si>
  <si>
    <t>Jerrie Roark</t>
  </si>
  <si>
    <t>3298 E 100th Ave</t>
  </si>
  <si>
    <t>62466-4418</t>
  </si>
  <si>
    <t>SUMNER, IL 62466-4418</t>
  </si>
  <si>
    <t>ianth21@yahoo.com</t>
  </si>
  <si>
    <t>Sugar Grove FMC - Francis Asbury SS Class</t>
  </si>
  <si>
    <t>3201 MCKEEN ST</t>
  </si>
  <si>
    <t>TERRE HAUTE</t>
  </si>
  <si>
    <t>47803-3889</t>
  </si>
  <si>
    <t>TERRE HAUTE, IN 47803-3889</t>
  </si>
  <si>
    <t>Jim Kelly/Encouragers   c/o VFMC</t>
  </si>
  <si>
    <t>PO 134</t>
  </si>
  <si>
    <t>Vincennes</t>
  </si>
  <si>
    <t>Vincennes, IN 47591</t>
  </si>
  <si>
    <t>Washington FMC WMI</t>
  </si>
  <si>
    <t>Pam Chatlin</t>
  </si>
  <si>
    <t>900 E WALNUT ST</t>
  </si>
  <si>
    <t>WASHINGTON</t>
  </si>
  <si>
    <t>47501-2852</t>
  </si>
  <si>
    <t>WASHINGTON, IN 47501-2852</t>
  </si>
  <si>
    <t>Open Door FMC Promise Land Dept</t>
  </si>
  <si>
    <t>20545 Riverwood Ave</t>
  </si>
  <si>
    <t>Noblesville</t>
  </si>
  <si>
    <t>Noblesville, IN 46060</t>
  </si>
  <si>
    <t>Towerview Church</t>
  </si>
  <si>
    <t>47 Towerview Crescent, BT19 6AZ</t>
  </si>
  <si>
    <t>Bangor, Co Down</t>
  </si>
  <si>
    <t>IE</t>
  </si>
  <si>
    <t xml:space="preserve">Bangor, Co Down, </t>
  </si>
  <si>
    <t>IRELAND</t>
  </si>
  <si>
    <t>pastor@towerviewchurch.co.uk</t>
  </si>
  <si>
    <t>Great Eccleston FMC, Missionary Giving Sec.</t>
  </si>
  <si>
    <t>Wyreside Farm, Rawcliffe Rd</t>
  </si>
  <si>
    <t>St Michaels Preston</t>
  </si>
  <si>
    <t>PR4 3UD</t>
  </si>
  <si>
    <t>UK</t>
  </si>
  <si>
    <t>PR4 3UD St Michaels Preston</t>
  </si>
  <si>
    <t>UNITED KINGDOM</t>
  </si>
  <si>
    <t>Mt Sharon FMC</t>
  </si>
  <si>
    <t>Sherry Carr</t>
  </si>
  <si>
    <t>1131 MOUNT ZION RD</t>
  </si>
  <si>
    <t>FAIRMONT</t>
  </si>
  <si>
    <t>26554-5082</t>
  </si>
  <si>
    <t>FAIRMONT, WV 26554-5082</t>
  </si>
  <si>
    <t>mtsharonfmchurch@yahoo.com</t>
  </si>
  <si>
    <t>Fairmont FMC - CLC</t>
  </si>
  <si>
    <t>Carl Radcliff</t>
  </si>
  <si>
    <t>910 MORGANTOWN AVE</t>
  </si>
  <si>
    <t>26554-4336</t>
  </si>
  <si>
    <t>FAIRMONT, WV 26554-4336</t>
  </si>
  <si>
    <t>GracePointe Fellowship, Adult SS Class</t>
  </si>
  <si>
    <t>PO BOX 87</t>
  </si>
  <si>
    <t>HARPER</t>
  </si>
  <si>
    <t>25851-0087</t>
  </si>
  <si>
    <t>HARPER, WV 25851-0087</t>
  </si>
  <si>
    <t>Hendricks FMC</t>
  </si>
  <si>
    <t>Elspeth DeLeurere</t>
  </si>
  <si>
    <t>PO BOX 44</t>
  </si>
  <si>
    <t>HENDRICKS</t>
  </si>
  <si>
    <t>26271-0044</t>
  </si>
  <si>
    <t>HENDRICKS, WV 26271-0044</t>
  </si>
  <si>
    <t>mgrafton@frontiernet.net</t>
  </si>
  <si>
    <t>Hendricks FMC, Youth</t>
  </si>
  <si>
    <t>Milton FMC, WMI</t>
  </si>
  <si>
    <t>128 MARTIN DR</t>
  </si>
  <si>
    <t>BARBOURSVILLE</t>
  </si>
  <si>
    <t>25504-1220</t>
  </si>
  <si>
    <t>BARBOURSVILLE, WV 25504-1220</t>
  </si>
  <si>
    <t>Samaria FMC</t>
  </si>
  <si>
    <t>Att: Ann Padula</t>
  </si>
  <si>
    <t>600 Hileman Road</t>
  </si>
  <si>
    <t>FAIRMONT, WV 26525</t>
  </si>
  <si>
    <t>padula.ann@gmail.com</t>
  </si>
  <si>
    <t>Flat Rock FMC</t>
  </si>
  <si>
    <t>PO Box 78</t>
  </si>
  <si>
    <t>Flat Rock</t>
  </si>
  <si>
    <t>Flat Rock, IL 62427</t>
  </si>
  <si>
    <t>YOFMC -</t>
  </si>
  <si>
    <t>Elisha Fellowship</t>
  </si>
  <si>
    <t>HK</t>
  </si>
  <si>
    <t>YOFMC - Elisha Fellowship</t>
  </si>
  <si>
    <t>HONG KONG</t>
  </si>
  <si>
    <t>schellngsy@gmail.com</t>
  </si>
  <si>
    <t>KCFMC -</t>
  </si>
  <si>
    <t>Andrew Fellowship</t>
  </si>
  <si>
    <t>KCFMC - Andrew Fellowship</t>
  </si>
  <si>
    <t>cheung127yshan@gmail.com</t>
  </si>
  <si>
    <t>Preschool at Rockwall FMC</t>
  </si>
  <si>
    <t>Talena</t>
  </si>
  <si>
    <t>315 Dalton Road</t>
  </si>
  <si>
    <t>Rockwall</t>
  </si>
  <si>
    <t>Rockwall, TX 75087</t>
  </si>
  <si>
    <t>SteppingStones@RockwallFMC.org</t>
  </si>
  <si>
    <t>Japan FMC</t>
  </si>
  <si>
    <t>5-10-7 Yuzato Higashisumiyoshi-Ku</t>
  </si>
  <si>
    <t>Osaka-City  546-0013</t>
  </si>
  <si>
    <t>JP</t>
  </si>
  <si>
    <t xml:space="preserve">Osaka-City  546-0013, </t>
  </si>
  <si>
    <t>JAPAN</t>
  </si>
  <si>
    <t>Motley FMC</t>
  </si>
  <si>
    <t>Jim &amp; Sheri Johnson</t>
  </si>
  <si>
    <t>12386 Trout Lane SW</t>
  </si>
  <si>
    <t>Motley</t>
  </si>
  <si>
    <t>Motley, MN 56466</t>
  </si>
  <si>
    <t>pastorjim05@brainerd.net</t>
  </si>
  <si>
    <t>Philathean FMC: SS Class</t>
  </si>
  <si>
    <t>David Ferrell</t>
  </si>
  <si>
    <t>407 LIBERTY DR</t>
  </si>
  <si>
    <t>67460-2305</t>
  </si>
  <si>
    <t>MCPHERSON, KS 67460-2305</t>
  </si>
  <si>
    <t>Meadowood FMC</t>
  </si>
  <si>
    <t>16051 E DARTMOUTH AVE</t>
  </si>
  <si>
    <t>AURORA</t>
  </si>
  <si>
    <t>CO</t>
  </si>
  <si>
    <t>80013-1914</t>
  </si>
  <si>
    <t>AURORA, CO 80013-1914</t>
  </si>
  <si>
    <t>michael.spottsville@meadowood.org</t>
  </si>
  <si>
    <t>Green Oak FMC</t>
  </si>
  <si>
    <t>Patricia Welter</t>
  </si>
  <si>
    <t>10111 FIELDCREST DR</t>
  </si>
  <si>
    <t>BRIGHTON</t>
  </si>
  <si>
    <t>48116-8319</t>
  </si>
  <si>
    <t>BRIGHTON, MI 48116-8319</t>
  </si>
  <si>
    <t>churchoffice@gofmc.org</t>
  </si>
  <si>
    <t>First FMC</t>
  </si>
  <si>
    <t>Heather Blackburn</t>
  </si>
  <si>
    <t>PO BOX 9999</t>
  </si>
  <si>
    <t>SPOKANE</t>
  </si>
  <si>
    <t>SPOKANE, WA 99209</t>
  </si>
  <si>
    <t>office@ffmwired.com</t>
  </si>
  <si>
    <t>Taiwan Annual Conference Sisters Ministry</t>
  </si>
  <si>
    <t>Chinese Free Methodist Church  9F., No. 36,</t>
  </si>
  <si>
    <t>Zihciang 1st Rd., Cianjin District</t>
  </si>
  <si>
    <t>Kaohsiung City 80141</t>
  </si>
  <si>
    <t>TW</t>
  </si>
  <si>
    <t xml:space="preserve">Kaohsiung City 80141, </t>
  </si>
  <si>
    <t>TAIWAN</t>
  </si>
  <si>
    <t>cfmc.tw@gmail.com</t>
  </si>
  <si>
    <t>Somerset Beach FMC</t>
  </si>
  <si>
    <t xml:space="preserve">Dan Thompson    </t>
  </si>
  <si>
    <t>14638 Crestridge Dr</t>
  </si>
  <si>
    <t>Cement City</t>
  </si>
  <si>
    <t>Cement City, MI 49233</t>
  </si>
  <si>
    <t>dan14638@gmail.com</t>
  </si>
  <si>
    <t>West Valley FMC</t>
  </si>
  <si>
    <t>100 E 1st St</t>
  </si>
  <si>
    <t>FRUITLAND</t>
  </si>
  <si>
    <t>83619-2617</t>
  </si>
  <si>
    <t>FRUITLAND, ID 83619-2617</t>
  </si>
  <si>
    <t>westvalleychurchoffice@gmail.com</t>
  </si>
  <si>
    <t>Rev. Ranay Brown</t>
  </si>
  <si>
    <t>1014 Maple Street</t>
  </si>
  <si>
    <t>ALBION</t>
  </si>
  <si>
    <t>49224-0146</t>
  </si>
  <si>
    <t>ALBION, MI 49224-0146</t>
  </si>
  <si>
    <t>revranaybrown@comcast.net</t>
  </si>
  <si>
    <t>Christ Community Church</t>
  </si>
  <si>
    <t>Lauren Heath</t>
  </si>
  <si>
    <t>4078 MILGEN RD</t>
  </si>
  <si>
    <t>GA</t>
  </si>
  <si>
    <t>31907-1298</t>
  </si>
  <si>
    <t>COLUMBUS, GA 31907-1298</t>
  </si>
  <si>
    <t>lauren@ccclive.org</t>
  </si>
  <si>
    <t>The Foundry Community Church</t>
  </si>
  <si>
    <t>120 N ASH ST</t>
  </si>
  <si>
    <t>ESCONDIDO</t>
  </si>
  <si>
    <t>92027-3058</t>
  </si>
  <si>
    <t>ESCONDIDO, CA 92027-3058</t>
  </si>
  <si>
    <t>admin@thefoundryescondido.com</t>
  </si>
  <si>
    <t>Edge Youth Ministry</t>
  </si>
  <si>
    <t>Pastor Greg Marsh</t>
  </si>
  <si>
    <t>220 N PARK ST</t>
  </si>
  <si>
    <t>LIVINGSTON</t>
  </si>
  <si>
    <t>53554-9780</t>
  </si>
  <si>
    <t>LIVINGSTON, WI 53554-9780</t>
  </si>
  <si>
    <t>gcmarsh@charter.net</t>
  </si>
  <si>
    <t>Verdugo Community Church</t>
  </si>
  <si>
    <t>Gail Linstrom</t>
  </si>
  <si>
    <t>4300 VERDUGO RD</t>
  </si>
  <si>
    <t>LOS ANGELES</t>
  </si>
  <si>
    <t>90065-4827</t>
  </si>
  <si>
    <t>LOS ANGELES, CA 90065-4827</t>
  </si>
  <si>
    <t>verdugofmc@gmail.com</t>
  </si>
  <si>
    <t>Renovation Kids</t>
  </si>
  <si>
    <t>1715 W CENTRE AVE</t>
  </si>
  <si>
    <t>PORTAGE</t>
  </si>
  <si>
    <t>49024-5386</t>
  </si>
  <si>
    <t>PORTAGE, MI 49024-5386</t>
  </si>
  <si>
    <t>steve@renovationmi.com</t>
  </si>
  <si>
    <t>Alexandria FMC</t>
  </si>
  <si>
    <t>Rev. Rick Martin</t>
  </si>
  <si>
    <t>402 8th Avenue E.</t>
  </si>
  <si>
    <t>Alexandria</t>
  </si>
  <si>
    <t>Alexandria, MN 56308</t>
  </si>
  <si>
    <t>alexfirstfmc@alexfirstfmc.org</t>
  </si>
  <si>
    <t>Faith Community Church</t>
  </si>
  <si>
    <t>Susan Stottsberry</t>
  </si>
  <si>
    <t>PO BOX 82</t>
  </si>
  <si>
    <t>CAMBRIDGE</t>
  </si>
  <si>
    <t>43725-0082</t>
  </si>
  <si>
    <t>CAMBRIDGE, OH 43725-0082</t>
  </si>
  <si>
    <t>susan1_2005z@yahoo.com</t>
  </si>
  <si>
    <t>Mount Ayr FMC</t>
  </si>
  <si>
    <t>ATT: Linda Huntsman</t>
  </si>
  <si>
    <t>103 N TYLER ST</t>
  </si>
  <si>
    <t>MOUNT AYR</t>
  </si>
  <si>
    <t>50854-1739</t>
  </si>
  <si>
    <t>MOUNT AYR, IA 50854-1739</t>
  </si>
  <si>
    <t>charlesweiman@yahoo.com</t>
  </si>
  <si>
    <t>Gallatin First FMC</t>
  </si>
  <si>
    <t>568 N WATER AVE</t>
  </si>
  <si>
    <t>GALLATIN</t>
  </si>
  <si>
    <t>37066-5455</t>
  </si>
  <si>
    <t>GALLATIN, TN 37066-5455</t>
  </si>
  <si>
    <t>taracarrick@gmail.com</t>
  </si>
  <si>
    <t>CCF BLAST Childrens Ministry</t>
  </si>
  <si>
    <t>PO BOX 33</t>
  </si>
  <si>
    <t>OMAK</t>
  </si>
  <si>
    <t>98841-0033</t>
  </si>
  <si>
    <t>OMAK, WA 98841-0033</t>
  </si>
  <si>
    <t>ccfblastkids@gmail.com</t>
  </si>
  <si>
    <t>Living Promise Fellowship</t>
  </si>
  <si>
    <t>7457 N ELMS RD</t>
  </si>
  <si>
    <t>FLUSHING</t>
  </si>
  <si>
    <t>48433-8823</t>
  </si>
  <si>
    <t>FLUSHING, MI 48433-8823</t>
  </si>
  <si>
    <t>dimontwool@gmail.com</t>
  </si>
  <si>
    <t>Bowmans Creek FMC</t>
  </si>
  <si>
    <t>6470 SR 309</t>
  </si>
  <si>
    <t>MONROE TWP</t>
  </si>
  <si>
    <t>18657-7707</t>
  </si>
  <si>
    <t>MONROE TWP, PA 18657-7707</t>
  </si>
  <si>
    <t>Open Arms Comm. Church</t>
  </si>
  <si>
    <t>71 Congress Street</t>
  </si>
  <si>
    <t>16701-3223</t>
  </si>
  <si>
    <t>BRADFORD, PA 16701-3223</t>
  </si>
  <si>
    <t>bradford@oachurch.com</t>
  </si>
  <si>
    <t>White House FMC</t>
  </si>
  <si>
    <t>2125 SPRINGHILL FURNACE RD</t>
  </si>
  <si>
    <t>SMITHFIELD</t>
  </si>
  <si>
    <t>15478-1429</t>
  </si>
  <si>
    <t>SMITHFIELD, PA 15478-1429</t>
  </si>
  <si>
    <t>whitehousesecretary@hotmail.com</t>
  </si>
  <si>
    <t>Ahava Ministries</t>
  </si>
  <si>
    <t>409 SW Dennis Ave.</t>
  </si>
  <si>
    <t>Hillsboro</t>
  </si>
  <si>
    <t>Hillsboro, OR 97123</t>
  </si>
  <si>
    <t>bookkeeper@ahavalove.org</t>
  </si>
  <si>
    <t>The Crossing FMC Franklin</t>
  </si>
  <si>
    <t>202 WILSON AVE</t>
  </si>
  <si>
    <t>OIL CITY</t>
  </si>
  <si>
    <t>16301-2446</t>
  </si>
  <si>
    <t>OIL CITY, PA 16301-2446</t>
  </si>
  <si>
    <t>Living Water FMC</t>
  </si>
  <si>
    <t>230 ENKA AVE</t>
  </si>
  <si>
    <t>ORLANDO</t>
  </si>
  <si>
    <t>32835-1920</t>
  </si>
  <si>
    <t>ORLANDO, FL 32835-1920</t>
  </si>
  <si>
    <t>Mountain View FMC Kids</t>
  </si>
  <si>
    <t>Kids</t>
  </si>
  <si>
    <t>1475 SW 35th ST</t>
  </si>
  <si>
    <t>REDMOND</t>
  </si>
  <si>
    <t>97756-9805</t>
  </si>
  <si>
    <t>REDMOND, OR 97756-9805</t>
  </si>
  <si>
    <t>mvfkids@gmail.com</t>
  </si>
  <si>
    <t>Edgar</t>
  </si>
  <si>
    <t>Garcia</t>
  </si>
  <si>
    <t>703 SW Cedar Hill Dr</t>
  </si>
  <si>
    <t>Madras</t>
  </si>
  <si>
    <t>Edgar Garcia</t>
  </si>
  <si>
    <t>Madras, OR 97741</t>
  </si>
  <si>
    <t>edgar@madrasfmc.com</t>
  </si>
  <si>
    <t>Oxford FMC</t>
  </si>
  <si>
    <t>PO BOX 63</t>
  </si>
  <si>
    <t>OXFORD</t>
  </si>
  <si>
    <t>48371-0063</t>
  </si>
  <si>
    <t>OXFORD, MI 48371-0063</t>
  </si>
  <si>
    <t>office@ofmchurch.org</t>
  </si>
  <si>
    <t>Pathfinder  Free Methodist</t>
  </si>
  <si>
    <t>626 Lawrence Rd</t>
  </si>
  <si>
    <t>Brockport</t>
  </si>
  <si>
    <t>Brockport, NY 14420</t>
  </si>
  <si>
    <t>pdmieney@gmail.com</t>
  </si>
  <si>
    <t>Mt Pleasant Church</t>
  </si>
  <si>
    <t>40061 CANADOHTA LAKE RD</t>
  </si>
  <si>
    <t>SPARTANSBURG</t>
  </si>
  <si>
    <t>16434-2513</t>
  </si>
  <si>
    <t>SPARTANSBURG, PA 16434-2513</t>
  </si>
  <si>
    <t>Touched by Grace Ministries</t>
  </si>
  <si>
    <t>604 23rd ST SW</t>
  </si>
  <si>
    <t>MASON CITY</t>
  </si>
  <si>
    <t>50401-6406</t>
  </si>
  <si>
    <t>MASON CITY, IA 50401-6406</t>
  </si>
  <si>
    <t>pastorjackifmc@gmail.com</t>
  </si>
  <si>
    <t>Holiday FMC</t>
  </si>
  <si>
    <t>5330 WHIPPOORWILL DR</t>
  </si>
  <si>
    <t>HOLIDAY</t>
  </si>
  <si>
    <t>34690-2143</t>
  </si>
  <si>
    <t>HOLIDAY, FL 34690-2143</t>
  </si>
  <si>
    <t>leilonih@gmail.com</t>
  </si>
  <si>
    <t>South Dade Haitian FMC</t>
  </si>
  <si>
    <t>303 W LUCY ST</t>
  </si>
  <si>
    <t>FLORIDA CITY</t>
  </si>
  <si>
    <t>33034-2242</t>
  </si>
  <si>
    <t>FLORIDA CITY, FL 33034-2242</t>
  </si>
  <si>
    <t>yvonthelemaque@gmail.com</t>
  </si>
  <si>
    <t>Journey Church</t>
  </si>
  <si>
    <t>PO BOX 322</t>
  </si>
  <si>
    <t>SHERWOOD</t>
  </si>
  <si>
    <t>97140-0322</t>
  </si>
  <si>
    <t>SHERWOOD, OR 97140-0322</t>
  </si>
  <si>
    <t>scott@journeysherwood.org</t>
  </si>
  <si>
    <t>Pearce Children's Ministry</t>
  </si>
  <si>
    <t>4322 BUFFALO RD</t>
  </si>
  <si>
    <t>NORTH CHILI</t>
  </si>
  <si>
    <t>14514-1204</t>
  </si>
  <si>
    <t>NORTH CHILI, NY 14514-1204</t>
  </si>
  <si>
    <t>P4kinfo@pearcechurch.org</t>
  </si>
  <si>
    <t>Women In Ministry Bible Study</t>
  </si>
  <si>
    <t>1261 Toppers Road</t>
  </si>
  <si>
    <t>Greensburg</t>
  </si>
  <si>
    <t>Greensburg, PA 15601</t>
  </si>
  <si>
    <t>connect@fmcgreensburg.org</t>
  </si>
  <si>
    <t>1231 Poyntz Avenue</t>
  </si>
  <si>
    <t>Manhattan</t>
  </si>
  <si>
    <t>Manhattan, KS 66502</t>
  </si>
  <si>
    <t>manhattanfmchurch@yahoo.com</t>
  </si>
  <si>
    <t>Bethel</t>
  </si>
  <si>
    <t>Root</t>
  </si>
  <si>
    <t>1781 S GREEN RD</t>
  </si>
  <si>
    <t>LAKE CITY</t>
  </si>
  <si>
    <t>49651-8701</t>
  </si>
  <si>
    <t>Bethel Root</t>
  </si>
  <si>
    <t>LAKE CITY, MI 49651-8701</t>
  </si>
  <si>
    <t>rexbethel.root@gmail.com</t>
  </si>
  <si>
    <t>Port of Grace Caregiver Support</t>
  </si>
  <si>
    <t>6195 E Highway 80</t>
  </si>
  <si>
    <t>#A-10</t>
  </si>
  <si>
    <t>Abilene</t>
  </si>
  <si>
    <t>Abilene, TX 79601</t>
  </si>
  <si>
    <t>renoportofgrace@gmail.com</t>
  </si>
  <si>
    <t>New Hope Worship Center</t>
  </si>
  <si>
    <t>734 22nd St</t>
  </si>
  <si>
    <t>Charleston</t>
  </si>
  <si>
    <t>Charleston, IL 61920</t>
  </si>
  <si>
    <t>harmonfamily@ymail.com</t>
  </si>
  <si>
    <t>Standish Free Methodist Church</t>
  </si>
  <si>
    <t>PO Box 217</t>
  </si>
  <si>
    <t>Standish</t>
  </si>
  <si>
    <t>48658-0217</t>
  </si>
  <si>
    <t>Standish, MI 48658-0217</t>
  </si>
  <si>
    <t>St. Paul's</t>
  </si>
  <si>
    <t>813 E College Ave</t>
  </si>
  <si>
    <t>stpaulsfmc@gmail.com</t>
  </si>
  <si>
    <t xml:space="preserve"> The Forge Student Ministries</t>
  </si>
  <si>
    <t>scottcoffer@rocketmail.com</t>
  </si>
  <si>
    <t>Faith and Fellowship Sunday School Class</t>
  </si>
  <si>
    <t>C/O Mary Mace</t>
  </si>
  <si>
    <t>7106 Lake Road</t>
  </si>
  <si>
    <t>Montrose</t>
  </si>
  <si>
    <t>Montrose, MI 48457</t>
  </si>
  <si>
    <t>Big Rapids Free Methodist Church</t>
  </si>
  <si>
    <t>204 W Pere Marquette</t>
  </si>
  <si>
    <t>Big Rapids</t>
  </si>
  <si>
    <t>Big Rapids, MI 49307</t>
  </si>
  <si>
    <t>kelseyrichards2022@gmail.com</t>
  </si>
  <si>
    <t>East C</t>
  </si>
  <si>
    <t>Scan/e-mail JPG child letters, tax info,</t>
  </si>
  <si>
    <t>profiles and photos per request</t>
  </si>
  <si>
    <t>to Keith/Julie Winslow</t>
  </si>
  <si>
    <t>Indianapolis</t>
  </si>
  <si>
    <t>Indianapolis, IN 46241</t>
  </si>
  <si>
    <t>Fertigs Family Church of Faith</t>
  </si>
  <si>
    <t>1652 Fertigs Rd</t>
  </si>
  <si>
    <t>Venus</t>
  </si>
  <si>
    <t>Venus, PA 16364</t>
  </si>
  <si>
    <t>fertigsfamilychurch@gmail.com</t>
  </si>
  <si>
    <t>Waynesboro First Methodist Church Youth Group</t>
  </si>
  <si>
    <t xml:space="preserve">PO Box 468 </t>
  </si>
  <si>
    <t>Waynesboro</t>
  </si>
  <si>
    <t>MS</t>
  </si>
  <si>
    <t>Waynesboro, MS 39367</t>
  </si>
  <si>
    <t>waynesborofirstmethodist@gmail.com</t>
  </si>
  <si>
    <t>Community of the Savior</t>
  </si>
  <si>
    <t>4 E Henrietta Rd</t>
  </si>
  <si>
    <t>Rochester, NY 14620</t>
  </si>
  <si>
    <t>office@cosmthope.org</t>
  </si>
  <si>
    <t>Waynesboro First Methodist Women's Groups</t>
  </si>
  <si>
    <t>PO Box 468</t>
  </si>
  <si>
    <t xml:space="preserve">Waynesboro </t>
  </si>
  <si>
    <t>Waynesboro , MS 39367</t>
  </si>
  <si>
    <t>beth.herring@hotmail.com</t>
  </si>
  <si>
    <t>Milan Free Methodist Church</t>
  </si>
  <si>
    <t>950 Arkona Rd.</t>
  </si>
  <si>
    <t>Milan</t>
  </si>
  <si>
    <t>Milan, MI 48160</t>
  </si>
  <si>
    <t>finance@MFMChurch.org</t>
  </si>
  <si>
    <t>Mission Community Church</t>
  </si>
  <si>
    <t>1429 Greenwood Dr NE</t>
  </si>
  <si>
    <t>Cullman</t>
  </si>
  <si>
    <t>AL</t>
  </si>
  <si>
    <t>Cullman, AL 35055</t>
  </si>
  <si>
    <t>mrs.olson719@gmail.com</t>
  </si>
  <si>
    <t>Crown Lane Free Methodist Sunday School</t>
  </si>
  <si>
    <t>Godson House Farm</t>
  </si>
  <si>
    <t>Catforth Road</t>
  </si>
  <si>
    <t>Preston</t>
  </si>
  <si>
    <t>PR4 0HE</t>
  </si>
  <si>
    <t>PR4 0HE Preston</t>
  </si>
  <si>
    <t>Hope Church Coldwater</t>
  </si>
  <si>
    <t>200 N Fremont St</t>
  </si>
  <si>
    <t>Coldwater</t>
  </si>
  <si>
    <t>Coldwater, MI 49036</t>
  </si>
  <si>
    <t>office@fmchurch.com</t>
  </si>
  <si>
    <t>Bloomington Free Methodist Church</t>
  </si>
  <si>
    <t>1121 S Lincoln St</t>
  </si>
  <si>
    <t>Bloomington</t>
  </si>
  <si>
    <t>Bloomington, IN 47401</t>
  </si>
  <si>
    <t>treasurer@bfmchurch.org</t>
  </si>
  <si>
    <t>Corinth Free Methodist Church</t>
  </si>
  <si>
    <t>20 Hamilton Ave</t>
  </si>
  <si>
    <t>Corinth</t>
  </si>
  <si>
    <t>Corinth, NY 12822</t>
  </si>
  <si>
    <t>elwester8@gmail.com</t>
  </si>
  <si>
    <t>Mountainview Church</t>
  </si>
  <si>
    <t xml:space="preserve">7105 Alpine Way </t>
  </si>
  <si>
    <t xml:space="preserve">Yakima </t>
  </si>
  <si>
    <t>Yakima , WA 98908</t>
  </si>
  <si>
    <t>office@mountainview.fm</t>
  </si>
  <si>
    <t>Clay City Free Methodist Church</t>
  </si>
  <si>
    <t>901 White St</t>
  </si>
  <si>
    <t>Clay City</t>
  </si>
  <si>
    <t>Clay City, IN 47841</t>
  </si>
  <si>
    <t>rustysinders@yahoo.com</t>
  </si>
  <si>
    <t>Iowa City Free Methodist Church</t>
  </si>
  <si>
    <t>1600 ASHLYND CT</t>
  </si>
  <si>
    <t>Iowa City</t>
  </si>
  <si>
    <t>52240-7614</t>
  </si>
  <si>
    <t>Iowa City, IA 52240-7614</t>
  </si>
  <si>
    <t>fmciowacity@gmail.com</t>
  </si>
  <si>
    <t>F</t>
  </si>
  <si>
    <t>Chris</t>
  </si>
  <si>
    <t>McLaughlin</t>
  </si>
  <si>
    <t>Chris and Shari McLaughlin</t>
  </si>
  <si>
    <t>Chris and Shari</t>
  </si>
  <si>
    <t>22657 SW Pinehurst Dr</t>
  </si>
  <si>
    <t>Sherwood</t>
  </si>
  <si>
    <t>Sherwood, OR 97140</t>
  </si>
  <si>
    <t>Hillsboro FMC</t>
  </si>
  <si>
    <t>1400 Seymour Avenue</t>
  </si>
  <si>
    <t>Hillsboro, IL 62049</t>
  </si>
  <si>
    <t>Bridgeport Free Methodist Church</t>
  </si>
  <si>
    <t>473 E Chestnut Street</t>
  </si>
  <si>
    <t>Bridgeport</t>
  </si>
  <si>
    <t>Bridgeport, IL 62417</t>
  </si>
  <si>
    <t>lorencrask@gmail.com</t>
  </si>
  <si>
    <t>River City Kids</t>
  </si>
  <si>
    <t>3001 Lawrence Ave</t>
  </si>
  <si>
    <t>Lawrence</t>
  </si>
  <si>
    <t>Lawrence, KS 66047</t>
  </si>
  <si>
    <t>croberts@rcclawrence.org</t>
  </si>
  <si>
    <t>Life Connection Church/FMC of Modesto CAL</t>
  </si>
  <si>
    <t>1520 Rose Ave</t>
  </si>
  <si>
    <t>Modesto</t>
  </si>
  <si>
    <t>Modesto, CA 95355</t>
  </si>
  <si>
    <t>office@lifeconnection4christ.org</t>
  </si>
  <si>
    <t>Ujumbe FMC</t>
  </si>
  <si>
    <t>205 Grove Ave</t>
  </si>
  <si>
    <t>Dayton</t>
  </si>
  <si>
    <t>Dayton, OH 45404</t>
  </si>
  <si>
    <t>ujumbefmc@gmail.com</t>
  </si>
  <si>
    <t>Grace Free Methodist Church</t>
  </si>
  <si>
    <t>206 E. Main St.</t>
  </si>
  <si>
    <t>PO Box 25</t>
  </si>
  <si>
    <t>McConnell</t>
  </si>
  <si>
    <t>McConnell, IL 61050</t>
  </si>
  <si>
    <t>graceadmin@gracefmc.org</t>
  </si>
  <si>
    <t>Ypsilanti Free Methodist Church</t>
  </si>
  <si>
    <t>8343 Blue Jay Drive</t>
  </si>
  <si>
    <t>Ypsilanti</t>
  </si>
  <si>
    <t>Ypsilanti, MI 48197</t>
  </si>
  <si>
    <t>cathy.glei@ypsifree.org</t>
  </si>
  <si>
    <t>Rivesville FMC</t>
  </si>
  <si>
    <t>PO Box 522</t>
  </si>
  <si>
    <t>Rivesville</t>
  </si>
  <si>
    <t>26588-0522</t>
  </si>
  <si>
    <t>Rivesville, WV 26588-0522</t>
  </si>
  <si>
    <t>DLC042562@AOL.COM</t>
  </si>
  <si>
    <t>Hookstown FMC</t>
  </si>
  <si>
    <t>255 Main Street</t>
  </si>
  <si>
    <t>PO Box 352</t>
  </si>
  <si>
    <t>Hookstown</t>
  </si>
  <si>
    <t>Hookstown, PA 15050</t>
  </si>
  <si>
    <t>Oakland FMC</t>
  </si>
  <si>
    <t>1551 Etruria St</t>
  </si>
  <si>
    <t>East Liverpool</t>
  </si>
  <si>
    <t>43920-2151</t>
  </si>
  <si>
    <t>East Liverpool, OH 43920-2151</t>
  </si>
  <si>
    <t>Edgewood Church</t>
  </si>
  <si>
    <t>111 E. Jefferson Rd.</t>
  </si>
  <si>
    <t>Pittsford</t>
  </si>
  <si>
    <t>Pittsford, NY 14534</t>
  </si>
  <si>
    <t>dariaR@edgewoodroc.org</t>
  </si>
  <si>
    <t>Salty Ministries Inc</t>
  </si>
  <si>
    <t>160 E Granada Blvd</t>
  </si>
  <si>
    <t>Ormond Beach</t>
  </si>
  <si>
    <t>Ormond Beach, FL 32176</t>
  </si>
  <si>
    <t>kristen@salty.org</t>
  </si>
  <si>
    <t>Mountainview</t>
  </si>
  <si>
    <t>Church</t>
  </si>
  <si>
    <t>Yakima</t>
  </si>
  <si>
    <t>Yakima, WA 98908</t>
  </si>
  <si>
    <t>Bethany FMC</t>
  </si>
  <si>
    <t>PO Box 354</t>
  </si>
  <si>
    <t>Bethany</t>
  </si>
  <si>
    <t>Bethany, IL 61914</t>
  </si>
  <si>
    <t>ims501@yahoo.com</t>
  </si>
  <si>
    <t>Brocton Free Methodist Church</t>
  </si>
  <si>
    <t>9 Highland Avenue</t>
  </si>
  <si>
    <t>PO Box 506</t>
  </si>
  <si>
    <t>Brocton</t>
  </si>
  <si>
    <t>Brocton, NY 14716</t>
  </si>
  <si>
    <t>hoperisingbrocton@gmail.com</t>
  </si>
  <si>
    <t>church_num</t>
  </si>
  <si>
    <t>dd_acct_id</t>
  </si>
  <si>
    <t>church_id</t>
  </si>
  <si>
    <t>churchNum</t>
  </si>
  <si>
    <t>DDID</t>
  </si>
  <si>
    <t>churchName</t>
  </si>
  <si>
    <t>ICCM</t>
  </si>
  <si>
    <t>datayear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</si>
</sst>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4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C329075-0625-47A5-A22B-B14E32995E18}" autoFormatId="16" applyNumberFormats="0" applyBorderFormats="0" applyFontFormats="0" applyPatternFormats="0" applyAlignmentFormats="0" applyWidthHeightFormats="0">
  <queryTableRefresh nextId="8">
    <queryTableFields count="5">
      <queryTableField id="1" name="churchNum" tableColumnId="1"/>
      <queryTableField id="4" name="ICCM" tableColumnId="4"/>
      <queryTableField id="5" dataBound="0" tableColumnId="5"/>
      <queryTableField id="2" name="DDID" tableColumnId="2"/>
      <queryTableField id="3" name="churchNam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4AB6CBD-3BEC-4669-BA10-383716BB029B}" autoFormatId="16" applyNumberFormats="0" applyBorderFormats="0" applyFontFormats="0" applyPatternFormats="0" applyAlignmentFormats="0" applyWidthHeightFormats="0">
  <queryTableRefresh nextId="13">
    <queryTableFields count="12">
      <queryTableField id="1" name="RecordId" tableColumnId="1"/>
      <queryTableField id="12" dataBound="0" tableColumnId="12"/>
      <queryTableField id="2" name="AccountNumber" tableColumnId="2"/>
      <queryTableField id="3" name="FamilyId" tableColumnId="3"/>
      <queryTableField id="4" name="OrganizationName" tableColumnId="4"/>
      <queryTableField id="5" name="AddressLine1" tableColumnId="5"/>
      <queryTableField id="6" name="AddressLine2" tableColumnId="6"/>
      <queryTableField id="7" name="City" tableColumnId="7"/>
      <queryTableField id="8" name="State" tableColumnId="8"/>
      <queryTableField id="9" name="ZipPostal" tableColumnId="9"/>
      <queryTableField id="10" name="EmailAddress" tableColumnId="10"/>
      <queryTableField id="11" name="YTDDTota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46E31A-831A-4B32-8470-E681399C6BAE}" name="deductionsEPP_ICCM" displayName="deductionsEPP_ICCM" ref="A1:E216" tableType="queryTable" totalsRowShown="0">
  <autoFilter ref="A1:E216" xr:uid="{4946E31A-831A-4B32-8470-E681399C6BAE}"/>
  <tableColumns count="5">
    <tableColumn id="1" xr3:uid="{382E18BF-9EEE-4630-8B2A-D549CDBF6EA5}" uniqueName="1" name="churchNum" queryTableFieldId="1"/>
    <tableColumn id="4" xr3:uid="{6DC7578D-E254-4373-AD62-3921DE4F9AEE}" uniqueName="4" name="ICCM" queryTableFieldId="4" dataDxfId="0"/>
    <tableColumn id="5" xr3:uid="{C8D75C9E-2E0D-4DE1-91DA-7636FFDBDEAC}" uniqueName="5" name="datayear" queryTableFieldId="5"/>
    <tableColumn id="2" xr3:uid="{B6641B72-4DF9-4F20-939D-C99185854883}" uniqueName="2" name="DDID" queryTableFieldId="2"/>
    <tableColumn id="3" xr3:uid="{90873D81-AFC8-4780-A46E-0A14670C2C5F}" uniqueName="3" name="churchName" queryTableFieldId="3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4E6F2F-DE83-41F9-A86C-2D22C9A84B68}" name="ICCM_giving" displayName="ICCM_giving" ref="A1:L330" tableType="queryTable" totalsRowShown="0">
  <autoFilter ref="A1:L330" xr:uid="{164E6F2F-DE83-41F9-A86C-2D22C9A84B68}"/>
  <tableColumns count="12">
    <tableColumn id="1" xr3:uid="{9F2CC372-956C-4973-ACAC-13F878192E9C}" uniqueName="1" name="RecordId" queryTableFieldId="1"/>
    <tableColumn id="12" xr3:uid="{8E813C7B-379A-45BA-A79C-277014B0BB27}" uniqueName="12" name="church_id" queryTableFieldId="12" dataDxfId="11">
      <calculatedColumnFormula>IFERROR(INDEX(Table3[church_num],MATCH(ICCM_giving[[#This Row],[FamilyId]],Table3[dd_acct_id],0)),"")</calculatedColumnFormula>
    </tableColumn>
    <tableColumn id="2" xr3:uid="{0A8681D4-523C-49C1-ACDC-C6D61F6C725D}" uniqueName="2" name="AccountNumber" queryTableFieldId="2"/>
    <tableColumn id="3" xr3:uid="{7B85C4D9-807B-44EA-837E-F8F0D3452DD1}" uniqueName="3" name="FamilyId" queryTableFieldId="3"/>
    <tableColumn id="4" xr3:uid="{34EC8FD2-2808-4423-B0EB-9BB595947D07}" uniqueName="4" name="OrganizationName" queryTableFieldId="4" dataDxfId="7"/>
    <tableColumn id="5" xr3:uid="{FF9FB170-06EA-4476-8FEA-0C23EF334545}" uniqueName="5" name="AddressLine1" queryTableFieldId="5" dataDxfId="6"/>
    <tableColumn id="6" xr3:uid="{21C4FA94-4581-4405-A695-D85D8D47BE37}" uniqueName="6" name="AddressLine2" queryTableFieldId="6" dataDxfId="5"/>
    <tableColumn id="7" xr3:uid="{AF88C653-9BBA-4FD1-B02D-92DB171B7050}" uniqueName="7" name="City" queryTableFieldId="7" dataDxfId="4"/>
    <tableColumn id="8" xr3:uid="{F8CC05D9-C2E6-419B-A2DD-B0891C5C37E5}" uniqueName="8" name="State" queryTableFieldId="8" dataDxfId="3"/>
    <tableColumn id="9" xr3:uid="{95BAD0D9-078B-4B8C-8EB0-C8010A76711E}" uniqueName="9" name="ZipPostal" queryTableFieldId="9"/>
    <tableColumn id="10" xr3:uid="{2BE53B36-96BC-4C1B-A628-A995DDB76B30}" uniqueName="10" name="EmailAddress" queryTableFieldId="10" dataDxfId="2"/>
    <tableColumn id="11" xr3:uid="{8A4469A3-641D-40FC-AB87-F80174FF74BD}" uniqueName="11" name="YTDDTotal" queryTableField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5723BF-3A94-4591-ABCC-1147485D9479}" name="Table3" displayName="Table3" ref="A1:B300" totalsRowShown="0">
  <autoFilter ref="A1:B300" xr:uid="{D95723BF-3A94-4591-ABCC-1147485D9479}"/>
  <tableColumns count="2">
    <tableColumn id="1" xr3:uid="{A0FFFE21-DD63-4EBD-9EC4-968C7A3A34F8}" name="church_num"/>
    <tableColumn id="2" xr3:uid="{477C29AE-4AEA-4211-AB85-B83B16DCC20C}" name="dd_acct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92742C-37D0-444B-A114-D8171F2CA378}" name="Table1" displayName="Table1" ref="A1:CL330" totalsRowShown="0">
  <autoFilter ref="A1:CL330" xr:uid="{1892742C-37D0-444B-A114-D8171F2CA378}"/>
  <tableColumns count="90">
    <tableColumn id="1" xr3:uid="{32FFA1D7-495B-4A1B-8DEB-D97D2922B198}" name="RecordId"/>
    <tableColumn id="2" xr3:uid="{8939DD57-A121-4C4E-B532-EF228D7C217C}" name="RunId"/>
    <tableColumn id="3" xr3:uid="{90B2B74B-DB7C-4E2A-B788-3AB3DA3C8778}" name="ReceiptId"/>
    <tableColumn id="4" xr3:uid="{7F017435-8DB8-4B1F-9C98-EAF40394DE0A}" name="PageNumber"/>
    <tableColumn id="5" xr3:uid="{18553C46-5CE2-403D-9706-BF5A95964CFE}" name="TotalNumberOfPages"/>
    <tableColumn id="6" xr3:uid="{DB267E3E-C571-4504-9F9F-9169734EA0FC}" name="AccountNumber"/>
    <tableColumn id="7" xr3:uid="{97A320EA-5BBE-4814-B909-DE8BA2B51320}" name="FamilyId"/>
    <tableColumn id="8" xr3:uid="{4815E412-DB0E-4F8A-A782-781B852D2B6E}" name="AccountType"/>
    <tableColumn id="9" xr3:uid="{A46C63DB-5B0F-4C6F-BBCC-83A923DA1DE5}" name="Title"/>
    <tableColumn id="10" xr3:uid="{5DF35B5D-CBBC-4F71-A57C-049A4F990134}" name="FirstName"/>
    <tableColumn id="11" xr3:uid="{F59D1DDF-D38F-46EF-8F7F-9D03560E2775}" name="MiddleName"/>
    <tableColumn id="12" xr3:uid="{3A3F98BC-FE5C-4DF7-ACB2-6021F6C07283}" name="LastName"/>
    <tableColumn id="13" xr3:uid="{6C2A0473-213C-429F-92D6-441F5E2E6E98}" name="Suffix"/>
    <tableColumn id="14" xr3:uid="{B562640A-0A42-4725-8810-7DF631AD6B40}" name="OrganizationName"/>
    <tableColumn id="15" xr3:uid="{6772C4C0-3E0E-46FE-8B71-927FBDB323AC}" name="AddressId"/>
    <tableColumn id="16" xr3:uid="{7C6B94E4-53CB-4B2F-BC71-6D26B44CA3E5}" name="Salutation"/>
    <tableColumn id="17" xr3:uid="{6EDEC172-A065-42B3-88B5-4A7909D93191}" name="Type"/>
    <tableColumn id="18" xr3:uid="{6C5F436C-85DE-44A6-9CCB-B147BCA51F3D}" name="AddressLine1"/>
    <tableColumn id="19" xr3:uid="{B21274CB-5F07-4469-A5F1-E8EE7037B901}" name="AddressLine2"/>
    <tableColumn id="20" xr3:uid="{998E08AB-EEC7-4C15-AB25-4E2753FB3020}" name="AddressLine3"/>
    <tableColumn id="21" xr3:uid="{5C6E1CC8-EA15-40DC-B28A-5BD8CC075C56}" name="AddressLine4"/>
    <tableColumn id="22" xr3:uid="{15636650-A686-4138-9CA0-CCF1F0A19CEF}" name="City"/>
    <tableColumn id="23" xr3:uid="{68A2A080-29A5-4785-A5E8-635411F09463}" name="State"/>
    <tableColumn id="24" xr3:uid="{90FB3D63-6EEB-47E8-AC23-3207BE8F44E7}" name="ZipPostal"/>
    <tableColumn id="25" xr3:uid="{B5889650-F102-4C5B-9FE8-94E683D85FD1}" name="Country"/>
    <tableColumn id="26" xr3:uid="{1FA46AB5-1837-4AE8-BB65-C2DDD7D841C1}" name="AddressIsPOBox"/>
    <tableColumn id="27" xr3:uid="{B6AAE03C-FA96-42A4-8333-D8288455F32B}" name="FormattedAddressLine1"/>
    <tableColumn id="28" xr3:uid="{DE7C72B8-0BB7-4EDA-945D-2EA15BC71283}" name="FormattedAddressLine2"/>
    <tableColumn id="29" xr3:uid="{CCCFB3F3-6E77-4170-851D-AB908E93F080}" name="FormattedAddressLine3"/>
    <tableColumn id="30" xr3:uid="{ABB60DEE-5AE2-4895-A393-C4258E15CC8C}" name="FormattedAddressLine4"/>
    <tableColumn id="31" xr3:uid="{531728D4-6669-4344-B382-DCFEBF7D6A1F}" name="FormattedAddressLine5"/>
    <tableColumn id="32" xr3:uid="{B96798B7-C3A5-4750-9C9F-BCE732188BAC}" name="FormattedAddressLine6"/>
    <tableColumn id="33" xr3:uid="{381FB3BA-7526-4AC2-B308-C556DDC06DC9}" name="FormattedAddressLine7"/>
    <tableColumn id="34" xr3:uid="{A8278E7E-A3C6-49ED-AE7D-1EB4AE8E8D2B}" name="EmailAddress"/>
    <tableColumn id="35" xr3:uid="{6CB3AB9B-2EA1-4950-B528-945A9DF706EA}" name="YTDDTotal"/>
    <tableColumn id="36" xr3:uid="{590CB6A7-379D-4DCF-A674-A13E0F3E6414}" name="YTDNTotal"/>
    <tableColumn id="37" xr3:uid="{59D672A1-01FB-4FAA-8755-6D957A9E92A3}" name="YTDFTotal"/>
    <tableColumn id="38" xr3:uid="{B4D5F826-8567-4955-A95F-64FABE3CFE54}" name="TransactionDate01" dataDxfId="13"/>
    <tableColumn id="39" xr3:uid="{5A618BC5-75BA-4B56-B65E-20787B04F9CD}" name="TransactionAmount01"/>
    <tableColumn id="40" xr3:uid="{02ECA2CB-D55C-4D8B-B9C1-FF397EED62AC}" name="DocumentNumber01"/>
    <tableColumn id="41" xr3:uid="{383505C9-3061-4522-8706-96C39011C58F}" name="FairMarketValue01"/>
    <tableColumn id="42" xr3:uid="{DDA91AC3-7444-4DD6-860D-47F732BD8501}" name="TransactionDate02" dataDxfId="12"/>
    <tableColumn id="43" xr3:uid="{A478712F-434C-4E67-8E43-9DAB830A0A02}" name="TransactionAmount02"/>
    <tableColumn id="44" xr3:uid="{5EAEDDE4-4316-4309-A363-205AA0391E1E}" name="DocumentNumber02"/>
    <tableColumn id="45" xr3:uid="{87FFC84D-BCAA-42EB-A987-8257D6603E81}" name="FairMarketValue02"/>
    <tableColumn id="46" xr3:uid="{3F35F724-B7CF-4363-8044-E0801CF9F12D}" name="TransactionDate03"/>
    <tableColumn id="47" xr3:uid="{4E6D3CA8-01C9-4CA5-A98F-7730F6AD5E48}" name="TransactionAmount03"/>
    <tableColumn id="48" xr3:uid="{F646167A-206C-43E3-9D64-0F8F46DC5038}" name="DocumentNumber03"/>
    <tableColumn id="49" xr3:uid="{FEC759BA-1D0F-46A1-A868-FA14453EE3FC}" name="FairMarketValue03"/>
    <tableColumn id="50" xr3:uid="{59C5090A-D6D3-48AE-9629-58B2C9F9E706}" name="TransactionDate04"/>
    <tableColumn id="51" xr3:uid="{46E9E54F-DEF4-4F7E-8877-81F32B0A5427}" name="TransactionAmount04"/>
    <tableColumn id="52" xr3:uid="{B67F7A3B-FEDE-425B-98F1-1BCFEB39675E}" name="DocumentNumber04"/>
    <tableColumn id="53" xr3:uid="{7548A4B0-3F5E-44B0-A35F-6A402F1EA2C6}" name="FairMarketValue04"/>
    <tableColumn id="54" xr3:uid="{4A20FDC0-2E78-4296-A072-84FEA148961D}" name="TransactionDate05"/>
    <tableColumn id="55" xr3:uid="{C9C52E8A-2A79-4F6E-AD94-7E8BCFE5F451}" name="TransactionAmount05"/>
    <tableColumn id="56" xr3:uid="{8E2AFB27-D6D8-48E0-B7E4-BB7BDA3DCCA0}" name="DocumentNumber05"/>
    <tableColumn id="57" xr3:uid="{4046004F-E3DE-40D4-BEC1-32322517C0A1}" name="FairMarketValue05"/>
    <tableColumn id="58" xr3:uid="{D01D96D6-4732-46CF-8D5D-F53689B36428}" name="TransactionDate06"/>
    <tableColumn id="59" xr3:uid="{6C2011A4-1FFE-4B2E-A58A-F519A1E82D5C}" name="TransactionAmount06"/>
    <tableColumn id="60" xr3:uid="{69F87B2A-9CA1-442A-A966-91AB649CCDAB}" name="DocumentNumber06"/>
    <tableColumn id="61" xr3:uid="{0756E717-5664-44E1-8D5F-95931FB00058}" name="FairMarketValue06"/>
    <tableColumn id="62" xr3:uid="{D3A762EA-CD36-4309-8C54-AFEB631F63F2}" name="TransactionDate07"/>
    <tableColumn id="63" xr3:uid="{9B0CA1B6-79CB-44D8-80FE-E6956B5988F3}" name="TransactionAmount07"/>
    <tableColumn id="64" xr3:uid="{A88DC288-72EE-432D-A2E7-F0854D4DA811}" name="DocumentNumber07"/>
    <tableColumn id="65" xr3:uid="{12DE34A6-6DB6-4CDD-92BD-8ABD58244685}" name="FairMarketValue07"/>
    <tableColumn id="66" xr3:uid="{FCBAAC9A-2732-4BC9-906E-07669A1734E5}" name="TransactionDate08"/>
    <tableColumn id="67" xr3:uid="{D9382051-1082-4263-83C8-BA3802CB2F8E}" name="TransactionAmount08"/>
    <tableColumn id="68" xr3:uid="{2E86FFE1-0AB9-4B7C-AF15-A32276E89B8C}" name="DocumentNumber08"/>
    <tableColumn id="69" xr3:uid="{B013DAC1-F59A-4DD6-8BD5-E85D501A6DA0}" name="FairMarketValue08"/>
    <tableColumn id="70" xr3:uid="{6AC047A1-9EB2-43E8-9A5E-5ADDAB4A1CEE}" name="TransactionDate09"/>
    <tableColumn id="71" xr3:uid="{9C2D3A76-6578-43DB-A705-FCCA46920B8B}" name="TransactionAmount09"/>
    <tableColumn id="72" xr3:uid="{353FAB68-D4CE-406E-8775-EFF91EB599E6}" name="DocumentNumber09"/>
    <tableColumn id="73" xr3:uid="{EA34FCE3-068A-421D-931B-6473AB0948A6}" name="FairMarketValue09"/>
    <tableColumn id="74" xr3:uid="{E21BC33E-0417-4DBC-9CA0-045E25192D57}" name="TransactionDate10"/>
    <tableColumn id="75" xr3:uid="{2C8EB63C-234A-4304-9B66-F3247C630AF9}" name="TransactionAmount10"/>
    <tableColumn id="76" xr3:uid="{F9B987DD-7FE7-474F-B679-7DD9A20D0AB4}" name="DocumentNumber10"/>
    <tableColumn id="77" xr3:uid="{8176BD15-8587-429A-814F-6B5056046778}" name="FairMarketValue10"/>
    <tableColumn id="78" xr3:uid="{5C392BE4-82CC-4541-AFAA-AC559D86E80C}" name="TransactionDate11"/>
    <tableColumn id="79" xr3:uid="{8322E0CF-7E08-4272-BCD7-948887847844}" name="TransactionAmount11"/>
    <tableColumn id="80" xr3:uid="{90C45EA4-AD4B-4C5B-87FE-2953F8F30E46}" name="DocumentNumber11"/>
    <tableColumn id="81" xr3:uid="{136CFF77-555C-4969-A693-DE96B4F21F7D}" name="FairMarketValue11"/>
    <tableColumn id="82" xr3:uid="{E15F98DD-C499-49DD-BEE8-1E8A56B6666F}" name="TransactionDate12"/>
    <tableColumn id="83" xr3:uid="{ACD860A4-2C57-4E7A-86E9-CFF97BBE051A}" name="TransactionAmount12"/>
    <tableColumn id="84" xr3:uid="{ACF20600-CAC3-4DDD-BF78-C1FBA3C56063}" name="DocumentNumber12"/>
    <tableColumn id="85" xr3:uid="{95A78D34-099B-442C-9F84-2EAFFA57E153}" name="FairMarketValue12"/>
    <tableColumn id="86" xr3:uid="{595470C0-1C4F-4D2A-864C-30576EBABCEE}" name="RoutingCode"/>
    <tableColumn id="87" xr3:uid="{09C22BC0-644C-41AE-946E-5D5E628EF6D0}" name="ExternalDocumentAddress"/>
    <tableColumn id="88" xr3:uid="{23213386-C5EC-473D-BD04-E6A1298B55DA}" name="ReceiptNumber"/>
    <tableColumn id="89" xr3:uid="{69861D35-0C9D-4A9E-9EB7-CD5031610AD6}" name="IntelligentMailBarcode"/>
    <tableColumn id="90" xr3:uid="{745CE30E-4F7B-48FE-93A0-91289A840452}" name="YTDIRA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E7AE8-3FBC-4C16-AAB1-368213943D62}">
  <dimension ref="A1:E216"/>
  <sheetViews>
    <sheetView tabSelected="1" workbookViewId="0">
      <selection activeCell="B4" sqref="B4"/>
    </sheetView>
  </sheetViews>
  <sheetFormatPr defaultRowHeight="15" x14ac:dyDescent="0.25"/>
  <cols>
    <col min="1" max="1" width="13.7109375" bestFit="1" customWidth="1"/>
    <col min="2" max="2" width="11.5703125" bestFit="1" customWidth="1"/>
    <col min="3" max="3" width="11" bestFit="1" customWidth="1"/>
    <col min="4" max="4" width="8.140625" bestFit="1" customWidth="1"/>
    <col min="5" max="5" width="42.42578125" bestFit="1" customWidth="1"/>
    <col min="6" max="6" width="8.140625" bestFit="1" customWidth="1"/>
    <col min="7" max="7" width="42.42578125" bestFit="1" customWidth="1"/>
  </cols>
  <sheetData>
    <row r="1" spans="1:5" x14ac:dyDescent="0.25">
      <c r="A1" t="s">
        <v>1755</v>
      </c>
      <c r="B1" t="s">
        <v>1758</v>
      </c>
      <c r="C1" t="s">
        <v>1759</v>
      </c>
      <c r="D1" t="s">
        <v>1756</v>
      </c>
      <c r="E1" t="s">
        <v>1757</v>
      </c>
    </row>
    <row r="2" spans="1:5" x14ac:dyDescent="0.25">
      <c r="A2">
        <v>30150</v>
      </c>
      <c r="B2" s="3">
        <v>1051</v>
      </c>
      <c r="C2">
        <v>2025</v>
      </c>
      <c r="D2">
        <v>5027975</v>
      </c>
      <c r="E2" s="2" t="s">
        <v>1690</v>
      </c>
    </row>
    <row r="3" spans="1:5" x14ac:dyDescent="0.25">
      <c r="A3">
        <v>30190</v>
      </c>
      <c r="B3" s="3">
        <v>5914</v>
      </c>
      <c r="C3">
        <v>2025</v>
      </c>
      <c r="D3">
        <v>30190</v>
      </c>
      <c r="E3" s="2" t="s">
        <v>102</v>
      </c>
    </row>
    <row r="4" spans="1:5" x14ac:dyDescent="0.25">
      <c r="A4">
        <v>30190</v>
      </c>
      <c r="B4" s="3">
        <v>1062</v>
      </c>
      <c r="C4">
        <v>2025</v>
      </c>
      <c r="D4">
        <v>30191</v>
      </c>
      <c r="E4" s="2" t="s">
        <v>107</v>
      </c>
    </row>
    <row r="5" spans="1:5" x14ac:dyDescent="0.25">
      <c r="A5">
        <v>30190</v>
      </c>
      <c r="B5" s="3">
        <v>1368</v>
      </c>
      <c r="C5">
        <v>2025</v>
      </c>
      <c r="D5">
        <v>5024695</v>
      </c>
      <c r="E5" s="2" t="s">
        <v>102</v>
      </c>
    </row>
    <row r="6" spans="1:5" x14ac:dyDescent="0.25">
      <c r="A6">
        <v>30230</v>
      </c>
      <c r="B6" s="3">
        <v>456</v>
      </c>
      <c r="C6">
        <v>2025</v>
      </c>
      <c r="D6">
        <v>30236</v>
      </c>
      <c r="E6" s="2" t="s">
        <v>114</v>
      </c>
    </row>
    <row r="7" spans="1:5" x14ac:dyDescent="0.25">
      <c r="A7">
        <v>60015</v>
      </c>
      <c r="B7" s="3">
        <v>500</v>
      </c>
      <c r="C7">
        <v>2025</v>
      </c>
      <c r="D7">
        <v>60015</v>
      </c>
      <c r="E7" s="2" t="s">
        <v>143</v>
      </c>
    </row>
    <row r="8" spans="1:5" x14ac:dyDescent="0.25">
      <c r="A8">
        <v>60070</v>
      </c>
      <c r="B8" s="3">
        <v>456</v>
      </c>
      <c r="C8">
        <v>2025</v>
      </c>
      <c r="D8">
        <v>60070</v>
      </c>
      <c r="E8" s="2" t="s">
        <v>149</v>
      </c>
    </row>
    <row r="9" spans="1:5" x14ac:dyDescent="0.25">
      <c r="A9">
        <v>60090</v>
      </c>
      <c r="B9" s="3">
        <v>456</v>
      </c>
      <c r="C9">
        <v>2025</v>
      </c>
      <c r="D9">
        <v>60094</v>
      </c>
      <c r="E9" s="2" t="s">
        <v>157</v>
      </c>
    </row>
    <row r="10" spans="1:5" x14ac:dyDescent="0.25">
      <c r="A10">
        <v>60160</v>
      </c>
      <c r="B10" s="3">
        <v>228</v>
      </c>
      <c r="C10">
        <v>2025</v>
      </c>
      <c r="D10">
        <v>60160</v>
      </c>
      <c r="E10" s="2" t="s">
        <v>165</v>
      </c>
    </row>
    <row r="11" spans="1:5" x14ac:dyDescent="0.25">
      <c r="A11">
        <v>60180</v>
      </c>
      <c r="B11" s="3">
        <v>2280</v>
      </c>
      <c r="C11">
        <v>2025</v>
      </c>
      <c r="D11">
        <v>60180</v>
      </c>
      <c r="E11" s="2" t="s">
        <v>172</v>
      </c>
    </row>
    <row r="12" spans="1:5" x14ac:dyDescent="0.25">
      <c r="A12">
        <v>60210</v>
      </c>
      <c r="B12" s="3">
        <v>7209</v>
      </c>
      <c r="C12">
        <v>2025</v>
      </c>
      <c r="D12">
        <v>5027779</v>
      </c>
      <c r="E12" s="2" t="s">
        <v>1677</v>
      </c>
    </row>
    <row r="13" spans="1:5" x14ac:dyDescent="0.25">
      <c r="A13">
        <v>80160</v>
      </c>
      <c r="B13" s="3">
        <v>912</v>
      </c>
      <c r="C13">
        <v>2025</v>
      </c>
      <c r="D13">
        <v>280160</v>
      </c>
      <c r="E13" s="2" t="s">
        <v>792</v>
      </c>
    </row>
    <row r="14" spans="1:5" x14ac:dyDescent="0.25">
      <c r="A14">
        <v>80180</v>
      </c>
      <c r="B14" s="3">
        <v>532</v>
      </c>
      <c r="C14">
        <v>2025</v>
      </c>
      <c r="D14">
        <v>180186</v>
      </c>
      <c r="E14" s="2" t="s">
        <v>462</v>
      </c>
    </row>
    <row r="15" spans="1:5" x14ac:dyDescent="0.25">
      <c r="A15">
        <v>80210</v>
      </c>
      <c r="B15" s="3">
        <v>418</v>
      </c>
      <c r="C15">
        <v>2025</v>
      </c>
      <c r="D15">
        <v>180211</v>
      </c>
      <c r="E15" s="2" t="s">
        <v>475</v>
      </c>
    </row>
    <row r="16" spans="1:5" x14ac:dyDescent="0.25">
      <c r="A16">
        <v>80360</v>
      </c>
      <c r="B16" s="3">
        <v>456</v>
      </c>
      <c r="C16">
        <v>2025</v>
      </c>
      <c r="D16">
        <v>280360</v>
      </c>
      <c r="E16" s="2" t="s">
        <v>800</v>
      </c>
    </row>
    <row r="17" spans="1:5" x14ac:dyDescent="0.25">
      <c r="A17">
        <v>90160</v>
      </c>
      <c r="B17" s="3">
        <v>912</v>
      </c>
      <c r="C17">
        <v>2025</v>
      </c>
      <c r="D17">
        <v>90166</v>
      </c>
      <c r="E17" s="2" t="s">
        <v>216</v>
      </c>
    </row>
    <row r="18" spans="1:5" x14ac:dyDescent="0.25">
      <c r="A18">
        <v>90270</v>
      </c>
      <c r="B18" s="3">
        <v>836</v>
      </c>
      <c r="C18">
        <v>2025</v>
      </c>
      <c r="D18">
        <v>626393</v>
      </c>
      <c r="E18" s="2" t="s">
        <v>1450</v>
      </c>
    </row>
    <row r="19" spans="1:5" x14ac:dyDescent="0.25">
      <c r="A19">
        <v>90300</v>
      </c>
      <c r="B19" s="3">
        <v>988</v>
      </c>
      <c r="C19">
        <v>2025</v>
      </c>
      <c r="D19">
        <v>90301</v>
      </c>
      <c r="E19" s="2" t="s">
        <v>221</v>
      </c>
    </row>
    <row r="20" spans="1:5" x14ac:dyDescent="0.25">
      <c r="A20">
        <v>90320</v>
      </c>
      <c r="B20" s="3">
        <v>1277</v>
      </c>
      <c r="C20">
        <v>2025</v>
      </c>
      <c r="D20">
        <v>613955</v>
      </c>
      <c r="E20" s="2" t="s">
        <v>1346</v>
      </c>
    </row>
    <row r="21" spans="1:5" x14ac:dyDescent="0.25">
      <c r="A21">
        <v>90340</v>
      </c>
      <c r="B21" s="3">
        <v>449</v>
      </c>
      <c r="C21">
        <v>2025</v>
      </c>
      <c r="D21">
        <v>90345</v>
      </c>
      <c r="E21" s="2" t="s">
        <v>227</v>
      </c>
    </row>
    <row r="22" spans="1:5" x14ac:dyDescent="0.25">
      <c r="A22">
        <v>90430</v>
      </c>
      <c r="B22" s="3">
        <v>304</v>
      </c>
      <c r="C22">
        <v>2025</v>
      </c>
      <c r="D22">
        <v>90430</v>
      </c>
      <c r="E22" s="2" t="s">
        <v>233</v>
      </c>
    </row>
    <row r="23" spans="1:5" x14ac:dyDescent="0.25">
      <c r="A23">
        <v>90460</v>
      </c>
      <c r="B23" s="3">
        <v>982</v>
      </c>
      <c r="C23">
        <v>2025</v>
      </c>
      <c r="D23">
        <v>90469</v>
      </c>
      <c r="E23" s="2" t="s">
        <v>239</v>
      </c>
    </row>
    <row r="24" spans="1:5" x14ac:dyDescent="0.25">
      <c r="A24">
        <v>90490</v>
      </c>
      <c r="B24" s="3">
        <v>1659</v>
      </c>
      <c r="C24">
        <v>2025</v>
      </c>
      <c r="D24">
        <v>90670</v>
      </c>
      <c r="E24" s="2" t="s">
        <v>271</v>
      </c>
    </row>
    <row r="25" spans="1:5" x14ac:dyDescent="0.25">
      <c r="A25">
        <v>90520</v>
      </c>
      <c r="B25" s="3">
        <v>456</v>
      </c>
      <c r="C25">
        <v>2025</v>
      </c>
      <c r="D25">
        <v>90526</v>
      </c>
      <c r="E25" s="2" t="s">
        <v>246</v>
      </c>
    </row>
    <row r="26" spans="1:5" x14ac:dyDescent="0.25">
      <c r="A26">
        <v>90540</v>
      </c>
      <c r="B26" s="3">
        <v>972</v>
      </c>
      <c r="C26">
        <v>2025</v>
      </c>
      <c r="D26">
        <v>90540</v>
      </c>
      <c r="E26" s="2" t="s">
        <v>252</v>
      </c>
    </row>
    <row r="27" spans="1:5" x14ac:dyDescent="0.25">
      <c r="A27">
        <v>90550</v>
      </c>
      <c r="B27" s="3">
        <v>1791</v>
      </c>
      <c r="C27">
        <v>2025</v>
      </c>
      <c r="D27">
        <v>90126</v>
      </c>
      <c r="E27" s="2" t="s">
        <v>208</v>
      </c>
    </row>
    <row r="28" spans="1:5" x14ac:dyDescent="0.25">
      <c r="A28">
        <v>90560</v>
      </c>
      <c r="B28" s="3">
        <v>1114</v>
      </c>
      <c r="C28">
        <v>2025</v>
      </c>
      <c r="D28">
        <v>90560</v>
      </c>
      <c r="E28" s="2" t="s">
        <v>259</v>
      </c>
    </row>
    <row r="29" spans="1:5" x14ac:dyDescent="0.25">
      <c r="A29">
        <v>90610</v>
      </c>
      <c r="B29" s="3">
        <v>1212</v>
      </c>
      <c r="C29">
        <v>2025</v>
      </c>
      <c r="D29">
        <v>627050</v>
      </c>
      <c r="E29" s="2" t="s">
        <v>1501</v>
      </c>
    </row>
    <row r="30" spans="1:5" x14ac:dyDescent="0.25">
      <c r="A30">
        <v>90640</v>
      </c>
      <c r="B30" s="3">
        <v>1176</v>
      </c>
      <c r="C30">
        <v>2025</v>
      </c>
      <c r="D30">
        <v>90640</v>
      </c>
      <c r="E30" s="2" t="s">
        <v>265</v>
      </c>
    </row>
    <row r="31" spans="1:5" x14ac:dyDescent="0.25">
      <c r="A31">
        <v>90680</v>
      </c>
      <c r="B31" s="3">
        <v>1368</v>
      </c>
      <c r="C31">
        <v>2025</v>
      </c>
      <c r="D31">
        <v>90681</v>
      </c>
      <c r="E31" s="2" t="s">
        <v>282</v>
      </c>
    </row>
    <row r="32" spans="1:5" x14ac:dyDescent="0.25">
      <c r="A32">
        <v>90720</v>
      </c>
      <c r="B32" s="3">
        <v>518</v>
      </c>
      <c r="C32">
        <v>2025</v>
      </c>
      <c r="D32">
        <v>90723</v>
      </c>
      <c r="E32" s="2" t="s">
        <v>288</v>
      </c>
    </row>
    <row r="33" spans="1:5" x14ac:dyDescent="0.25">
      <c r="A33">
        <v>90730</v>
      </c>
      <c r="B33" s="3">
        <v>494</v>
      </c>
      <c r="C33">
        <v>2025</v>
      </c>
      <c r="D33">
        <v>90731</v>
      </c>
      <c r="E33" s="2" t="s">
        <v>293</v>
      </c>
    </row>
    <row r="34" spans="1:5" x14ac:dyDescent="0.25">
      <c r="A34">
        <v>90790</v>
      </c>
      <c r="B34" s="3">
        <v>456</v>
      </c>
      <c r="C34">
        <v>2025</v>
      </c>
      <c r="D34">
        <v>5023827</v>
      </c>
      <c r="E34" s="2" t="s">
        <v>1575</v>
      </c>
    </row>
    <row r="35" spans="1:5" x14ac:dyDescent="0.25">
      <c r="A35">
        <v>90850</v>
      </c>
      <c r="B35" s="3">
        <v>16294</v>
      </c>
      <c r="C35">
        <v>2025</v>
      </c>
      <c r="D35">
        <v>90850</v>
      </c>
      <c r="E35" s="2" t="s">
        <v>299</v>
      </c>
    </row>
    <row r="36" spans="1:5" x14ac:dyDescent="0.25">
      <c r="A36">
        <v>120010</v>
      </c>
      <c r="B36" s="3">
        <v>1824</v>
      </c>
      <c r="C36">
        <v>2025</v>
      </c>
      <c r="D36">
        <v>120010</v>
      </c>
      <c r="E36" s="2" t="s">
        <v>321</v>
      </c>
    </row>
    <row r="37" spans="1:5" x14ac:dyDescent="0.25">
      <c r="A37">
        <v>120040</v>
      </c>
      <c r="B37" s="3">
        <v>17330</v>
      </c>
      <c r="C37">
        <v>2025</v>
      </c>
      <c r="D37">
        <v>120043</v>
      </c>
      <c r="E37" s="2" t="s">
        <v>328</v>
      </c>
    </row>
    <row r="38" spans="1:5" x14ac:dyDescent="0.25">
      <c r="A38">
        <v>120055</v>
      </c>
      <c r="B38" s="3">
        <v>1032</v>
      </c>
      <c r="C38">
        <v>2025</v>
      </c>
      <c r="D38">
        <v>380030</v>
      </c>
      <c r="E38" s="2" t="s">
        <v>1027</v>
      </c>
    </row>
    <row r="39" spans="1:5" x14ac:dyDescent="0.25">
      <c r="A39">
        <v>120150</v>
      </c>
      <c r="B39" s="3">
        <v>228</v>
      </c>
      <c r="C39">
        <v>2025</v>
      </c>
      <c r="D39">
        <v>120150</v>
      </c>
      <c r="E39" s="2" t="s">
        <v>335</v>
      </c>
    </row>
    <row r="40" spans="1:5" x14ac:dyDescent="0.25">
      <c r="A40">
        <v>120190</v>
      </c>
      <c r="B40" s="3">
        <v>1152</v>
      </c>
      <c r="C40">
        <v>2025</v>
      </c>
      <c r="D40">
        <v>120190</v>
      </c>
      <c r="E40" s="2" t="s">
        <v>342</v>
      </c>
    </row>
    <row r="41" spans="1:5" x14ac:dyDescent="0.25">
      <c r="A41">
        <v>120290</v>
      </c>
      <c r="B41" s="3">
        <v>456</v>
      </c>
      <c r="C41">
        <v>2025</v>
      </c>
      <c r="D41">
        <v>120298</v>
      </c>
      <c r="E41" s="2" t="s">
        <v>349</v>
      </c>
    </row>
    <row r="42" spans="1:5" x14ac:dyDescent="0.25">
      <c r="A42">
        <v>120310</v>
      </c>
      <c r="B42" s="3">
        <v>912</v>
      </c>
      <c r="C42">
        <v>2025</v>
      </c>
      <c r="D42">
        <v>120310</v>
      </c>
      <c r="E42" s="2" t="s">
        <v>355</v>
      </c>
    </row>
    <row r="43" spans="1:5" x14ac:dyDescent="0.25">
      <c r="A43">
        <v>120325</v>
      </c>
      <c r="B43" s="3">
        <v>456</v>
      </c>
      <c r="C43">
        <v>2025</v>
      </c>
      <c r="D43">
        <v>380210</v>
      </c>
      <c r="E43" s="2" t="s">
        <v>1033</v>
      </c>
    </row>
    <row r="44" spans="1:5" x14ac:dyDescent="0.25">
      <c r="A44">
        <v>120398</v>
      </c>
      <c r="B44" s="3">
        <v>11565</v>
      </c>
      <c r="C44">
        <v>2025</v>
      </c>
      <c r="D44">
        <v>5026364</v>
      </c>
      <c r="E44" s="2" t="s">
        <v>1612</v>
      </c>
    </row>
    <row r="45" spans="1:5" x14ac:dyDescent="0.25">
      <c r="A45">
        <v>120400</v>
      </c>
      <c r="B45" s="3">
        <v>3095</v>
      </c>
      <c r="C45">
        <v>2025</v>
      </c>
      <c r="D45">
        <v>120400</v>
      </c>
      <c r="E45" s="2" t="s">
        <v>361</v>
      </c>
    </row>
    <row r="46" spans="1:5" x14ac:dyDescent="0.25">
      <c r="A46">
        <v>120405</v>
      </c>
      <c r="B46" s="3">
        <v>1710</v>
      </c>
      <c r="C46">
        <v>2025</v>
      </c>
      <c r="D46">
        <v>120405</v>
      </c>
      <c r="E46" s="2" t="s">
        <v>367</v>
      </c>
    </row>
    <row r="47" spans="1:5" x14ac:dyDescent="0.25">
      <c r="A47">
        <v>120410</v>
      </c>
      <c r="B47" s="3">
        <v>912</v>
      </c>
      <c r="C47">
        <v>2025</v>
      </c>
      <c r="D47">
        <v>120410</v>
      </c>
      <c r="E47" s="2" t="s">
        <v>374</v>
      </c>
    </row>
    <row r="48" spans="1:5" x14ac:dyDescent="0.25">
      <c r="A48">
        <v>120420</v>
      </c>
      <c r="B48" s="3">
        <v>1786</v>
      </c>
      <c r="C48">
        <v>2025</v>
      </c>
      <c r="D48">
        <v>380271</v>
      </c>
      <c r="E48" s="2" t="s">
        <v>1039</v>
      </c>
    </row>
    <row r="49" spans="1:5" x14ac:dyDescent="0.25">
      <c r="A49">
        <v>120440</v>
      </c>
      <c r="B49" s="3">
        <v>1066</v>
      </c>
      <c r="C49">
        <v>2025</v>
      </c>
      <c r="D49">
        <v>120440</v>
      </c>
      <c r="E49" s="2" t="s">
        <v>379</v>
      </c>
    </row>
    <row r="50" spans="1:5" x14ac:dyDescent="0.25">
      <c r="A50">
        <v>120490</v>
      </c>
      <c r="B50" s="3">
        <v>1368</v>
      </c>
      <c r="C50">
        <v>2025</v>
      </c>
      <c r="D50">
        <v>380356</v>
      </c>
      <c r="E50" s="2" t="s">
        <v>1050</v>
      </c>
    </row>
    <row r="51" spans="1:5" x14ac:dyDescent="0.25">
      <c r="A51">
        <v>150040</v>
      </c>
      <c r="B51" s="3">
        <v>633</v>
      </c>
      <c r="C51">
        <v>2025</v>
      </c>
      <c r="D51">
        <v>150046</v>
      </c>
      <c r="E51" s="2" t="s">
        <v>394</v>
      </c>
    </row>
    <row r="52" spans="1:5" x14ac:dyDescent="0.25">
      <c r="A52">
        <v>150065</v>
      </c>
      <c r="B52" s="3">
        <v>506</v>
      </c>
      <c r="C52">
        <v>2025</v>
      </c>
      <c r="D52">
        <v>300040</v>
      </c>
      <c r="E52" s="2" t="s">
        <v>832</v>
      </c>
    </row>
    <row r="53" spans="1:5" x14ac:dyDescent="0.25">
      <c r="A53">
        <v>150085</v>
      </c>
      <c r="B53" s="3">
        <v>1368</v>
      </c>
      <c r="C53">
        <v>2025</v>
      </c>
      <c r="D53">
        <v>160110</v>
      </c>
      <c r="E53" s="2" t="s">
        <v>447</v>
      </c>
    </row>
    <row r="54" spans="1:5" x14ac:dyDescent="0.25">
      <c r="A54">
        <v>150120</v>
      </c>
      <c r="B54" s="3">
        <v>600</v>
      </c>
      <c r="C54">
        <v>2025</v>
      </c>
      <c r="D54">
        <v>160141</v>
      </c>
      <c r="E54" s="2" t="s">
        <v>455</v>
      </c>
    </row>
    <row r="55" spans="1:5" x14ac:dyDescent="0.25">
      <c r="A55">
        <v>150127</v>
      </c>
      <c r="B55" s="3">
        <v>456</v>
      </c>
      <c r="C55">
        <v>2025</v>
      </c>
      <c r="D55">
        <v>220111</v>
      </c>
      <c r="E55" s="2" t="s">
        <v>557</v>
      </c>
    </row>
    <row r="56" spans="1:5" x14ac:dyDescent="0.25">
      <c r="A56">
        <v>150145</v>
      </c>
      <c r="B56" s="3">
        <v>456</v>
      </c>
      <c r="C56">
        <v>2025</v>
      </c>
      <c r="D56">
        <v>150145</v>
      </c>
      <c r="E56" s="2" t="s">
        <v>402</v>
      </c>
    </row>
    <row r="57" spans="1:5" x14ac:dyDescent="0.25">
      <c r="A57">
        <v>150210</v>
      </c>
      <c r="B57" s="3">
        <v>456</v>
      </c>
      <c r="C57">
        <v>2025</v>
      </c>
      <c r="D57">
        <v>150211</v>
      </c>
      <c r="E57" s="2" t="s">
        <v>410</v>
      </c>
    </row>
    <row r="58" spans="1:5" x14ac:dyDescent="0.25">
      <c r="A58">
        <v>150260</v>
      </c>
      <c r="B58" s="3">
        <v>456</v>
      </c>
      <c r="C58">
        <v>2025</v>
      </c>
      <c r="D58">
        <v>626021</v>
      </c>
      <c r="E58" s="2" t="s">
        <v>1431</v>
      </c>
    </row>
    <row r="59" spans="1:5" x14ac:dyDescent="0.25">
      <c r="A59">
        <v>150330</v>
      </c>
      <c r="B59" s="3">
        <v>2644</v>
      </c>
      <c r="C59">
        <v>2025</v>
      </c>
      <c r="D59">
        <v>150330</v>
      </c>
      <c r="E59" s="2" t="s">
        <v>416</v>
      </c>
    </row>
    <row r="60" spans="1:5" x14ac:dyDescent="0.25">
      <c r="A60">
        <v>150335</v>
      </c>
      <c r="B60" s="3">
        <v>892</v>
      </c>
      <c r="C60">
        <v>2025</v>
      </c>
      <c r="D60">
        <v>220291</v>
      </c>
      <c r="E60" s="2" t="s">
        <v>568</v>
      </c>
    </row>
    <row r="61" spans="1:5" x14ac:dyDescent="0.25">
      <c r="A61">
        <v>150350</v>
      </c>
      <c r="B61" s="3">
        <v>912</v>
      </c>
      <c r="C61">
        <v>2025</v>
      </c>
      <c r="D61">
        <v>150352</v>
      </c>
      <c r="E61" s="2" t="s">
        <v>423</v>
      </c>
    </row>
    <row r="62" spans="1:5" x14ac:dyDescent="0.25">
      <c r="A62">
        <v>150430</v>
      </c>
      <c r="B62" s="3">
        <v>1140</v>
      </c>
      <c r="C62">
        <v>2025</v>
      </c>
      <c r="D62">
        <v>150430</v>
      </c>
      <c r="E62" s="2" t="s">
        <v>429</v>
      </c>
    </row>
    <row r="63" spans="1:5" x14ac:dyDescent="0.25">
      <c r="A63">
        <v>150440</v>
      </c>
      <c r="B63" s="3">
        <v>912</v>
      </c>
      <c r="C63">
        <v>2025</v>
      </c>
      <c r="D63">
        <v>150441</v>
      </c>
      <c r="E63" s="2" t="s">
        <v>436</v>
      </c>
    </row>
    <row r="64" spans="1:5" x14ac:dyDescent="0.25">
      <c r="A64">
        <v>150735</v>
      </c>
      <c r="B64" s="3">
        <v>380</v>
      </c>
      <c r="C64">
        <v>2025</v>
      </c>
      <c r="D64">
        <v>625829</v>
      </c>
      <c r="E64" s="2" t="s">
        <v>1418</v>
      </c>
    </row>
    <row r="65" spans="1:5" x14ac:dyDescent="0.25">
      <c r="A65">
        <v>150745</v>
      </c>
      <c r="B65" s="3">
        <v>456</v>
      </c>
      <c r="C65">
        <v>2025</v>
      </c>
      <c r="D65">
        <v>627309</v>
      </c>
      <c r="E65" s="2" t="s">
        <v>1517</v>
      </c>
    </row>
    <row r="66" spans="1:5" x14ac:dyDescent="0.25">
      <c r="A66">
        <v>150750</v>
      </c>
      <c r="B66" s="3">
        <v>556</v>
      </c>
      <c r="C66">
        <v>2025</v>
      </c>
      <c r="D66">
        <v>220211</v>
      </c>
      <c r="E66" s="2" t="s">
        <v>562</v>
      </c>
    </row>
    <row r="67" spans="1:5" x14ac:dyDescent="0.25">
      <c r="A67">
        <v>150755</v>
      </c>
      <c r="B67" s="3">
        <v>2736</v>
      </c>
      <c r="C67">
        <v>2025</v>
      </c>
      <c r="D67">
        <v>150755</v>
      </c>
      <c r="E67" s="2" t="s">
        <v>442</v>
      </c>
    </row>
    <row r="68" spans="1:5" x14ac:dyDescent="0.25">
      <c r="A68">
        <v>180190</v>
      </c>
      <c r="B68" s="3">
        <v>1012</v>
      </c>
      <c r="C68">
        <v>2025</v>
      </c>
      <c r="D68">
        <v>180197</v>
      </c>
      <c r="E68" s="2" t="s">
        <v>469</v>
      </c>
    </row>
    <row r="69" spans="1:5" x14ac:dyDescent="0.25">
      <c r="A69">
        <v>180330</v>
      </c>
      <c r="B69" s="3">
        <v>500</v>
      </c>
      <c r="C69">
        <v>2025</v>
      </c>
      <c r="D69">
        <v>180333</v>
      </c>
      <c r="E69" s="2" t="s">
        <v>481</v>
      </c>
    </row>
    <row r="70" spans="1:5" x14ac:dyDescent="0.25">
      <c r="A70">
        <v>190070</v>
      </c>
      <c r="B70" s="3">
        <v>912</v>
      </c>
      <c r="C70">
        <v>2025</v>
      </c>
      <c r="D70">
        <v>190070</v>
      </c>
      <c r="E70" s="2" t="s">
        <v>487</v>
      </c>
    </row>
    <row r="71" spans="1:5" x14ac:dyDescent="0.25">
      <c r="A71">
        <v>190090</v>
      </c>
      <c r="B71" s="3">
        <v>456</v>
      </c>
      <c r="C71">
        <v>2025</v>
      </c>
      <c r="D71">
        <v>626059</v>
      </c>
      <c r="E71" s="2" t="s">
        <v>1438</v>
      </c>
    </row>
    <row r="72" spans="1:5" x14ac:dyDescent="0.25">
      <c r="A72">
        <v>190280</v>
      </c>
      <c r="B72" s="3">
        <v>686</v>
      </c>
      <c r="C72">
        <v>2025</v>
      </c>
      <c r="D72">
        <v>190280</v>
      </c>
      <c r="E72" s="2" t="s">
        <v>494</v>
      </c>
    </row>
    <row r="73" spans="1:5" x14ac:dyDescent="0.25">
      <c r="A73">
        <v>240040</v>
      </c>
      <c r="B73" s="3">
        <v>3243</v>
      </c>
      <c r="C73">
        <v>2025</v>
      </c>
      <c r="D73">
        <v>210049</v>
      </c>
      <c r="E73" s="2" t="s">
        <v>526</v>
      </c>
    </row>
    <row r="74" spans="1:5" x14ac:dyDescent="0.25">
      <c r="A74">
        <v>240045</v>
      </c>
      <c r="B74" s="3">
        <v>912</v>
      </c>
      <c r="C74">
        <v>2025</v>
      </c>
      <c r="D74">
        <v>210056</v>
      </c>
      <c r="E74" s="2" t="s">
        <v>532</v>
      </c>
    </row>
    <row r="75" spans="1:5" x14ac:dyDescent="0.25">
      <c r="A75">
        <v>240060</v>
      </c>
      <c r="B75" s="3">
        <v>1593</v>
      </c>
      <c r="C75">
        <v>2025</v>
      </c>
      <c r="D75">
        <v>240061</v>
      </c>
      <c r="E75" s="2" t="s">
        <v>575</v>
      </c>
    </row>
    <row r="76" spans="1:5" x14ac:dyDescent="0.25">
      <c r="A76">
        <v>240070</v>
      </c>
      <c r="B76" s="3">
        <v>4127</v>
      </c>
      <c r="C76">
        <v>2025</v>
      </c>
      <c r="D76">
        <v>240071</v>
      </c>
      <c r="E76" s="2" t="s">
        <v>583</v>
      </c>
    </row>
    <row r="77" spans="1:5" x14ac:dyDescent="0.25">
      <c r="A77">
        <v>240070</v>
      </c>
      <c r="B77" s="3">
        <v>1668</v>
      </c>
      <c r="C77">
        <v>2025</v>
      </c>
      <c r="D77">
        <v>626659</v>
      </c>
      <c r="E77" s="2" t="s">
        <v>1456</v>
      </c>
    </row>
    <row r="78" spans="1:5" x14ac:dyDescent="0.25">
      <c r="A78">
        <v>240114</v>
      </c>
      <c r="B78" s="3">
        <v>456</v>
      </c>
      <c r="C78">
        <v>2025</v>
      </c>
      <c r="D78">
        <v>210060</v>
      </c>
      <c r="E78" s="2" t="s">
        <v>537</v>
      </c>
    </row>
    <row r="79" spans="1:5" x14ac:dyDescent="0.25">
      <c r="A79">
        <v>240120</v>
      </c>
      <c r="B79" s="3">
        <v>304</v>
      </c>
      <c r="C79">
        <v>2025</v>
      </c>
      <c r="D79">
        <v>240121</v>
      </c>
      <c r="E79" s="2" t="s">
        <v>590</v>
      </c>
    </row>
    <row r="80" spans="1:5" x14ac:dyDescent="0.25">
      <c r="A80">
        <v>240157</v>
      </c>
      <c r="B80" s="3">
        <v>456</v>
      </c>
      <c r="C80">
        <v>2025</v>
      </c>
      <c r="D80">
        <v>50111</v>
      </c>
      <c r="E80" s="2" t="s">
        <v>120</v>
      </c>
    </row>
    <row r="81" spans="1:5" x14ac:dyDescent="0.25">
      <c r="A81">
        <v>240171</v>
      </c>
      <c r="B81" s="3">
        <v>912</v>
      </c>
      <c r="C81">
        <v>2025</v>
      </c>
      <c r="D81">
        <v>625903</v>
      </c>
      <c r="E81" s="2" t="s">
        <v>1424</v>
      </c>
    </row>
    <row r="82" spans="1:5" x14ac:dyDescent="0.25">
      <c r="A82">
        <v>240183</v>
      </c>
      <c r="B82" s="3">
        <v>1818</v>
      </c>
      <c r="C82">
        <v>2025</v>
      </c>
      <c r="D82">
        <v>50120</v>
      </c>
      <c r="E82" s="2" t="s">
        <v>128</v>
      </c>
    </row>
    <row r="83" spans="1:5" x14ac:dyDescent="0.25">
      <c r="A83">
        <v>240260</v>
      </c>
      <c r="B83" s="3">
        <v>456</v>
      </c>
      <c r="C83">
        <v>2025</v>
      </c>
      <c r="D83">
        <v>240260</v>
      </c>
      <c r="E83" s="2" t="s">
        <v>597</v>
      </c>
    </row>
    <row r="84" spans="1:5" x14ac:dyDescent="0.25">
      <c r="A84">
        <v>240350</v>
      </c>
      <c r="B84" s="3">
        <v>456</v>
      </c>
      <c r="C84">
        <v>2025</v>
      </c>
      <c r="D84">
        <v>240351</v>
      </c>
      <c r="E84" s="2" t="s">
        <v>601</v>
      </c>
    </row>
    <row r="85" spans="1:5" x14ac:dyDescent="0.25">
      <c r="A85">
        <v>240351</v>
      </c>
      <c r="B85" s="3">
        <v>912</v>
      </c>
      <c r="C85">
        <v>2025</v>
      </c>
      <c r="D85">
        <v>210241</v>
      </c>
      <c r="E85" s="2" t="s">
        <v>544</v>
      </c>
    </row>
    <row r="86" spans="1:5" x14ac:dyDescent="0.25">
      <c r="A86">
        <v>240352</v>
      </c>
      <c r="B86" s="3">
        <v>912</v>
      </c>
      <c r="C86">
        <v>2025</v>
      </c>
      <c r="D86">
        <v>50250</v>
      </c>
      <c r="E86" s="2" t="s">
        <v>138</v>
      </c>
    </row>
    <row r="87" spans="1:5" x14ac:dyDescent="0.25">
      <c r="A87">
        <v>240390</v>
      </c>
      <c r="B87" s="3">
        <v>1476</v>
      </c>
      <c r="C87">
        <v>2025</v>
      </c>
      <c r="D87">
        <v>240396</v>
      </c>
      <c r="E87" s="2" t="s">
        <v>606</v>
      </c>
    </row>
    <row r="88" spans="1:5" x14ac:dyDescent="0.25">
      <c r="A88">
        <v>240400</v>
      </c>
      <c r="B88" s="3">
        <v>516</v>
      </c>
      <c r="C88">
        <v>2025</v>
      </c>
      <c r="D88">
        <v>240409</v>
      </c>
      <c r="E88" s="2" t="s">
        <v>616</v>
      </c>
    </row>
    <row r="89" spans="1:5" x14ac:dyDescent="0.25">
      <c r="A89">
        <v>240401</v>
      </c>
      <c r="B89" s="3">
        <v>988</v>
      </c>
      <c r="C89">
        <v>2025</v>
      </c>
      <c r="D89">
        <v>210301</v>
      </c>
      <c r="E89" s="2" t="s">
        <v>551</v>
      </c>
    </row>
    <row r="90" spans="1:5" x14ac:dyDescent="0.25">
      <c r="A90">
        <v>250020</v>
      </c>
      <c r="B90" s="3">
        <v>456</v>
      </c>
      <c r="C90">
        <v>2025</v>
      </c>
      <c r="D90">
        <v>250026</v>
      </c>
      <c r="E90" s="2" t="s">
        <v>622</v>
      </c>
    </row>
    <row r="91" spans="1:5" x14ac:dyDescent="0.25">
      <c r="A91">
        <v>250070</v>
      </c>
      <c r="B91" s="3">
        <v>506</v>
      </c>
      <c r="C91">
        <v>2025</v>
      </c>
      <c r="D91">
        <v>250076</v>
      </c>
      <c r="E91" s="2" t="s">
        <v>628</v>
      </c>
    </row>
    <row r="92" spans="1:5" x14ac:dyDescent="0.25">
      <c r="A92">
        <v>250090</v>
      </c>
      <c r="B92" s="3">
        <v>456</v>
      </c>
      <c r="C92">
        <v>2025</v>
      </c>
      <c r="D92">
        <v>250095</v>
      </c>
      <c r="E92" s="2" t="s">
        <v>635</v>
      </c>
    </row>
    <row r="93" spans="1:5" x14ac:dyDescent="0.25">
      <c r="A93">
        <v>250230</v>
      </c>
      <c r="B93" s="3">
        <v>912</v>
      </c>
      <c r="C93">
        <v>2025</v>
      </c>
      <c r="D93">
        <v>250236</v>
      </c>
      <c r="E93" s="2" t="s">
        <v>641</v>
      </c>
    </row>
    <row r="94" spans="1:5" x14ac:dyDescent="0.25">
      <c r="A94">
        <v>250330</v>
      </c>
      <c r="B94" s="3">
        <v>912</v>
      </c>
      <c r="C94">
        <v>2025</v>
      </c>
      <c r="D94">
        <v>250332</v>
      </c>
      <c r="E94" s="2" t="s">
        <v>647</v>
      </c>
    </row>
    <row r="95" spans="1:5" x14ac:dyDescent="0.25">
      <c r="A95">
        <v>250350</v>
      </c>
      <c r="B95" s="3">
        <v>481</v>
      </c>
      <c r="C95">
        <v>2025</v>
      </c>
      <c r="D95">
        <v>250350</v>
      </c>
      <c r="E95" s="2" t="s">
        <v>653</v>
      </c>
    </row>
    <row r="96" spans="1:5" x14ac:dyDescent="0.25">
      <c r="A96">
        <v>250410</v>
      </c>
      <c r="B96" s="3">
        <v>502</v>
      </c>
      <c r="C96">
        <v>2025</v>
      </c>
      <c r="D96">
        <v>250411</v>
      </c>
      <c r="E96" s="2" t="s">
        <v>659</v>
      </c>
    </row>
    <row r="97" spans="1:5" x14ac:dyDescent="0.25">
      <c r="A97">
        <v>250430</v>
      </c>
      <c r="B97" s="3">
        <v>1884</v>
      </c>
      <c r="C97">
        <v>2025</v>
      </c>
      <c r="D97">
        <v>250430</v>
      </c>
      <c r="E97" s="2" t="s">
        <v>665</v>
      </c>
    </row>
    <row r="98" spans="1:5" x14ac:dyDescent="0.25">
      <c r="A98">
        <v>250480</v>
      </c>
      <c r="B98" s="3">
        <v>912</v>
      </c>
      <c r="C98">
        <v>2025</v>
      </c>
      <c r="D98">
        <v>250489</v>
      </c>
      <c r="E98" s="2" t="s">
        <v>672</v>
      </c>
    </row>
    <row r="99" spans="1:5" x14ac:dyDescent="0.25">
      <c r="A99">
        <v>250510</v>
      </c>
      <c r="B99" s="3">
        <v>456</v>
      </c>
      <c r="C99">
        <v>2025</v>
      </c>
      <c r="D99">
        <v>250510</v>
      </c>
      <c r="E99" s="2" t="s">
        <v>678</v>
      </c>
    </row>
    <row r="100" spans="1:5" x14ac:dyDescent="0.25">
      <c r="A100">
        <v>250540</v>
      </c>
      <c r="B100" s="3">
        <v>1912</v>
      </c>
      <c r="C100">
        <v>2025</v>
      </c>
      <c r="D100">
        <v>250541</v>
      </c>
      <c r="E100" s="2" t="s">
        <v>685</v>
      </c>
    </row>
    <row r="101" spans="1:5" x14ac:dyDescent="0.25">
      <c r="A101">
        <v>250600</v>
      </c>
      <c r="B101" s="3">
        <v>1845</v>
      </c>
      <c r="C101">
        <v>2025</v>
      </c>
      <c r="D101">
        <v>250601</v>
      </c>
      <c r="E101" s="2" t="s">
        <v>690</v>
      </c>
    </row>
    <row r="102" spans="1:5" x14ac:dyDescent="0.25">
      <c r="A102">
        <v>260070</v>
      </c>
      <c r="B102" s="3">
        <v>1428</v>
      </c>
      <c r="C102">
        <v>2025</v>
      </c>
      <c r="D102">
        <v>260071</v>
      </c>
      <c r="E102" s="2" t="s">
        <v>628</v>
      </c>
    </row>
    <row r="103" spans="1:5" x14ac:dyDescent="0.25">
      <c r="A103">
        <v>260200</v>
      </c>
      <c r="B103" s="3">
        <v>7298</v>
      </c>
      <c r="C103">
        <v>2025</v>
      </c>
      <c r="D103">
        <v>260200</v>
      </c>
      <c r="E103" s="2" t="s">
        <v>702</v>
      </c>
    </row>
    <row r="104" spans="1:5" x14ac:dyDescent="0.25">
      <c r="A104">
        <v>260230</v>
      </c>
      <c r="B104" s="3">
        <v>1368</v>
      </c>
      <c r="C104">
        <v>2025</v>
      </c>
      <c r="D104">
        <v>260230</v>
      </c>
      <c r="E104" s="2" t="s">
        <v>712</v>
      </c>
    </row>
    <row r="105" spans="1:5" x14ac:dyDescent="0.25">
      <c r="A105">
        <v>260250</v>
      </c>
      <c r="B105" s="3">
        <v>912</v>
      </c>
      <c r="C105">
        <v>2025</v>
      </c>
      <c r="D105">
        <v>260259</v>
      </c>
      <c r="E105" s="2" t="s">
        <v>719</v>
      </c>
    </row>
    <row r="106" spans="1:5" x14ac:dyDescent="0.25">
      <c r="A106">
        <v>260310</v>
      </c>
      <c r="B106" s="3">
        <v>756</v>
      </c>
      <c r="C106">
        <v>2025</v>
      </c>
      <c r="D106">
        <v>260316</v>
      </c>
      <c r="E106" s="2" t="s">
        <v>724</v>
      </c>
    </row>
    <row r="107" spans="1:5" x14ac:dyDescent="0.25">
      <c r="A107">
        <v>270040</v>
      </c>
      <c r="B107" s="3">
        <v>342</v>
      </c>
      <c r="C107">
        <v>2025</v>
      </c>
      <c r="D107">
        <v>270043</v>
      </c>
      <c r="E107" s="2" t="s">
        <v>735</v>
      </c>
    </row>
    <row r="108" spans="1:5" x14ac:dyDescent="0.25">
      <c r="A108">
        <v>270100</v>
      </c>
      <c r="B108" s="3">
        <v>912</v>
      </c>
      <c r="C108">
        <v>2025</v>
      </c>
      <c r="D108">
        <v>270101</v>
      </c>
      <c r="E108" s="2" t="s">
        <v>742</v>
      </c>
    </row>
    <row r="109" spans="1:5" x14ac:dyDescent="0.25">
      <c r="A109">
        <v>270150</v>
      </c>
      <c r="B109" s="3">
        <v>912</v>
      </c>
      <c r="C109">
        <v>2025</v>
      </c>
      <c r="D109">
        <v>270156</v>
      </c>
      <c r="E109" s="2" t="s">
        <v>747</v>
      </c>
    </row>
    <row r="110" spans="1:5" x14ac:dyDescent="0.25">
      <c r="A110">
        <v>270170</v>
      </c>
      <c r="B110" s="3">
        <v>481</v>
      </c>
      <c r="C110">
        <v>2025</v>
      </c>
      <c r="D110">
        <v>270171</v>
      </c>
      <c r="E110" s="2" t="s">
        <v>753</v>
      </c>
    </row>
    <row r="111" spans="1:5" x14ac:dyDescent="0.25">
      <c r="A111">
        <v>270260</v>
      </c>
      <c r="B111" s="3">
        <v>1968</v>
      </c>
      <c r="C111">
        <v>2025</v>
      </c>
      <c r="D111">
        <v>270260</v>
      </c>
      <c r="E111" s="2" t="s">
        <v>759</v>
      </c>
    </row>
    <row r="112" spans="1:5" x14ac:dyDescent="0.25">
      <c r="A112">
        <v>270270</v>
      </c>
      <c r="B112" s="3">
        <v>1080</v>
      </c>
      <c r="C112">
        <v>2025</v>
      </c>
      <c r="D112">
        <v>626812</v>
      </c>
      <c r="E112" s="2" t="s">
        <v>1477</v>
      </c>
    </row>
    <row r="113" spans="1:5" x14ac:dyDescent="0.25">
      <c r="A113">
        <v>270385</v>
      </c>
      <c r="B113" s="3">
        <v>342</v>
      </c>
      <c r="C113">
        <v>2025</v>
      </c>
      <c r="D113">
        <v>626664</v>
      </c>
      <c r="E113" s="2" t="s">
        <v>1461</v>
      </c>
    </row>
    <row r="114" spans="1:5" x14ac:dyDescent="0.25">
      <c r="A114">
        <v>270400</v>
      </c>
      <c r="B114" s="3">
        <v>456</v>
      </c>
      <c r="C114">
        <v>2025</v>
      </c>
      <c r="D114">
        <v>270401</v>
      </c>
      <c r="E114" s="2" t="s">
        <v>765</v>
      </c>
    </row>
    <row r="115" spans="1:5" x14ac:dyDescent="0.25">
      <c r="A115">
        <v>270550</v>
      </c>
      <c r="B115" s="3">
        <v>1186</v>
      </c>
      <c r="C115">
        <v>2025</v>
      </c>
      <c r="D115">
        <v>270550</v>
      </c>
      <c r="E115" s="2" t="s">
        <v>774</v>
      </c>
    </row>
    <row r="116" spans="1:5" x14ac:dyDescent="0.25">
      <c r="A116">
        <v>270750</v>
      </c>
      <c r="B116" s="3">
        <v>4059</v>
      </c>
      <c r="C116">
        <v>2025</v>
      </c>
      <c r="D116">
        <v>270750</v>
      </c>
      <c r="E116" s="2" t="s">
        <v>779</v>
      </c>
    </row>
    <row r="117" spans="1:5" x14ac:dyDescent="0.25">
      <c r="A117">
        <v>270890</v>
      </c>
      <c r="B117" s="3">
        <v>1200</v>
      </c>
      <c r="C117">
        <v>2025</v>
      </c>
      <c r="D117">
        <v>270893</v>
      </c>
      <c r="E117" s="2" t="s">
        <v>786</v>
      </c>
    </row>
    <row r="118" spans="1:5" x14ac:dyDescent="0.25">
      <c r="A118">
        <v>290030</v>
      </c>
      <c r="B118" s="3">
        <v>520</v>
      </c>
      <c r="C118">
        <v>2025</v>
      </c>
      <c r="D118">
        <v>626787</v>
      </c>
      <c r="E118" s="2" t="s">
        <v>1472</v>
      </c>
    </row>
    <row r="119" spans="1:5" x14ac:dyDescent="0.25">
      <c r="A119">
        <v>290120</v>
      </c>
      <c r="B119" s="3">
        <v>912</v>
      </c>
      <c r="C119">
        <v>2025</v>
      </c>
      <c r="D119">
        <v>290120</v>
      </c>
      <c r="E119" s="2" t="s">
        <v>805</v>
      </c>
    </row>
    <row r="120" spans="1:5" x14ac:dyDescent="0.25">
      <c r="A120">
        <v>290340</v>
      </c>
      <c r="B120" s="3">
        <v>360</v>
      </c>
      <c r="C120">
        <v>2025</v>
      </c>
      <c r="D120">
        <v>626975</v>
      </c>
      <c r="E120" s="2" t="s">
        <v>1487</v>
      </c>
    </row>
    <row r="121" spans="1:5" x14ac:dyDescent="0.25">
      <c r="A121">
        <v>290370</v>
      </c>
      <c r="B121" s="3">
        <v>2458</v>
      </c>
      <c r="C121">
        <v>2025</v>
      </c>
      <c r="D121">
        <v>290370</v>
      </c>
      <c r="E121" s="2" t="s">
        <v>813</v>
      </c>
    </row>
    <row r="122" spans="1:5" x14ac:dyDescent="0.25">
      <c r="A122">
        <v>290372</v>
      </c>
      <c r="B122" s="3">
        <v>1500</v>
      </c>
      <c r="C122">
        <v>2025</v>
      </c>
      <c r="D122">
        <v>627907</v>
      </c>
      <c r="E122" s="2" t="s">
        <v>1535</v>
      </c>
    </row>
    <row r="123" spans="1:5" x14ac:dyDescent="0.25">
      <c r="A123">
        <v>290380</v>
      </c>
      <c r="B123" s="3">
        <v>456</v>
      </c>
      <c r="C123">
        <v>2025</v>
      </c>
      <c r="D123">
        <v>290381</v>
      </c>
      <c r="E123" s="2" t="s">
        <v>819</v>
      </c>
    </row>
    <row r="124" spans="1:5" x14ac:dyDescent="0.25">
      <c r="A124">
        <v>290440</v>
      </c>
      <c r="B124" s="3">
        <v>1292</v>
      </c>
      <c r="C124">
        <v>2025</v>
      </c>
      <c r="D124">
        <v>290443</v>
      </c>
      <c r="E124" s="2" t="s">
        <v>825</v>
      </c>
    </row>
    <row r="125" spans="1:5" x14ac:dyDescent="0.25">
      <c r="A125">
        <v>310150</v>
      </c>
      <c r="B125" s="3">
        <v>912</v>
      </c>
      <c r="C125">
        <v>2025</v>
      </c>
      <c r="D125">
        <v>310001</v>
      </c>
      <c r="E125" s="2" t="s">
        <v>839</v>
      </c>
    </row>
    <row r="126" spans="1:5" x14ac:dyDescent="0.25">
      <c r="A126">
        <v>320135</v>
      </c>
      <c r="B126" s="3">
        <v>456</v>
      </c>
      <c r="C126">
        <v>2025</v>
      </c>
      <c r="D126">
        <v>320130</v>
      </c>
      <c r="E126" s="2" t="s">
        <v>844</v>
      </c>
    </row>
    <row r="127" spans="1:5" x14ac:dyDescent="0.25">
      <c r="A127">
        <v>320180</v>
      </c>
      <c r="B127" s="3">
        <v>1482</v>
      </c>
      <c r="C127">
        <v>2025</v>
      </c>
      <c r="D127">
        <v>320181</v>
      </c>
      <c r="E127" s="2" t="s">
        <v>850</v>
      </c>
    </row>
    <row r="128" spans="1:5" x14ac:dyDescent="0.25">
      <c r="A128">
        <v>320290</v>
      </c>
      <c r="B128" s="3">
        <v>912</v>
      </c>
      <c r="C128">
        <v>2025</v>
      </c>
      <c r="D128">
        <v>320290</v>
      </c>
      <c r="E128" s="2" t="s">
        <v>856</v>
      </c>
    </row>
    <row r="129" spans="1:5" x14ac:dyDescent="0.25">
      <c r="A129">
        <v>320320</v>
      </c>
      <c r="B129" s="3">
        <v>646</v>
      </c>
      <c r="C129">
        <v>2025</v>
      </c>
      <c r="D129">
        <v>320326</v>
      </c>
      <c r="E129" s="2" t="s">
        <v>860</v>
      </c>
    </row>
    <row r="130" spans="1:5" x14ac:dyDescent="0.25">
      <c r="A130">
        <v>320440</v>
      </c>
      <c r="B130" s="3">
        <v>1800</v>
      </c>
      <c r="C130">
        <v>2025</v>
      </c>
      <c r="D130">
        <v>320440</v>
      </c>
      <c r="E130" s="2" t="s">
        <v>865</v>
      </c>
    </row>
    <row r="131" spans="1:5" x14ac:dyDescent="0.25">
      <c r="A131">
        <v>320630</v>
      </c>
      <c r="B131" s="3">
        <v>1025</v>
      </c>
      <c r="C131">
        <v>2025</v>
      </c>
      <c r="D131">
        <v>5027643</v>
      </c>
      <c r="E131" s="2" t="s">
        <v>1653</v>
      </c>
    </row>
    <row r="132" spans="1:5" x14ac:dyDescent="0.25">
      <c r="A132">
        <v>330000</v>
      </c>
      <c r="B132" s="3">
        <v>11450</v>
      </c>
      <c r="C132">
        <v>2025</v>
      </c>
      <c r="D132">
        <v>330000</v>
      </c>
      <c r="E132" s="2" t="s">
        <v>870</v>
      </c>
    </row>
    <row r="133" spans="1:5" x14ac:dyDescent="0.25">
      <c r="A133">
        <v>330020</v>
      </c>
      <c r="B133" s="3">
        <v>1200</v>
      </c>
      <c r="C133">
        <v>2025</v>
      </c>
      <c r="D133">
        <v>330020</v>
      </c>
      <c r="E133" s="2" t="s">
        <v>876</v>
      </c>
    </row>
    <row r="134" spans="1:5" x14ac:dyDescent="0.25">
      <c r="A134">
        <v>330090</v>
      </c>
      <c r="B134" s="3">
        <v>1320</v>
      </c>
      <c r="C134">
        <v>2025</v>
      </c>
      <c r="D134">
        <v>627105</v>
      </c>
      <c r="E134" s="2" t="s">
        <v>1512</v>
      </c>
    </row>
    <row r="135" spans="1:5" x14ac:dyDescent="0.25">
      <c r="A135">
        <v>330110</v>
      </c>
      <c r="B135" s="3">
        <v>1418</v>
      </c>
      <c r="C135">
        <v>2025</v>
      </c>
      <c r="D135">
        <v>330111</v>
      </c>
      <c r="E135" s="2" t="s">
        <v>881</v>
      </c>
    </row>
    <row r="136" spans="1:5" x14ac:dyDescent="0.25">
      <c r="A136">
        <v>330130</v>
      </c>
      <c r="B136" s="3">
        <v>2736</v>
      </c>
      <c r="C136">
        <v>2025</v>
      </c>
      <c r="D136">
        <v>330133</v>
      </c>
      <c r="E136" s="2" t="s">
        <v>886</v>
      </c>
    </row>
    <row r="137" spans="1:5" x14ac:dyDescent="0.25">
      <c r="A137">
        <v>330175</v>
      </c>
      <c r="B137" s="3">
        <v>456</v>
      </c>
      <c r="C137">
        <v>2025</v>
      </c>
      <c r="D137">
        <v>550224</v>
      </c>
      <c r="E137" s="2" t="s">
        <v>1274</v>
      </c>
    </row>
    <row r="138" spans="1:5" x14ac:dyDescent="0.25">
      <c r="A138">
        <v>330177</v>
      </c>
      <c r="B138" s="3">
        <v>1458</v>
      </c>
      <c r="C138">
        <v>2025</v>
      </c>
      <c r="D138">
        <v>550221</v>
      </c>
      <c r="E138" s="2" t="s">
        <v>1267</v>
      </c>
    </row>
    <row r="139" spans="1:5" x14ac:dyDescent="0.25">
      <c r="A139">
        <v>330178</v>
      </c>
      <c r="B139" s="3">
        <v>600</v>
      </c>
      <c r="C139">
        <v>2025</v>
      </c>
      <c r="D139">
        <v>550680</v>
      </c>
      <c r="E139" s="2" t="s">
        <v>1297</v>
      </c>
    </row>
    <row r="140" spans="1:5" x14ac:dyDescent="0.25">
      <c r="A140">
        <v>330240</v>
      </c>
      <c r="B140" s="3">
        <v>456</v>
      </c>
      <c r="C140">
        <v>2025</v>
      </c>
      <c r="D140">
        <v>550280</v>
      </c>
      <c r="E140" s="2" t="s">
        <v>1284</v>
      </c>
    </row>
    <row r="141" spans="1:5" x14ac:dyDescent="0.25">
      <c r="A141">
        <v>330260</v>
      </c>
      <c r="B141" s="3">
        <v>456</v>
      </c>
      <c r="C141">
        <v>2025</v>
      </c>
      <c r="D141">
        <v>4001046</v>
      </c>
      <c r="E141" s="2" t="s">
        <v>1547</v>
      </c>
    </row>
    <row r="142" spans="1:5" x14ac:dyDescent="0.25">
      <c r="A142">
        <v>330320</v>
      </c>
      <c r="B142" s="3">
        <v>1834</v>
      </c>
      <c r="C142">
        <v>2025</v>
      </c>
      <c r="D142">
        <v>330320</v>
      </c>
      <c r="E142" s="2" t="s">
        <v>893</v>
      </c>
    </row>
    <row r="143" spans="1:5" x14ac:dyDescent="0.25">
      <c r="A143">
        <v>330400</v>
      </c>
      <c r="B143" s="3">
        <v>456</v>
      </c>
      <c r="C143">
        <v>2025</v>
      </c>
      <c r="D143">
        <v>330406</v>
      </c>
      <c r="E143" s="2" t="s">
        <v>899</v>
      </c>
    </row>
    <row r="144" spans="1:5" x14ac:dyDescent="0.25">
      <c r="A144">
        <v>330435</v>
      </c>
      <c r="B144" s="3">
        <v>1000</v>
      </c>
      <c r="C144">
        <v>2025</v>
      </c>
      <c r="D144">
        <v>550340</v>
      </c>
      <c r="E144" s="2" t="s">
        <v>1292</v>
      </c>
    </row>
    <row r="145" spans="1:5" x14ac:dyDescent="0.25">
      <c r="A145">
        <v>330450</v>
      </c>
      <c r="B145" s="3">
        <v>534</v>
      </c>
      <c r="C145">
        <v>2025</v>
      </c>
      <c r="D145">
        <v>330450</v>
      </c>
      <c r="E145" s="2" t="s">
        <v>906</v>
      </c>
    </row>
    <row r="146" spans="1:5" x14ac:dyDescent="0.25">
      <c r="A146">
        <v>330470</v>
      </c>
      <c r="B146" s="3">
        <v>500</v>
      </c>
      <c r="C146">
        <v>2025</v>
      </c>
      <c r="D146">
        <v>330470</v>
      </c>
      <c r="E146" s="2" t="s">
        <v>912</v>
      </c>
    </row>
    <row r="147" spans="1:5" x14ac:dyDescent="0.25">
      <c r="A147">
        <v>330560</v>
      </c>
      <c r="B147" s="3">
        <v>476</v>
      </c>
      <c r="C147">
        <v>2025</v>
      </c>
      <c r="D147">
        <v>330561</v>
      </c>
      <c r="E147" s="2" t="s">
        <v>925</v>
      </c>
    </row>
    <row r="148" spans="1:5" x14ac:dyDescent="0.25">
      <c r="A148">
        <v>330670</v>
      </c>
      <c r="B148" s="3">
        <v>506</v>
      </c>
      <c r="C148">
        <v>2025</v>
      </c>
      <c r="D148">
        <v>330674</v>
      </c>
      <c r="E148" s="2" t="s">
        <v>929</v>
      </c>
    </row>
    <row r="149" spans="1:5" x14ac:dyDescent="0.25">
      <c r="A149">
        <v>330690</v>
      </c>
      <c r="B149" s="3">
        <v>918</v>
      </c>
      <c r="C149">
        <v>2025</v>
      </c>
      <c r="D149">
        <v>330691</v>
      </c>
      <c r="E149" s="2" t="s">
        <v>934</v>
      </c>
    </row>
    <row r="150" spans="1:5" x14ac:dyDescent="0.25">
      <c r="A150">
        <v>330720</v>
      </c>
      <c r="B150" s="3">
        <v>1386</v>
      </c>
      <c r="C150">
        <v>2025</v>
      </c>
      <c r="D150">
        <v>330720</v>
      </c>
      <c r="E150" s="2" t="s">
        <v>940</v>
      </c>
    </row>
    <row r="151" spans="1:5" x14ac:dyDescent="0.25">
      <c r="A151">
        <v>330760</v>
      </c>
      <c r="B151" s="3">
        <v>494</v>
      </c>
      <c r="C151">
        <v>2025</v>
      </c>
      <c r="D151">
        <v>330760</v>
      </c>
      <c r="E151" s="2" t="s">
        <v>946</v>
      </c>
    </row>
    <row r="152" spans="1:5" x14ac:dyDescent="0.25">
      <c r="A152">
        <v>330800</v>
      </c>
      <c r="B152" s="3">
        <v>1368</v>
      </c>
      <c r="C152">
        <v>2025</v>
      </c>
      <c r="D152">
        <v>330800</v>
      </c>
      <c r="E152" s="2" t="s">
        <v>956</v>
      </c>
    </row>
    <row r="153" spans="1:5" x14ac:dyDescent="0.25">
      <c r="A153">
        <v>330820</v>
      </c>
      <c r="B153" s="3">
        <v>756</v>
      </c>
      <c r="C153">
        <v>2025</v>
      </c>
      <c r="D153">
        <v>626762</v>
      </c>
      <c r="E153" s="2" t="s">
        <v>1466</v>
      </c>
    </row>
    <row r="154" spans="1:5" x14ac:dyDescent="0.25">
      <c r="A154">
        <v>340025</v>
      </c>
      <c r="B154" s="3">
        <v>380</v>
      </c>
      <c r="C154">
        <v>2025</v>
      </c>
      <c r="D154">
        <v>624962</v>
      </c>
      <c r="E154" s="2" t="s">
        <v>1385</v>
      </c>
    </row>
    <row r="155" spans="1:5" x14ac:dyDescent="0.25">
      <c r="A155">
        <v>340028</v>
      </c>
      <c r="B155" s="3">
        <v>456</v>
      </c>
      <c r="C155">
        <v>2025</v>
      </c>
      <c r="D155">
        <v>5026688</v>
      </c>
      <c r="E155" s="2" t="s">
        <v>1626</v>
      </c>
    </row>
    <row r="156" spans="1:5" x14ac:dyDescent="0.25">
      <c r="A156">
        <v>340060</v>
      </c>
      <c r="B156" s="3">
        <v>2670</v>
      </c>
      <c r="C156">
        <v>2025</v>
      </c>
      <c r="D156">
        <v>110060</v>
      </c>
      <c r="E156" s="2" t="s">
        <v>304</v>
      </c>
    </row>
    <row r="157" spans="1:5" x14ac:dyDescent="0.25">
      <c r="A157">
        <v>340060</v>
      </c>
      <c r="B157" s="3">
        <v>1368</v>
      </c>
      <c r="C157">
        <v>2025</v>
      </c>
      <c r="D157">
        <v>110062</v>
      </c>
      <c r="E157" s="2" t="s">
        <v>311</v>
      </c>
    </row>
    <row r="158" spans="1:5" x14ac:dyDescent="0.25">
      <c r="A158">
        <v>340090</v>
      </c>
      <c r="B158" s="3">
        <v>456</v>
      </c>
      <c r="C158">
        <v>2025</v>
      </c>
      <c r="D158">
        <v>627320</v>
      </c>
      <c r="E158" s="2" t="s">
        <v>1523</v>
      </c>
    </row>
    <row r="159" spans="1:5" x14ac:dyDescent="0.25">
      <c r="A159">
        <v>340092</v>
      </c>
      <c r="B159" s="3">
        <v>912</v>
      </c>
      <c r="C159">
        <v>2025</v>
      </c>
      <c r="D159">
        <v>627438</v>
      </c>
      <c r="E159" s="2" t="s">
        <v>1529</v>
      </c>
    </row>
    <row r="160" spans="1:5" x14ac:dyDescent="0.25">
      <c r="A160">
        <v>340182</v>
      </c>
      <c r="B160" s="3">
        <v>760</v>
      </c>
      <c r="C160">
        <v>2025</v>
      </c>
      <c r="D160">
        <v>200180</v>
      </c>
      <c r="E160" s="2" t="s">
        <v>361</v>
      </c>
    </row>
    <row r="161" spans="1:5" x14ac:dyDescent="0.25">
      <c r="A161">
        <v>340225</v>
      </c>
      <c r="B161" s="3">
        <v>365</v>
      </c>
      <c r="C161">
        <v>2025</v>
      </c>
      <c r="D161">
        <v>200225</v>
      </c>
      <c r="E161" s="2" t="s">
        <v>514</v>
      </c>
    </row>
    <row r="162" spans="1:5" x14ac:dyDescent="0.25">
      <c r="A162">
        <v>340230</v>
      </c>
      <c r="B162" s="3">
        <v>494</v>
      </c>
      <c r="C162">
        <v>2025</v>
      </c>
      <c r="D162">
        <v>200230</v>
      </c>
      <c r="E162" s="2" t="s">
        <v>519</v>
      </c>
    </row>
    <row r="163" spans="1:5" x14ac:dyDescent="0.25">
      <c r="A163">
        <v>340240</v>
      </c>
      <c r="B163" s="3">
        <v>800</v>
      </c>
      <c r="C163">
        <v>2025</v>
      </c>
      <c r="D163">
        <v>110242</v>
      </c>
      <c r="E163" s="2" t="s">
        <v>315</v>
      </c>
    </row>
    <row r="164" spans="1:5" x14ac:dyDescent="0.25">
      <c r="A164">
        <v>340335</v>
      </c>
      <c r="B164" s="3">
        <v>1428</v>
      </c>
      <c r="C164">
        <v>2025</v>
      </c>
      <c r="D164">
        <v>130180</v>
      </c>
      <c r="E164" s="2" t="s">
        <v>386</v>
      </c>
    </row>
    <row r="165" spans="1:5" x14ac:dyDescent="0.25">
      <c r="A165">
        <v>360070</v>
      </c>
      <c r="B165" s="3">
        <v>1000</v>
      </c>
      <c r="C165">
        <v>2025</v>
      </c>
      <c r="D165">
        <v>625142</v>
      </c>
      <c r="E165" s="2" t="s">
        <v>1392</v>
      </c>
    </row>
    <row r="166" spans="1:5" x14ac:dyDescent="0.25">
      <c r="A166">
        <v>360220</v>
      </c>
      <c r="B166" s="3">
        <v>456</v>
      </c>
      <c r="C166">
        <v>2025</v>
      </c>
      <c r="D166">
        <v>625401</v>
      </c>
      <c r="E166" s="2" t="s">
        <v>1405</v>
      </c>
    </row>
    <row r="167" spans="1:5" x14ac:dyDescent="0.25">
      <c r="A167">
        <v>370020</v>
      </c>
      <c r="B167" s="3">
        <v>456</v>
      </c>
      <c r="C167">
        <v>2025</v>
      </c>
      <c r="D167">
        <v>624925</v>
      </c>
      <c r="E167" s="2" t="s">
        <v>1076</v>
      </c>
    </row>
    <row r="168" spans="1:5" x14ac:dyDescent="0.25">
      <c r="A168">
        <v>370040</v>
      </c>
      <c r="B168" s="3">
        <v>1398</v>
      </c>
      <c r="C168">
        <v>2025</v>
      </c>
      <c r="D168">
        <v>370041</v>
      </c>
      <c r="E168" s="2" t="s">
        <v>963</v>
      </c>
    </row>
    <row r="169" spans="1:5" x14ac:dyDescent="0.25">
      <c r="A169">
        <v>370050</v>
      </c>
      <c r="B169" s="3">
        <v>418</v>
      </c>
      <c r="C169">
        <v>2025</v>
      </c>
      <c r="D169">
        <v>370050</v>
      </c>
      <c r="E169" s="2" t="s">
        <v>969</v>
      </c>
    </row>
    <row r="170" spans="1:5" x14ac:dyDescent="0.25">
      <c r="A170">
        <v>370080</v>
      </c>
      <c r="B170" s="3">
        <v>100</v>
      </c>
      <c r="C170">
        <v>2025</v>
      </c>
      <c r="D170">
        <v>5027242</v>
      </c>
      <c r="E170" s="2" t="s">
        <v>1638</v>
      </c>
    </row>
    <row r="171" spans="1:5" x14ac:dyDescent="0.25">
      <c r="A171">
        <v>370140</v>
      </c>
      <c r="B171" s="3">
        <v>912</v>
      </c>
      <c r="C171">
        <v>2025</v>
      </c>
      <c r="D171">
        <v>370146</v>
      </c>
      <c r="E171" s="2" t="s">
        <v>976</v>
      </c>
    </row>
    <row r="172" spans="1:5" x14ac:dyDescent="0.25">
      <c r="A172">
        <v>370170</v>
      </c>
      <c r="B172" s="3">
        <v>489</v>
      </c>
      <c r="C172">
        <v>2025</v>
      </c>
      <c r="D172">
        <v>370177</v>
      </c>
      <c r="E172" s="2" t="s">
        <v>981</v>
      </c>
    </row>
    <row r="173" spans="1:5" x14ac:dyDescent="0.25">
      <c r="A173">
        <v>370220</v>
      </c>
      <c r="B173" s="3">
        <v>250</v>
      </c>
      <c r="C173">
        <v>2025</v>
      </c>
      <c r="D173">
        <v>5026611</v>
      </c>
      <c r="E173" s="2" t="s">
        <v>1621</v>
      </c>
    </row>
    <row r="174" spans="1:5" x14ac:dyDescent="0.25">
      <c r="A174">
        <v>370270</v>
      </c>
      <c r="B174" s="3">
        <v>456</v>
      </c>
      <c r="C174">
        <v>2025</v>
      </c>
      <c r="D174">
        <v>370270</v>
      </c>
      <c r="E174" s="2" t="s">
        <v>996</v>
      </c>
    </row>
    <row r="175" spans="1:5" x14ac:dyDescent="0.25">
      <c r="A175">
        <v>370310</v>
      </c>
      <c r="B175" s="3">
        <v>2280</v>
      </c>
      <c r="C175">
        <v>2025</v>
      </c>
      <c r="D175">
        <v>618977</v>
      </c>
      <c r="E175" s="2" t="s">
        <v>1367</v>
      </c>
    </row>
    <row r="176" spans="1:5" x14ac:dyDescent="0.25">
      <c r="A176">
        <v>370320</v>
      </c>
      <c r="B176" s="3">
        <v>962</v>
      </c>
      <c r="C176">
        <v>2025</v>
      </c>
      <c r="D176">
        <v>370326</v>
      </c>
      <c r="E176" s="2" t="s">
        <v>1005</v>
      </c>
    </row>
    <row r="177" spans="1:5" x14ac:dyDescent="0.25">
      <c r="A177">
        <v>370320</v>
      </c>
      <c r="B177" s="3">
        <v>1000</v>
      </c>
      <c r="C177">
        <v>2025</v>
      </c>
      <c r="D177">
        <v>370321</v>
      </c>
      <c r="E177" s="2" t="s">
        <v>1003</v>
      </c>
    </row>
    <row r="178" spans="1:5" x14ac:dyDescent="0.25">
      <c r="A178">
        <v>370380</v>
      </c>
      <c r="B178" s="3">
        <v>4104</v>
      </c>
      <c r="C178">
        <v>2025</v>
      </c>
      <c r="D178">
        <v>370380</v>
      </c>
      <c r="E178" s="2" t="s">
        <v>1014</v>
      </c>
    </row>
    <row r="179" spans="1:5" x14ac:dyDescent="0.25">
      <c r="A179">
        <v>370400</v>
      </c>
      <c r="B179" s="3">
        <v>912</v>
      </c>
      <c r="C179">
        <v>2025</v>
      </c>
      <c r="D179">
        <v>370414</v>
      </c>
      <c r="E179" s="2" t="s">
        <v>1020</v>
      </c>
    </row>
    <row r="180" spans="1:5" x14ac:dyDescent="0.25">
      <c r="A180">
        <v>390030</v>
      </c>
      <c r="B180" s="3">
        <v>360</v>
      </c>
      <c r="C180">
        <v>2025</v>
      </c>
      <c r="D180">
        <v>612200</v>
      </c>
      <c r="E180" s="2" t="s">
        <v>1339</v>
      </c>
    </row>
    <row r="181" spans="1:5" x14ac:dyDescent="0.25">
      <c r="A181">
        <v>390033</v>
      </c>
      <c r="B181" s="3">
        <v>456</v>
      </c>
      <c r="C181">
        <v>2025</v>
      </c>
      <c r="D181">
        <v>70026</v>
      </c>
      <c r="E181" s="2" t="s">
        <v>177</v>
      </c>
    </row>
    <row r="182" spans="1:5" x14ac:dyDescent="0.25">
      <c r="A182">
        <v>390042</v>
      </c>
      <c r="B182" s="3">
        <v>8816</v>
      </c>
      <c r="C182">
        <v>2025</v>
      </c>
      <c r="D182">
        <v>70064</v>
      </c>
      <c r="E182" s="2" t="s">
        <v>189</v>
      </c>
    </row>
    <row r="183" spans="1:5" x14ac:dyDescent="0.25">
      <c r="A183">
        <v>390045</v>
      </c>
      <c r="B183" s="3">
        <v>912</v>
      </c>
      <c r="C183">
        <v>2025</v>
      </c>
      <c r="D183">
        <v>390045</v>
      </c>
      <c r="E183" s="2" t="s">
        <v>1054</v>
      </c>
    </row>
    <row r="184" spans="1:5" x14ac:dyDescent="0.25">
      <c r="A184">
        <v>390070</v>
      </c>
      <c r="B184" s="3">
        <v>456</v>
      </c>
      <c r="C184">
        <v>2025</v>
      </c>
      <c r="D184">
        <v>70077</v>
      </c>
      <c r="E184" s="2" t="s">
        <v>195</v>
      </c>
    </row>
    <row r="185" spans="1:5" x14ac:dyDescent="0.25">
      <c r="A185">
        <v>390106</v>
      </c>
      <c r="B185" s="3">
        <v>390</v>
      </c>
      <c r="C185">
        <v>2025</v>
      </c>
      <c r="D185">
        <v>620178</v>
      </c>
      <c r="E185" s="2" t="s">
        <v>1373</v>
      </c>
    </row>
    <row r="186" spans="1:5" x14ac:dyDescent="0.25">
      <c r="A186">
        <v>390152</v>
      </c>
      <c r="B186" s="3">
        <v>6900</v>
      </c>
      <c r="C186">
        <v>2025</v>
      </c>
      <c r="D186">
        <v>70160</v>
      </c>
      <c r="E186" s="2" t="s">
        <v>201</v>
      </c>
    </row>
    <row r="187" spans="1:5" x14ac:dyDescent="0.25">
      <c r="A187">
        <v>390180</v>
      </c>
      <c r="B187" s="3">
        <v>1824</v>
      </c>
      <c r="C187">
        <v>2025</v>
      </c>
      <c r="D187">
        <v>390180</v>
      </c>
      <c r="E187" s="2" t="s">
        <v>1061</v>
      </c>
    </row>
    <row r="188" spans="1:5" x14ac:dyDescent="0.25">
      <c r="A188">
        <v>390209</v>
      </c>
      <c r="B188" s="3">
        <v>456</v>
      </c>
      <c r="C188">
        <v>2025</v>
      </c>
      <c r="D188">
        <v>10294</v>
      </c>
      <c r="E188" s="2" t="s">
        <v>91</v>
      </c>
    </row>
    <row r="189" spans="1:5" x14ac:dyDescent="0.25">
      <c r="A189">
        <v>390240</v>
      </c>
      <c r="B189" s="3">
        <v>912</v>
      </c>
      <c r="C189">
        <v>2025</v>
      </c>
      <c r="D189">
        <v>614383</v>
      </c>
      <c r="E189" s="2" t="s">
        <v>1353</v>
      </c>
    </row>
    <row r="190" spans="1:5" x14ac:dyDescent="0.25">
      <c r="A190">
        <v>390250</v>
      </c>
      <c r="B190" s="3">
        <v>456</v>
      </c>
      <c r="C190">
        <v>2025</v>
      </c>
      <c r="D190">
        <v>390254</v>
      </c>
      <c r="E190" s="2" t="s">
        <v>1067</v>
      </c>
    </row>
    <row r="191" spans="1:5" x14ac:dyDescent="0.25">
      <c r="A191">
        <v>420010</v>
      </c>
      <c r="B191" s="3">
        <v>912</v>
      </c>
      <c r="C191">
        <v>2025</v>
      </c>
      <c r="D191">
        <v>420014</v>
      </c>
      <c r="E191" s="2" t="s">
        <v>1076</v>
      </c>
    </row>
    <row r="192" spans="1:5" x14ac:dyDescent="0.25">
      <c r="A192">
        <v>420025</v>
      </c>
      <c r="B192" s="3">
        <v>470</v>
      </c>
      <c r="C192">
        <v>2025</v>
      </c>
      <c r="D192">
        <v>420023</v>
      </c>
      <c r="E192" s="2" t="s">
        <v>1082</v>
      </c>
    </row>
    <row r="193" spans="1:5" x14ac:dyDescent="0.25">
      <c r="A193">
        <v>420040</v>
      </c>
      <c r="B193" s="3">
        <v>456</v>
      </c>
      <c r="C193">
        <v>2025</v>
      </c>
      <c r="D193">
        <v>420044</v>
      </c>
      <c r="E193" s="2" t="s">
        <v>1090</v>
      </c>
    </row>
    <row r="194" spans="1:5" x14ac:dyDescent="0.25">
      <c r="A194">
        <v>420050</v>
      </c>
      <c r="B194" s="3">
        <v>3953</v>
      </c>
      <c r="C194">
        <v>2025</v>
      </c>
      <c r="D194">
        <v>420052</v>
      </c>
      <c r="E194" s="2" t="s">
        <v>1107</v>
      </c>
    </row>
    <row r="195" spans="1:5" x14ac:dyDescent="0.25">
      <c r="A195">
        <v>420080</v>
      </c>
      <c r="B195" s="3">
        <v>988</v>
      </c>
      <c r="C195">
        <v>2025</v>
      </c>
      <c r="D195">
        <v>420088</v>
      </c>
      <c r="E195" s="2" t="s">
        <v>1124</v>
      </c>
    </row>
    <row r="196" spans="1:5" x14ac:dyDescent="0.25">
      <c r="A196">
        <v>420100</v>
      </c>
      <c r="B196" s="3">
        <v>1012</v>
      </c>
      <c r="C196">
        <v>2025</v>
      </c>
      <c r="D196">
        <v>420106</v>
      </c>
      <c r="E196" s="2" t="s">
        <v>1130</v>
      </c>
    </row>
    <row r="197" spans="1:5" x14ac:dyDescent="0.25">
      <c r="A197">
        <v>420108</v>
      </c>
      <c r="B197" s="3">
        <v>456</v>
      </c>
      <c r="C197">
        <v>2025</v>
      </c>
      <c r="D197">
        <v>5022657</v>
      </c>
      <c r="E197" s="2" t="s">
        <v>1570</v>
      </c>
    </row>
    <row r="198" spans="1:5" x14ac:dyDescent="0.25">
      <c r="A198">
        <v>420135</v>
      </c>
      <c r="B198" s="3">
        <v>456</v>
      </c>
      <c r="C198">
        <v>2025</v>
      </c>
      <c r="D198">
        <v>420134</v>
      </c>
      <c r="E198" s="2" t="s">
        <v>1136</v>
      </c>
    </row>
    <row r="199" spans="1:5" x14ac:dyDescent="0.25">
      <c r="A199">
        <v>420140</v>
      </c>
      <c r="B199" s="3">
        <v>456</v>
      </c>
      <c r="C199">
        <v>2025</v>
      </c>
      <c r="D199">
        <v>420146</v>
      </c>
      <c r="E199" s="2" t="s">
        <v>1143</v>
      </c>
    </row>
    <row r="200" spans="1:5" x14ac:dyDescent="0.25">
      <c r="A200">
        <v>420180</v>
      </c>
      <c r="B200" s="3">
        <v>1112</v>
      </c>
      <c r="C200">
        <v>2025</v>
      </c>
      <c r="D200">
        <v>601365</v>
      </c>
      <c r="E200" s="2" t="s">
        <v>1302</v>
      </c>
    </row>
    <row r="201" spans="1:5" x14ac:dyDescent="0.25">
      <c r="A201">
        <v>420190</v>
      </c>
      <c r="B201" s="3">
        <v>456</v>
      </c>
      <c r="C201">
        <v>2025</v>
      </c>
      <c r="D201">
        <v>420191</v>
      </c>
      <c r="E201" s="2" t="s">
        <v>1149</v>
      </c>
    </row>
    <row r="202" spans="1:5" x14ac:dyDescent="0.25">
      <c r="A202">
        <v>420200</v>
      </c>
      <c r="B202" s="3">
        <v>576</v>
      </c>
      <c r="C202">
        <v>2025</v>
      </c>
      <c r="D202">
        <v>420200</v>
      </c>
      <c r="E202" s="2" t="s">
        <v>1154</v>
      </c>
    </row>
    <row r="203" spans="1:5" x14ac:dyDescent="0.25">
      <c r="A203">
        <v>420270</v>
      </c>
      <c r="B203" s="3">
        <v>1177</v>
      </c>
      <c r="C203">
        <v>2025</v>
      </c>
      <c r="D203">
        <v>420273</v>
      </c>
      <c r="E203" s="2" t="s">
        <v>1159</v>
      </c>
    </row>
    <row r="204" spans="1:5" x14ac:dyDescent="0.25">
      <c r="A204">
        <v>420300</v>
      </c>
      <c r="B204" s="3">
        <v>2640</v>
      </c>
      <c r="C204">
        <v>2025</v>
      </c>
      <c r="D204">
        <v>420300</v>
      </c>
      <c r="E204" s="2" t="s">
        <v>91</v>
      </c>
    </row>
    <row r="205" spans="1:5" x14ac:dyDescent="0.25">
      <c r="A205">
        <v>420360</v>
      </c>
      <c r="B205" s="3">
        <v>1368</v>
      </c>
      <c r="C205">
        <v>2025</v>
      </c>
      <c r="D205">
        <v>420361</v>
      </c>
      <c r="E205" s="2" t="s">
        <v>1171</v>
      </c>
    </row>
    <row r="206" spans="1:5" x14ac:dyDescent="0.25">
      <c r="A206">
        <v>420365</v>
      </c>
      <c r="B206" s="3">
        <v>2530</v>
      </c>
      <c r="C206">
        <v>2025</v>
      </c>
      <c r="D206">
        <v>420365</v>
      </c>
      <c r="E206" s="2" t="s">
        <v>1178</v>
      </c>
    </row>
    <row r="207" spans="1:5" x14ac:dyDescent="0.25">
      <c r="A207">
        <v>420440</v>
      </c>
      <c r="B207" s="3">
        <v>805</v>
      </c>
      <c r="C207">
        <v>2025</v>
      </c>
      <c r="D207">
        <v>420442</v>
      </c>
      <c r="E207" s="2" t="s">
        <v>1189</v>
      </c>
    </row>
    <row r="208" spans="1:5" x14ac:dyDescent="0.25">
      <c r="A208">
        <v>420450</v>
      </c>
      <c r="B208" s="3">
        <v>730</v>
      </c>
      <c r="C208">
        <v>2025</v>
      </c>
      <c r="D208">
        <v>420459</v>
      </c>
      <c r="E208" s="2" t="s">
        <v>1196</v>
      </c>
    </row>
    <row r="209" spans="1:5" x14ac:dyDescent="0.25">
      <c r="A209">
        <v>420510</v>
      </c>
      <c r="B209" s="3">
        <v>380</v>
      </c>
      <c r="C209">
        <v>2025</v>
      </c>
      <c r="D209">
        <v>420516</v>
      </c>
      <c r="E209" s="2" t="s">
        <v>1201</v>
      </c>
    </row>
    <row r="210" spans="1:5" x14ac:dyDescent="0.25">
      <c r="A210">
        <v>420520</v>
      </c>
      <c r="B210" s="3">
        <v>6430</v>
      </c>
      <c r="C210">
        <v>2025</v>
      </c>
      <c r="D210">
        <v>420520</v>
      </c>
      <c r="E210" s="2" t="s">
        <v>1207</v>
      </c>
    </row>
    <row r="211" spans="1:5" x14ac:dyDescent="0.25">
      <c r="A211">
        <v>420580</v>
      </c>
      <c r="B211" s="3">
        <v>1064</v>
      </c>
      <c r="C211">
        <v>2025</v>
      </c>
      <c r="D211">
        <v>420585</v>
      </c>
      <c r="E211" s="2" t="s">
        <v>1222</v>
      </c>
    </row>
    <row r="212" spans="1:5" x14ac:dyDescent="0.25">
      <c r="A212">
        <v>420610</v>
      </c>
      <c r="B212" s="3">
        <v>1392</v>
      </c>
      <c r="C212">
        <v>2025</v>
      </c>
      <c r="D212">
        <v>420611</v>
      </c>
      <c r="E212" s="2" t="s">
        <v>1228</v>
      </c>
    </row>
    <row r="213" spans="1:5" x14ac:dyDescent="0.25">
      <c r="A213">
        <v>420630</v>
      </c>
      <c r="B213" s="3">
        <v>960</v>
      </c>
      <c r="C213">
        <v>2025</v>
      </c>
      <c r="D213">
        <v>420636</v>
      </c>
      <c r="E213" s="2" t="s">
        <v>1234</v>
      </c>
    </row>
    <row r="214" spans="1:5" x14ac:dyDescent="0.25">
      <c r="A214">
        <v>420660</v>
      </c>
      <c r="B214" s="3">
        <v>342</v>
      </c>
      <c r="C214">
        <v>2025</v>
      </c>
      <c r="D214">
        <v>420669</v>
      </c>
      <c r="E214" s="2" t="s">
        <v>1239</v>
      </c>
    </row>
    <row r="215" spans="1:5" x14ac:dyDescent="0.25">
      <c r="A215">
        <v>420670</v>
      </c>
      <c r="B215" s="3">
        <v>684</v>
      </c>
      <c r="C215">
        <v>2025</v>
      </c>
      <c r="D215">
        <v>420671</v>
      </c>
      <c r="E215" s="2" t="s">
        <v>1243</v>
      </c>
    </row>
    <row r="216" spans="1:5" x14ac:dyDescent="0.25">
      <c r="A216">
        <v>420710</v>
      </c>
      <c r="B216" s="3">
        <v>912</v>
      </c>
      <c r="C216">
        <v>2025</v>
      </c>
      <c r="D216">
        <v>420706</v>
      </c>
      <c r="E216" s="2" t="s">
        <v>1249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E69F5-85A6-4C49-8F5C-51992581DBB8}">
  <dimension ref="A1:O330"/>
  <sheetViews>
    <sheetView workbookViewId="0">
      <selection sqref="A1:L330"/>
    </sheetView>
  </sheetViews>
  <sheetFormatPr defaultRowHeight="15" x14ac:dyDescent="0.25"/>
  <cols>
    <col min="1" max="1" width="11.42578125" bestFit="1" customWidth="1"/>
    <col min="2" max="2" width="12" bestFit="1" customWidth="1"/>
    <col min="3" max="3" width="18" bestFit="1" customWidth="1"/>
    <col min="4" max="4" width="10.85546875" bestFit="1" customWidth="1"/>
    <col min="5" max="5" width="44.5703125" bestFit="1" customWidth="1"/>
    <col min="6" max="6" width="39.5703125" bestFit="1" customWidth="1"/>
    <col min="7" max="7" width="29.42578125" bestFit="1" customWidth="1"/>
    <col min="8" max="8" width="19.7109375" bestFit="1" customWidth="1"/>
    <col min="9" max="9" width="8" bestFit="1" customWidth="1"/>
    <col min="10" max="10" width="11.5703125" bestFit="1" customWidth="1"/>
    <col min="11" max="11" width="40.140625" bestFit="1" customWidth="1"/>
    <col min="12" max="12" width="12.7109375" bestFit="1" customWidth="1"/>
    <col min="15" max="15" width="12.5703125" bestFit="1" customWidth="1"/>
  </cols>
  <sheetData>
    <row r="1" spans="1:15" x14ac:dyDescent="0.25">
      <c r="A1" t="s">
        <v>0</v>
      </c>
      <c r="B1" t="s">
        <v>1754</v>
      </c>
      <c r="C1" t="s">
        <v>5</v>
      </c>
      <c r="D1" t="s">
        <v>6</v>
      </c>
      <c r="E1" t="s">
        <v>13</v>
      </c>
      <c r="F1" t="s">
        <v>17</v>
      </c>
      <c r="G1" t="s">
        <v>18</v>
      </c>
      <c r="H1" t="s">
        <v>21</v>
      </c>
      <c r="I1" t="s">
        <v>22</v>
      </c>
      <c r="J1" t="s">
        <v>23</v>
      </c>
      <c r="K1" t="s">
        <v>33</v>
      </c>
      <c r="L1" t="s">
        <v>34</v>
      </c>
    </row>
    <row r="2" spans="1:15" x14ac:dyDescent="0.25">
      <c r="A2">
        <v>571840</v>
      </c>
      <c r="B2">
        <f>IFERROR(INDEX(Table3[church_num],MATCH(ICCM_giving[[#This Row],[FamilyId]],Table3[dd_acct_id],0)),"")</f>
        <v>390209</v>
      </c>
      <c r="C2">
        <v>10294</v>
      </c>
      <c r="D2">
        <v>10294</v>
      </c>
      <c r="E2" s="2" t="s">
        <v>91</v>
      </c>
      <c r="F2" s="2" t="s">
        <v>94</v>
      </c>
      <c r="G2" s="2" t="s">
        <v>95</v>
      </c>
      <c r="H2" s="2" t="s">
        <v>96</v>
      </c>
      <c r="I2" s="2" t="s">
        <v>97</v>
      </c>
      <c r="J2" t="s">
        <v>98</v>
      </c>
      <c r="K2" s="2" t="s">
        <v>101</v>
      </c>
      <c r="L2">
        <v>456</v>
      </c>
    </row>
    <row r="3" spans="1:15" x14ac:dyDescent="0.25">
      <c r="A3">
        <v>571841</v>
      </c>
      <c r="B3">
        <f>IFERROR(INDEX(Table3[church_num],MATCH(ICCM_giving[[#This Row],[FamilyId]],Table3[dd_acct_id],0)),"")</f>
        <v>30190</v>
      </c>
      <c r="C3">
        <v>30190</v>
      </c>
      <c r="D3">
        <v>30190</v>
      </c>
      <c r="E3" s="2" t="s">
        <v>102</v>
      </c>
      <c r="F3" s="2" t="s">
        <v>103</v>
      </c>
      <c r="G3" s="2"/>
      <c r="H3" s="2" t="s">
        <v>104</v>
      </c>
      <c r="I3" s="2" t="s">
        <v>105</v>
      </c>
      <c r="J3">
        <v>95966</v>
      </c>
      <c r="K3" s="2"/>
      <c r="L3">
        <v>5913.85</v>
      </c>
      <c r="O3" s="3"/>
    </row>
    <row r="4" spans="1:15" x14ac:dyDescent="0.25">
      <c r="A4">
        <v>571842</v>
      </c>
      <c r="B4">
        <f>IFERROR(INDEX(Table3[church_num],MATCH(ICCM_giving[[#This Row],[FamilyId]],Table3[dd_acct_id],0)),"")</f>
        <v>30190</v>
      </c>
      <c r="C4">
        <v>30191</v>
      </c>
      <c r="D4">
        <v>30191</v>
      </c>
      <c r="E4" s="2" t="s">
        <v>107</v>
      </c>
      <c r="F4" s="2" t="s">
        <v>108</v>
      </c>
      <c r="G4" s="2" t="s">
        <v>109</v>
      </c>
      <c r="H4" s="2" t="s">
        <v>110</v>
      </c>
      <c r="I4" s="2" t="s">
        <v>105</v>
      </c>
      <c r="J4" t="s">
        <v>111</v>
      </c>
      <c r="K4" s="2" t="s">
        <v>113</v>
      </c>
      <c r="L4">
        <v>1062</v>
      </c>
    </row>
    <row r="5" spans="1:15" x14ac:dyDescent="0.25">
      <c r="A5">
        <v>571843</v>
      </c>
      <c r="B5">
        <f>IFERROR(INDEX(Table3[church_num],MATCH(ICCM_giving[[#This Row],[FamilyId]],Table3[dd_acct_id],0)),"")</f>
        <v>30230</v>
      </c>
      <c r="C5">
        <v>30236</v>
      </c>
      <c r="D5">
        <v>30236</v>
      </c>
      <c r="E5" s="2" t="s">
        <v>114</v>
      </c>
      <c r="F5" s="2" t="s">
        <v>115</v>
      </c>
      <c r="G5" s="2" t="s">
        <v>116</v>
      </c>
      <c r="H5" s="2" t="s">
        <v>117</v>
      </c>
      <c r="I5" s="2" t="s">
        <v>105</v>
      </c>
      <c r="J5" t="s">
        <v>118</v>
      </c>
      <c r="K5" s="2"/>
      <c r="L5">
        <v>456</v>
      </c>
    </row>
    <row r="6" spans="1:15" x14ac:dyDescent="0.25">
      <c r="A6">
        <v>571844</v>
      </c>
      <c r="B6">
        <f>IFERROR(INDEX(Table3[church_num],MATCH(ICCM_giving[[#This Row],[FamilyId]],Table3[dd_acct_id],0)),"")</f>
        <v>240157</v>
      </c>
      <c r="C6">
        <v>50111</v>
      </c>
      <c r="D6">
        <v>50111</v>
      </c>
      <c r="E6" s="2" t="s">
        <v>120</v>
      </c>
      <c r="F6" s="2" t="s">
        <v>121</v>
      </c>
      <c r="G6" s="2" t="s">
        <v>122</v>
      </c>
      <c r="H6" s="2" t="s">
        <v>123</v>
      </c>
      <c r="I6" s="2" t="s">
        <v>124</v>
      </c>
      <c r="J6" t="s">
        <v>125</v>
      </c>
      <c r="K6" s="2" t="s">
        <v>127</v>
      </c>
      <c r="L6">
        <v>456</v>
      </c>
    </row>
    <row r="7" spans="1:15" x14ac:dyDescent="0.25">
      <c r="A7">
        <v>571845</v>
      </c>
      <c r="B7">
        <f>IFERROR(INDEX(Table3[church_num],MATCH(ICCM_giving[[#This Row],[FamilyId]],Table3[dd_acct_id],0)),"")</f>
        <v>240183</v>
      </c>
      <c r="C7">
        <v>50120</v>
      </c>
      <c r="D7">
        <v>50120</v>
      </c>
      <c r="E7" s="2" t="s">
        <v>128</v>
      </c>
      <c r="F7" s="2" t="s">
        <v>129</v>
      </c>
      <c r="G7" s="2"/>
      <c r="H7" s="2" t="s">
        <v>130</v>
      </c>
      <c r="I7" s="2" t="s">
        <v>124</v>
      </c>
      <c r="J7">
        <v>13350</v>
      </c>
      <c r="K7" s="2"/>
      <c r="L7">
        <v>1818</v>
      </c>
    </row>
    <row r="8" spans="1:15" x14ac:dyDescent="0.25">
      <c r="A8">
        <v>571846</v>
      </c>
      <c r="B8" t="str">
        <f>IFERROR(INDEX(Table3[church_num],MATCH(ICCM_giving[[#This Row],[FamilyId]],Table3[dd_acct_id],0)),"")</f>
        <v/>
      </c>
      <c r="C8">
        <v>50240</v>
      </c>
      <c r="D8">
        <v>50240</v>
      </c>
      <c r="E8" s="2" t="s">
        <v>132</v>
      </c>
      <c r="F8" s="2" t="s">
        <v>133</v>
      </c>
      <c r="G8" s="2" t="s">
        <v>134</v>
      </c>
      <c r="H8" s="2" t="s">
        <v>135</v>
      </c>
      <c r="I8" s="2" t="s">
        <v>124</v>
      </c>
      <c r="J8" t="s">
        <v>136</v>
      </c>
      <c r="K8" s="2"/>
      <c r="L8">
        <v>200</v>
      </c>
    </row>
    <row r="9" spans="1:15" x14ac:dyDescent="0.25">
      <c r="A9">
        <v>571847</v>
      </c>
      <c r="B9">
        <f>IFERROR(INDEX(Table3[church_num],MATCH(ICCM_giving[[#This Row],[FamilyId]],Table3[dd_acct_id],0)),"")</f>
        <v>240352</v>
      </c>
      <c r="C9">
        <v>50250</v>
      </c>
      <c r="D9">
        <v>50250</v>
      </c>
      <c r="E9" s="2" t="s">
        <v>138</v>
      </c>
      <c r="F9" s="2" t="s">
        <v>139</v>
      </c>
      <c r="G9" s="2" t="s">
        <v>140</v>
      </c>
      <c r="H9" s="2" t="s">
        <v>141</v>
      </c>
      <c r="I9" s="2" t="s">
        <v>124</v>
      </c>
      <c r="J9">
        <v>13329</v>
      </c>
      <c r="K9" s="2"/>
      <c r="L9">
        <v>912</v>
      </c>
    </row>
    <row r="10" spans="1:15" x14ac:dyDescent="0.25">
      <c r="A10">
        <v>571848</v>
      </c>
      <c r="B10">
        <f>IFERROR(INDEX(Table3[church_num],MATCH(ICCM_giving[[#This Row],[FamilyId]],Table3[dd_acct_id],0)),"")</f>
        <v>60015</v>
      </c>
      <c r="C10">
        <v>60015</v>
      </c>
      <c r="D10">
        <v>60015</v>
      </c>
      <c r="E10" s="2" t="s">
        <v>143</v>
      </c>
      <c r="F10" s="2" t="s">
        <v>144</v>
      </c>
      <c r="G10" s="2"/>
      <c r="H10" s="2" t="s">
        <v>145</v>
      </c>
      <c r="I10" s="2" t="s">
        <v>146</v>
      </c>
      <c r="J10" t="s">
        <v>147</v>
      </c>
      <c r="K10" s="2"/>
      <c r="L10">
        <v>500</v>
      </c>
    </row>
    <row r="11" spans="1:15" x14ac:dyDescent="0.25">
      <c r="A11">
        <v>571849</v>
      </c>
      <c r="B11">
        <f>IFERROR(INDEX(Table3[church_num],MATCH(ICCM_giving[[#This Row],[FamilyId]],Table3[dd_acct_id],0)),"")</f>
        <v>60070</v>
      </c>
      <c r="C11">
        <v>60070</v>
      </c>
      <c r="D11">
        <v>60070</v>
      </c>
      <c r="E11" s="2" t="s">
        <v>149</v>
      </c>
      <c r="F11" s="2" t="s">
        <v>150</v>
      </c>
      <c r="G11" s="2" t="s">
        <v>151</v>
      </c>
      <c r="H11" s="2" t="s">
        <v>152</v>
      </c>
      <c r="I11" s="2" t="s">
        <v>153</v>
      </c>
      <c r="J11" t="s">
        <v>154</v>
      </c>
      <c r="K11" s="2" t="s">
        <v>156</v>
      </c>
      <c r="L11">
        <v>456</v>
      </c>
    </row>
    <row r="12" spans="1:15" x14ac:dyDescent="0.25">
      <c r="A12">
        <v>571850</v>
      </c>
      <c r="B12">
        <f>IFERROR(INDEX(Table3[church_num],MATCH(ICCM_giving[[#This Row],[FamilyId]],Table3[dd_acct_id],0)),"")</f>
        <v>60090</v>
      </c>
      <c r="C12">
        <v>60094</v>
      </c>
      <c r="D12">
        <v>60094</v>
      </c>
      <c r="E12" s="2" t="s">
        <v>157</v>
      </c>
      <c r="F12" s="2" t="s">
        <v>158</v>
      </c>
      <c r="G12" s="2" t="s">
        <v>159</v>
      </c>
      <c r="H12" s="2" t="s">
        <v>160</v>
      </c>
      <c r="I12" s="2" t="s">
        <v>153</v>
      </c>
      <c r="J12" t="s">
        <v>161</v>
      </c>
      <c r="K12" s="2" t="s">
        <v>164</v>
      </c>
      <c r="L12">
        <v>456</v>
      </c>
    </row>
    <row r="13" spans="1:15" x14ac:dyDescent="0.25">
      <c r="A13">
        <v>571851</v>
      </c>
      <c r="B13">
        <f>IFERROR(INDEX(Table3[church_num],MATCH(ICCM_giving[[#This Row],[FamilyId]],Table3[dd_acct_id],0)),"")</f>
        <v>60160</v>
      </c>
      <c r="C13">
        <v>60160</v>
      </c>
      <c r="D13">
        <v>60160</v>
      </c>
      <c r="E13" s="2" t="s">
        <v>165</v>
      </c>
      <c r="F13" s="2" t="s">
        <v>166</v>
      </c>
      <c r="G13" s="2" t="s">
        <v>167</v>
      </c>
      <c r="H13" s="2" t="s">
        <v>168</v>
      </c>
      <c r="I13" s="2" t="s">
        <v>153</v>
      </c>
      <c r="J13" t="s">
        <v>169</v>
      </c>
      <c r="K13" s="2" t="s">
        <v>171</v>
      </c>
      <c r="L13">
        <v>228</v>
      </c>
    </row>
    <row r="14" spans="1:15" x14ac:dyDescent="0.25">
      <c r="A14">
        <v>571852</v>
      </c>
      <c r="B14">
        <f>IFERROR(INDEX(Table3[church_num],MATCH(ICCM_giving[[#This Row],[FamilyId]],Table3[dd_acct_id],0)),"")</f>
        <v>60180</v>
      </c>
      <c r="C14">
        <v>60180</v>
      </c>
      <c r="D14">
        <v>60180</v>
      </c>
      <c r="E14" s="2" t="s">
        <v>172</v>
      </c>
      <c r="F14" s="2" t="s">
        <v>173</v>
      </c>
      <c r="G14" s="2"/>
      <c r="H14" s="2" t="s">
        <v>174</v>
      </c>
      <c r="I14" s="2" t="s">
        <v>153</v>
      </c>
      <c r="J14">
        <v>62246</v>
      </c>
      <c r="K14" s="2" t="s">
        <v>176</v>
      </c>
      <c r="L14">
        <v>2280</v>
      </c>
    </row>
    <row r="15" spans="1:15" x14ac:dyDescent="0.25">
      <c r="A15">
        <v>571853</v>
      </c>
      <c r="B15">
        <f>IFERROR(INDEX(Table3[church_num],MATCH(ICCM_giving[[#This Row],[FamilyId]],Table3[dd_acct_id],0)),"")</f>
        <v>60180</v>
      </c>
      <c r="C15">
        <v>60180</v>
      </c>
      <c r="D15">
        <v>60180</v>
      </c>
      <c r="E15" s="2" t="s">
        <v>172</v>
      </c>
      <c r="F15" s="2" t="s">
        <v>173</v>
      </c>
      <c r="G15" s="2"/>
      <c r="H15" s="2" t="s">
        <v>174</v>
      </c>
      <c r="I15" s="2" t="s">
        <v>153</v>
      </c>
      <c r="J15">
        <v>62246</v>
      </c>
      <c r="K15" s="2" t="s">
        <v>176</v>
      </c>
      <c r="L15">
        <v>2280</v>
      </c>
    </row>
    <row r="16" spans="1:15" x14ac:dyDescent="0.25">
      <c r="A16">
        <v>571854</v>
      </c>
      <c r="B16">
        <f>IFERROR(INDEX(Table3[church_num],MATCH(ICCM_giving[[#This Row],[FamilyId]],Table3[dd_acct_id],0)),"")</f>
        <v>60180</v>
      </c>
      <c r="C16">
        <v>60180</v>
      </c>
      <c r="D16">
        <v>60180</v>
      </c>
      <c r="E16" s="2" t="s">
        <v>172</v>
      </c>
      <c r="F16" s="2" t="s">
        <v>173</v>
      </c>
      <c r="G16" s="2"/>
      <c r="H16" s="2" t="s">
        <v>174</v>
      </c>
      <c r="I16" s="2" t="s">
        <v>153</v>
      </c>
      <c r="J16">
        <v>62246</v>
      </c>
      <c r="K16" s="2" t="s">
        <v>176</v>
      </c>
      <c r="L16">
        <v>2280</v>
      </c>
    </row>
    <row r="17" spans="1:12" x14ac:dyDescent="0.25">
      <c r="A17">
        <v>571855</v>
      </c>
      <c r="B17">
        <f>IFERROR(INDEX(Table3[church_num],MATCH(ICCM_giving[[#This Row],[FamilyId]],Table3[dd_acct_id],0)),"")</f>
        <v>390033</v>
      </c>
      <c r="C17">
        <v>70026</v>
      </c>
      <c r="D17">
        <v>70026</v>
      </c>
      <c r="E17" s="2" t="s">
        <v>177</v>
      </c>
      <c r="F17" s="2" t="s">
        <v>178</v>
      </c>
      <c r="G17" s="2"/>
      <c r="H17" s="2" t="s">
        <v>179</v>
      </c>
      <c r="I17" s="2" t="s">
        <v>180</v>
      </c>
      <c r="J17">
        <v>83805</v>
      </c>
      <c r="K17" s="2" t="s">
        <v>182</v>
      </c>
      <c r="L17">
        <v>456</v>
      </c>
    </row>
    <row r="18" spans="1:12" x14ac:dyDescent="0.25">
      <c r="A18">
        <v>571856</v>
      </c>
      <c r="B18" t="str">
        <f>IFERROR(INDEX(Table3[church_num],MATCH(ICCM_giving[[#This Row],[FamilyId]],Table3[dd_acct_id],0)),"")</f>
        <v/>
      </c>
      <c r="C18">
        <v>70030</v>
      </c>
      <c r="D18">
        <v>70030</v>
      </c>
      <c r="E18" s="2" t="s">
        <v>183</v>
      </c>
      <c r="F18" s="2" t="s">
        <v>184</v>
      </c>
      <c r="G18" s="2"/>
      <c r="H18" s="2" t="s">
        <v>185</v>
      </c>
      <c r="I18" s="2" t="s">
        <v>180</v>
      </c>
      <c r="J18" t="s">
        <v>186</v>
      </c>
      <c r="K18" s="2" t="s">
        <v>188</v>
      </c>
      <c r="L18">
        <v>912</v>
      </c>
    </row>
    <row r="19" spans="1:12" x14ac:dyDescent="0.25">
      <c r="A19">
        <v>571857</v>
      </c>
      <c r="B19">
        <f>IFERROR(INDEX(Table3[church_num],MATCH(ICCM_giving[[#This Row],[FamilyId]],Table3[dd_acct_id],0)),"")</f>
        <v>390042</v>
      </c>
      <c r="C19">
        <v>70064</v>
      </c>
      <c r="D19">
        <v>70064</v>
      </c>
      <c r="E19" s="2" t="s">
        <v>189</v>
      </c>
      <c r="F19" s="2" t="s">
        <v>190</v>
      </c>
      <c r="G19" s="2"/>
      <c r="H19" s="2" t="s">
        <v>191</v>
      </c>
      <c r="I19" s="2" t="s">
        <v>192</v>
      </c>
      <c r="J19">
        <v>99114</v>
      </c>
      <c r="K19" s="2" t="s">
        <v>194</v>
      </c>
      <c r="L19">
        <v>8816</v>
      </c>
    </row>
    <row r="20" spans="1:12" x14ac:dyDescent="0.25">
      <c r="A20">
        <v>571858</v>
      </c>
      <c r="B20">
        <f>IFERROR(INDEX(Table3[church_num],MATCH(ICCM_giving[[#This Row],[FamilyId]],Table3[dd_acct_id],0)),"")</f>
        <v>390070</v>
      </c>
      <c r="C20">
        <v>70077</v>
      </c>
      <c r="D20">
        <v>70077</v>
      </c>
      <c r="E20" s="2" t="s">
        <v>195</v>
      </c>
      <c r="F20" s="2" t="s">
        <v>196</v>
      </c>
      <c r="G20" s="2" t="s">
        <v>197</v>
      </c>
      <c r="H20" s="2" t="s">
        <v>185</v>
      </c>
      <c r="I20" s="2" t="s">
        <v>180</v>
      </c>
      <c r="J20" t="s">
        <v>198</v>
      </c>
      <c r="K20" s="2" t="s">
        <v>200</v>
      </c>
      <c r="L20">
        <v>456</v>
      </c>
    </row>
    <row r="21" spans="1:12" x14ac:dyDescent="0.25">
      <c r="A21">
        <v>571861</v>
      </c>
      <c r="B21">
        <f>IFERROR(INDEX(Table3[church_num],MATCH(ICCM_giving[[#This Row],[FamilyId]],Table3[dd_acct_id],0)),"")</f>
        <v>390152</v>
      </c>
      <c r="C21">
        <v>70160</v>
      </c>
      <c r="D21">
        <v>70160</v>
      </c>
      <c r="E21" s="2" t="s">
        <v>201</v>
      </c>
      <c r="F21" s="2" t="s">
        <v>202</v>
      </c>
      <c r="G21" s="2"/>
      <c r="H21" s="2" t="s">
        <v>203</v>
      </c>
      <c r="I21" s="2" t="s">
        <v>204</v>
      </c>
      <c r="J21" t="s">
        <v>205</v>
      </c>
      <c r="K21" s="2" t="s">
        <v>207</v>
      </c>
      <c r="L21">
        <v>6900</v>
      </c>
    </row>
    <row r="22" spans="1:12" x14ac:dyDescent="0.25">
      <c r="A22">
        <v>571860</v>
      </c>
      <c r="B22">
        <f>IFERROR(INDEX(Table3[church_num],MATCH(ICCM_giving[[#This Row],[FamilyId]],Table3[dd_acct_id],0)),"")</f>
        <v>390152</v>
      </c>
      <c r="C22">
        <v>70160</v>
      </c>
      <c r="D22">
        <v>70160</v>
      </c>
      <c r="E22" s="2" t="s">
        <v>201</v>
      </c>
      <c r="F22" s="2" t="s">
        <v>202</v>
      </c>
      <c r="G22" s="2"/>
      <c r="H22" s="2" t="s">
        <v>203</v>
      </c>
      <c r="I22" s="2" t="s">
        <v>204</v>
      </c>
      <c r="J22" t="s">
        <v>205</v>
      </c>
      <c r="K22" s="2" t="s">
        <v>207</v>
      </c>
      <c r="L22">
        <v>6900</v>
      </c>
    </row>
    <row r="23" spans="1:12" x14ac:dyDescent="0.25">
      <c r="A23">
        <v>571859</v>
      </c>
      <c r="B23">
        <f>IFERROR(INDEX(Table3[church_num],MATCH(ICCM_giving[[#This Row],[FamilyId]],Table3[dd_acct_id],0)),"")</f>
        <v>390152</v>
      </c>
      <c r="C23">
        <v>70160</v>
      </c>
      <c r="D23">
        <v>70160</v>
      </c>
      <c r="E23" s="2" t="s">
        <v>201</v>
      </c>
      <c r="F23" s="2" t="s">
        <v>202</v>
      </c>
      <c r="G23" s="2"/>
      <c r="H23" s="2" t="s">
        <v>203</v>
      </c>
      <c r="I23" s="2" t="s">
        <v>204</v>
      </c>
      <c r="J23" t="s">
        <v>205</v>
      </c>
      <c r="K23" s="2" t="s">
        <v>207</v>
      </c>
      <c r="L23">
        <v>6900</v>
      </c>
    </row>
    <row r="24" spans="1:12" x14ac:dyDescent="0.25">
      <c r="A24">
        <v>571862</v>
      </c>
      <c r="B24">
        <f>IFERROR(INDEX(Table3[church_num],MATCH(ICCM_giving[[#This Row],[FamilyId]],Table3[dd_acct_id],0)),"")</f>
        <v>90550</v>
      </c>
      <c r="C24">
        <v>90126</v>
      </c>
      <c r="D24">
        <v>90126</v>
      </c>
      <c r="E24" s="2" t="s">
        <v>208</v>
      </c>
      <c r="F24" s="2" t="s">
        <v>209</v>
      </c>
      <c r="G24" s="2" t="s">
        <v>210</v>
      </c>
      <c r="H24" s="2" t="s">
        <v>211</v>
      </c>
      <c r="I24" s="2" t="s">
        <v>212</v>
      </c>
      <c r="J24" t="s">
        <v>213</v>
      </c>
      <c r="K24" s="2" t="s">
        <v>215</v>
      </c>
      <c r="L24">
        <v>1791</v>
      </c>
    </row>
    <row r="25" spans="1:12" x14ac:dyDescent="0.25">
      <c r="A25">
        <v>571863</v>
      </c>
      <c r="B25">
        <f>IFERROR(INDEX(Table3[church_num],MATCH(ICCM_giving[[#This Row],[FamilyId]],Table3[dd_acct_id],0)),"")</f>
        <v>90160</v>
      </c>
      <c r="C25">
        <v>90166</v>
      </c>
      <c r="D25">
        <v>90166</v>
      </c>
      <c r="E25" s="2" t="s">
        <v>216</v>
      </c>
      <c r="F25" s="2" t="s">
        <v>217</v>
      </c>
      <c r="G25" s="2"/>
      <c r="H25" s="2" t="s">
        <v>218</v>
      </c>
      <c r="I25" s="2" t="s">
        <v>212</v>
      </c>
      <c r="J25" t="s">
        <v>219</v>
      </c>
      <c r="K25" s="2"/>
      <c r="L25">
        <v>912</v>
      </c>
    </row>
    <row r="26" spans="1:12" x14ac:dyDescent="0.25">
      <c r="A26">
        <v>571864</v>
      </c>
      <c r="B26">
        <f>IFERROR(INDEX(Table3[church_num],MATCH(ICCM_giving[[#This Row],[FamilyId]],Table3[dd_acct_id],0)),"")</f>
        <v>90300</v>
      </c>
      <c r="C26">
        <v>90301</v>
      </c>
      <c r="D26">
        <v>90301</v>
      </c>
      <c r="E26" s="2" t="s">
        <v>221</v>
      </c>
      <c r="F26" s="2" t="s">
        <v>222</v>
      </c>
      <c r="G26" s="2"/>
      <c r="H26" s="2" t="s">
        <v>223</v>
      </c>
      <c r="I26" s="2" t="s">
        <v>212</v>
      </c>
      <c r="J26" t="s">
        <v>224</v>
      </c>
      <c r="K26" s="2" t="s">
        <v>226</v>
      </c>
      <c r="L26">
        <v>988</v>
      </c>
    </row>
    <row r="27" spans="1:12" x14ac:dyDescent="0.25">
      <c r="A27">
        <v>571865</v>
      </c>
      <c r="B27">
        <f>IFERROR(INDEX(Table3[church_num],MATCH(ICCM_giving[[#This Row],[FamilyId]],Table3[dd_acct_id],0)),"")</f>
        <v>90340</v>
      </c>
      <c r="C27">
        <v>90345</v>
      </c>
      <c r="D27">
        <v>90345</v>
      </c>
      <c r="E27" s="2" t="s">
        <v>227</v>
      </c>
      <c r="F27" s="2" t="s">
        <v>228</v>
      </c>
      <c r="G27" s="2" t="s">
        <v>229</v>
      </c>
      <c r="H27" s="2" t="s">
        <v>230</v>
      </c>
      <c r="I27" s="2" t="s">
        <v>212</v>
      </c>
      <c r="J27" t="s">
        <v>231</v>
      </c>
      <c r="K27" s="2"/>
      <c r="L27">
        <v>449</v>
      </c>
    </row>
    <row r="28" spans="1:12" x14ac:dyDescent="0.25">
      <c r="A28">
        <v>571866</v>
      </c>
      <c r="B28">
        <f>IFERROR(INDEX(Table3[church_num],MATCH(ICCM_giving[[#This Row],[FamilyId]],Table3[dd_acct_id],0)),"")</f>
        <v>90430</v>
      </c>
      <c r="C28">
        <v>90430</v>
      </c>
      <c r="D28">
        <v>90430</v>
      </c>
      <c r="E28" s="2" t="s">
        <v>233</v>
      </c>
      <c r="F28" s="2" t="s">
        <v>234</v>
      </c>
      <c r="G28" s="2" t="s">
        <v>235</v>
      </c>
      <c r="H28" s="2" t="s">
        <v>236</v>
      </c>
      <c r="I28" s="2" t="s">
        <v>212</v>
      </c>
      <c r="J28" t="s">
        <v>237</v>
      </c>
      <c r="K28" s="2"/>
      <c r="L28">
        <v>304</v>
      </c>
    </row>
    <row r="29" spans="1:12" x14ac:dyDescent="0.25">
      <c r="A29">
        <v>571867</v>
      </c>
      <c r="B29">
        <f>IFERROR(INDEX(Table3[church_num],MATCH(ICCM_giving[[#This Row],[FamilyId]],Table3[dd_acct_id],0)),"")</f>
        <v>90460</v>
      </c>
      <c r="C29">
        <v>90469</v>
      </c>
      <c r="D29">
        <v>90469</v>
      </c>
      <c r="E29" s="2" t="s">
        <v>239</v>
      </c>
      <c r="F29" s="2" t="s">
        <v>240</v>
      </c>
      <c r="G29" s="2" t="s">
        <v>241</v>
      </c>
      <c r="H29" s="2" t="s">
        <v>242</v>
      </c>
      <c r="I29" s="2" t="s">
        <v>212</v>
      </c>
      <c r="J29" t="s">
        <v>243</v>
      </c>
      <c r="K29" s="2" t="s">
        <v>245</v>
      </c>
      <c r="L29">
        <v>982</v>
      </c>
    </row>
    <row r="30" spans="1:12" x14ac:dyDescent="0.25">
      <c r="A30">
        <v>571868</v>
      </c>
      <c r="B30">
        <f>IFERROR(INDEX(Table3[church_num],MATCH(ICCM_giving[[#This Row],[FamilyId]],Table3[dd_acct_id],0)),"")</f>
        <v>90520</v>
      </c>
      <c r="C30">
        <v>90526</v>
      </c>
      <c r="D30">
        <v>90526</v>
      </c>
      <c r="E30" s="2" t="s">
        <v>246</v>
      </c>
      <c r="F30" s="2" t="s">
        <v>248</v>
      </c>
      <c r="G30" s="2"/>
      <c r="H30" s="2" t="s">
        <v>249</v>
      </c>
      <c r="I30" s="2" t="s">
        <v>212</v>
      </c>
      <c r="J30" t="s">
        <v>250</v>
      </c>
      <c r="K30" s="2"/>
      <c r="L30">
        <v>456</v>
      </c>
    </row>
    <row r="31" spans="1:12" x14ac:dyDescent="0.25">
      <c r="A31">
        <v>571870</v>
      </c>
      <c r="B31">
        <f>IFERROR(INDEX(Table3[church_num],MATCH(ICCM_giving[[#This Row],[FamilyId]],Table3[dd_acct_id],0)),"")</f>
        <v>90540</v>
      </c>
      <c r="C31">
        <v>90540</v>
      </c>
      <c r="D31">
        <v>90540</v>
      </c>
      <c r="E31" s="2" t="s">
        <v>252</v>
      </c>
      <c r="F31" s="2" t="s">
        <v>253</v>
      </c>
      <c r="G31" s="2" t="s">
        <v>254</v>
      </c>
      <c r="H31" s="2" t="s">
        <v>255</v>
      </c>
      <c r="I31" s="2" t="s">
        <v>212</v>
      </c>
      <c r="J31" t="s">
        <v>256</v>
      </c>
      <c r="K31" s="2" t="s">
        <v>258</v>
      </c>
      <c r="L31">
        <v>972</v>
      </c>
    </row>
    <row r="32" spans="1:12" x14ac:dyDescent="0.25">
      <c r="A32">
        <v>571869</v>
      </c>
      <c r="B32">
        <f>IFERROR(INDEX(Table3[church_num],MATCH(ICCM_giving[[#This Row],[FamilyId]],Table3[dd_acct_id],0)),"")</f>
        <v>90540</v>
      </c>
      <c r="C32">
        <v>90540</v>
      </c>
      <c r="D32">
        <v>90540</v>
      </c>
      <c r="E32" s="2" t="s">
        <v>252</v>
      </c>
      <c r="F32" s="2" t="s">
        <v>253</v>
      </c>
      <c r="G32" s="2" t="s">
        <v>254</v>
      </c>
      <c r="H32" s="2" t="s">
        <v>255</v>
      </c>
      <c r="I32" s="2" t="s">
        <v>212</v>
      </c>
      <c r="J32" t="s">
        <v>256</v>
      </c>
      <c r="K32" s="2" t="s">
        <v>258</v>
      </c>
      <c r="L32">
        <v>972</v>
      </c>
    </row>
    <row r="33" spans="1:12" x14ac:dyDescent="0.25">
      <c r="A33">
        <v>571871</v>
      </c>
      <c r="B33">
        <f>IFERROR(INDEX(Table3[church_num],MATCH(ICCM_giving[[#This Row],[FamilyId]],Table3[dd_acct_id],0)),"")</f>
        <v>90560</v>
      </c>
      <c r="C33">
        <v>90560</v>
      </c>
      <c r="D33">
        <v>90560</v>
      </c>
      <c r="E33" s="2" t="s">
        <v>259</v>
      </c>
      <c r="F33" s="2" t="s">
        <v>260</v>
      </c>
      <c r="G33" s="2"/>
      <c r="H33" s="2" t="s">
        <v>261</v>
      </c>
      <c r="I33" s="2" t="s">
        <v>212</v>
      </c>
      <c r="J33" t="s">
        <v>262</v>
      </c>
      <c r="K33" s="2" t="s">
        <v>264</v>
      </c>
      <c r="L33">
        <v>1114</v>
      </c>
    </row>
    <row r="34" spans="1:12" x14ac:dyDescent="0.25">
      <c r="A34">
        <v>571872</v>
      </c>
      <c r="B34">
        <f>IFERROR(INDEX(Table3[church_num],MATCH(ICCM_giving[[#This Row],[FamilyId]],Table3[dd_acct_id],0)),"")</f>
        <v>90640</v>
      </c>
      <c r="C34">
        <v>90640</v>
      </c>
      <c r="D34">
        <v>90640</v>
      </c>
      <c r="E34" s="2" t="s">
        <v>265</v>
      </c>
      <c r="F34" s="2" t="s">
        <v>266</v>
      </c>
      <c r="G34" s="2"/>
      <c r="H34" s="2" t="s">
        <v>267</v>
      </c>
      <c r="I34" s="2" t="s">
        <v>212</v>
      </c>
      <c r="J34" t="s">
        <v>268</v>
      </c>
      <c r="K34" s="2" t="s">
        <v>270</v>
      </c>
      <c r="L34">
        <v>1176</v>
      </c>
    </row>
    <row r="35" spans="1:12" x14ac:dyDescent="0.25">
      <c r="A35">
        <v>571873</v>
      </c>
      <c r="B35">
        <f>IFERROR(INDEX(Table3[church_num],MATCH(ICCM_giving[[#This Row],[FamilyId]],Table3[dd_acct_id],0)),"")</f>
        <v>90490</v>
      </c>
      <c r="C35">
        <v>90670</v>
      </c>
      <c r="D35">
        <v>90670</v>
      </c>
      <c r="E35" s="2" t="s">
        <v>271</v>
      </c>
      <c r="F35" s="2" t="s">
        <v>272</v>
      </c>
      <c r="G35" s="2"/>
      <c r="H35" s="2" t="s">
        <v>273</v>
      </c>
      <c r="I35" s="2" t="s">
        <v>212</v>
      </c>
      <c r="J35" t="s">
        <v>274</v>
      </c>
      <c r="K35" s="2"/>
      <c r="L35">
        <v>1659</v>
      </c>
    </row>
    <row r="36" spans="1:12" x14ac:dyDescent="0.25">
      <c r="A36">
        <v>571874</v>
      </c>
      <c r="B36" t="str">
        <f>IFERROR(INDEX(Table3[church_num],MATCH(ICCM_giving[[#This Row],[FamilyId]],Table3[dd_acct_id],0)),"")</f>
        <v/>
      </c>
      <c r="C36">
        <v>90678</v>
      </c>
      <c r="D36">
        <v>90678</v>
      </c>
      <c r="E36" s="2" t="s">
        <v>276</v>
      </c>
      <c r="F36" s="2" t="s">
        <v>277</v>
      </c>
      <c r="G36" s="2" t="s">
        <v>278</v>
      </c>
      <c r="H36" s="2" t="s">
        <v>279</v>
      </c>
      <c r="I36" s="2" t="s">
        <v>212</v>
      </c>
      <c r="J36">
        <v>48060</v>
      </c>
      <c r="K36" s="2" t="s">
        <v>281</v>
      </c>
      <c r="L36">
        <v>380</v>
      </c>
    </row>
    <row r="37" spans="1:12" x14ac:dyDescent="0.25">
      <c r="A37">
        <v>571875</v>
      </c>
      <c r="B37">
        <f>IFERROR(INDEX(Table3[church_num],MATCH(ICCM_giving[[#This Row],[FamilyId]],Table3[dd_acct_id],0)),"")</f>
        <v>90680</v>
      </c>
      <c r="C37">
        <v>90681</v>
      </c>
      <c r="D37">
        <v>90681</v>
      </c>
      <c r="E37" s="2" t="s">
        <v>282</v>
      </c>
      <c r="F37" s="2" t="s">
        <v>284</v>
      </c>
      <c r="G37" s="2" t="s">
        <v>285</v>
      </c>
      <c r="H37" s="2" t="s">
        <v>286</v>
      </c>
      <c r="I37" s="2" t="s">
        <v>212</v>
      </c>
      <c r="J37">
        <v>48880</v>
      </c>
      <c r="K37" s="2"/>
      <c r="L37">
        <v>1368</v>
      </c>
    </row>
    <row r="38" spans="1:12" x14ac:dyDescent="0.25">
      <c r="A38">
        <v>571876</v>
      </c>
      <c r="B38">
        <f>IFERROR(INDEX(Table3[church_num],MATCH(ICCM_giving[[#This Row],[FamilyId]],Table3[dd_acct_id],0)),"")</f>
        <v>90720</v>
      </c>
      <c r="C38">
        <v>90723</v>
      </c>
      <c r="D38">
        <v>90723</v>
      </c>
      <c r="E38" s="2" t="s">
        <v>288</v>
      </c>
      <c r="F38" s="2" t="s">
        <v>289</v>
      </c>
      <c r="G38" s="2"/>
      <c r="H38" s="2" t="s">
        <v>290</v>
      </c>
      <c r="I38" s="2" t="s">
        <v>212</v>
      </c>
      <c r="J38" t="s">
        <v>291</v>
      </c>
      <c r="K38" s="2"/>
      <c r="L38">
        <v>518</v>
      </c>
    </row>
    <row r="39" spans="1:12" x14ac:dyDescent="0.25">
      <c r="A39">
        <v>571877</v>
      </c>
      <c r="B39">
        <f>IFERROR(INDEX(Table3[church_num],MATCH(ICCM_giving[[#This Row],[FamilyId]],Table3[dd_acct_id],0)),"")</f>
        <v>90730</v>
      </c>
      <c r="C39">
        <v>90731</v>
      </c>
      <c r="D39">
        <v>90731</v>
      </c>
      <c r="E39" s="2" t="s">
        <v>293</v>
      </c>
      <c r="F39" s="2" t="s">
        <v>294</v>
      </c>
      <c r="G39" s="2" t="s">
        <v>295</v>
      </c>
      <c r="H39" s="2" t="s">
        <v>296</v>
      </c>
      <c r="I39" s="2" t="s">
        <v>212</v>
      </c>
      <c r="J39" t="s">
        <v>297</v>
      </c>
      <c r="K39" s="2"/>
      <c r="L39">
        <v>494</v>
      </c>
    </row>
    <row r="40" spans="1:12" x14ac:dyDescent="0.25">
      <c r="A40">
        <v>571879</v>
      </c>
      <c r="B40">
        <f>IFERROR(INDEX(Table3[church_num],MATCH(ICCM_giving[[#This Row],[FamilyId]],Table3[dd_acct_id],0)),"")</f>
        <v>90850</v>
      </c>
      <c r="C40">
        <v>90850</v>
      </c>
      <c r="D40">
        <v>90850</v>
      </c>
      <c r="E40" s="2" t="s">
        <v>299</v>
      </c>
      <c r="F40" s="2" t="s">
        <v>300</v>
      </c>
      <c r="G40" s="2"/>
      <c r="H40" s="2" t="s">
        <v>301</v>
      </c>
      <c r="I40" s="2" t="s">
        <v>212</v>
      </c>
      <c r="J40">
        <v>48895</v>
      </c>
      <c r="K40" s="2" t="s">
        <v>303</v>
      </c>
      <c r="L40">
        <v>16294</v>
      </c>
    </row>
    <row r="41" spans="1:12" x14ac:dyDescent="0.25">
      <c r="A41">
        <v>571878</v>
      </c>
      <c r="B41">
        <f>IFERROR(INDEX(Table3[church_num],MATCH(ICCM_giving[[#This Row],[FamilyId]],Table3[dd_acct_id],0)),"")</f>
        <v>90850</v>
      </c>
      <c r="C41">
        <v>90850</v>
      </c>
      <c r="D41">
        <v>90850</v>
      </c>
      <c r="E41" s="2" t="s">
        <v>299</v>
      </c>
      <c r="F41" s="2" t="s">
        <v>300</v>
      </c>
      <c r="G41" s="2"/>
      <c r="H41" s="2" t="s">
        <v>301</v>
      </c>
      <c r="I41" s="2" t="s">
        <v>212</v>
      </c>
      <c r="J41">
        <v>48895</v>
      </c>
      <c r="K41" s="2" t="s">
        <v>303</v>
      </c>
      <c r="L41">
        <v>16294</v>
      </c>
    </row>
    <row r="42" spans="1:12" x14ac:dyDescent="0.25">
      <c r="A42">
        <v>571881</v>
      </c>
      <c r="B42">
        <f>IFERROR(INDEX(Table3[church_num],MATCH(ICCM_giving[[#This Row],[FamilyId]],Table3[dd_acct_id],0)),"")</f>
        <v>340060</v>
      </c>
      <c r="C42">
        <v>110060</v>
      </c>
      <c r="D42">
        <v>110060</v>
      </c>
      <c r="E42" s="2" t="s">
        <v>304</v>
      </c>
      <c r="F42" s="2" t="s">
        <v>305</v>
      </c>
      <c r="G42" s="2"/>
      <c r="H42" s="2" t="s">
        <v>306</v>
      </c>
      <c r="I42" s="2" t="s">
        <v>307</v>
      </c>
      <c r="J42" t="s">
        <v>308</v>
      </c>
      <c r="K42" s="2" t="s">
        <v>310</v>
      </c>
      <c r="L42">
        <v>2670</v>
      </c>
    </row>
    <row r="43" spans="1:12" x14ac:dyDescent="0.25">
      <c r="A43">
        <v>571880</v>
      </c>
      <c r="B43">
        <f>IFERROR(INDEX(Table3[church_num],MATCH(ICCM_giving[[#This Row],[FamilyId]],Table3[dd_acct_id],0)),"")</f>
        <v>340060</v>
      </c>
      <c r="C43">
        <v>110060</v>
      </c>
      <c r="D43">
        <v>110060</v>
      </c>
      <c r="E43" s="2" t="s">
        <v>304</v>
      </c>
      <c r="F43" s="2" t="s">
        <v>305</v>
      </c>
      <c r="G43" s="2"/>
      <c r="H43" s="2" t="s">
        <v>306</v>
      </c>
      <c r="I43" s="2" t="s">
        <v>307</v>
      </c>
      <c r="J43" t="s">
        <v>308</v>
      </c>
      <c r="K43" s="2" t="s">
        <v>310</v>
      </c>
      <c r="L43">
        <v>2670</v>
      </c>
    </row>
    <row r="44" spans="1:12" x14ac:dyDescent="0.25">
      <c r="A44">
        <v>571882</v>
      </c>
      <c r="B44">
        <f>IFERROR(INDEX(Table3[church_num],MATCH(ICCM_giving[[#This Row],[FamilyId]],Table3[dd_acct_id],0)),"")</f>
        <v>340060</v>
      </c>
      <c r="C44">
        <v>110062</v>
      </c>
      <c r="D44">
        <v>110062</v>
      </c>
      <c r="E44" s="2" t="s">
        <v>311</v>
      </c>
      <c r="F44" s="2" t="s">
        <v>312</v>
      </c>
      <c r="G44" s="2"/>
      <c r="H44" s="2" t="s">
        <v>306</v>
      </c>
      <c r="I44" s="2" t="s">
        <v>307</v>
      </c>
      <c r="J44" t="s">
        <v>313</v>
      </c>
      <c r="K44" s="2"/>
      <c r="L44">
        <v>1368</v>
      </c>
    </row>
    <row r="45" spans="1:12" x14ac:dyDescent="0.25">
      <c r="A45">
        <v>571883</v>
      </c>
      <c r="B45">
        <f>IFERROR(INDEX(Table3[church_num],MATCH(ICCM_giving[[#This Row],[FamilyId]],Table3[dd_acct_id],0)),"")</f>
        <v>340240</v>
      </c>
      <c r="C45">
        <v>110242</v>
      </c>
      <c r="D45">
        <v>110242</v>
      </c>
      <c r="E45" s="2" t="s">
        <v>315</v>
      </c>
      <c r="F45" s="2" t="s">
        <v>316</v>
      </c>
      <c r="G45" s="2"/>
      <c r="H45" s="2" t="s">
        <v>317</v>
      </c>
      <c r="I45" s="2" t="s">
        <v>307</v>
      </c>
      <c r="J45" t="s">
        <v>318</v>
      </c>
      <c r="K45" s="2"/>
      <c r="L45">
        <v>800</v>
      </c>
    </row>
    <row r="46" spans="1:12" x14ac:dyDescent="0.25">
      <c r="A46">
        <v>571884</v>
      </c>
      <c r="B46" t="str">
        <f>IFERROR(INDEX(Table3[church_num],MATCH(ICCM_giving[[#This Row],[FamilyId]],Table3[dd_acct_id],0)),"")</f>
        <v/>
      </c>
      <c r="C46">
        <v>110247</v>
      </c>
      <c r="D46">
        <v>110247</v>
      </c>
      <c r="E46" s="2" t="s">
        <v>320</v>
      </c>
      <c r="F46" s="2" t="s">
        <v>316</v>
      </c>
      <c r="G46" s="2"/>
      <c r="H46" s="2" t="s">
        <v>317</v>
      </c>
      <c r="I46" s="2" t="s">
        <v>307</v>
      </c>
      <c r="J46" t="s">
        <v>318</v>
      </c>
      <c r="K46" s="2"/>
      <c r="L46">
        <v>456</v>
      </c>
    </row>
    <row r="47" spans="1:12" x14ac:dyDescent="0.25">
      <c r="A47">
        <v>571885</v>
      </c>
      <c r="B47">
        <f>IFERROR(INDEX(Table3[church_num],MATCH(ICCM_giving[[#This Row],[FamilyId]],Table3[dd_acct_id],0)),"")</f>
        <v>120010</v>
      </c>
      <c r="C47">
        <v>120010</v>
      </c>
      <c r="D47">
        <v>120010</v>
      </c>
      <c r="E47" s="2" t="s">
        <v>321</v>
      </c>
      <c r="F47" s="2" t="s">
        <v>322</v>
      </c>
      <c r="G47" s="2" t="s">
        <v>323</v>
      </c>
      <c r="H47" s="2" t="s">
        <v>324</v>
      </c>
      <c r="I47" s="2" t="s">
        <v>124</v>
      </c>
      <c r="J47" t="s">
        <v>325</v>
      </c>
      <c r="K47" s="2" t="s">
        <v>327</v>
      </c>
      <c r="L47">
        <v>1824</v>
      </c>
    </row>
    <row r="48" spans="1:12" x14ac:dyDescent="0.25">
      <c r="A48">
        <v>571886</v>
      </c>
      <c r="B48">
        <f>IFERROR(INDEX(Table3[church_num],MATCH(ICCM_giving[[#This Row],[FamilyId]],Table3[dd_acct_id],0)),"")</f>
        <v>120040</v>
      </c>
      <c r="C48">
        <v>120043</v>
      </c>
      <c r="D48">
        <v>120043</v>
      </c>
      <c r="E48" s="2" t="s">
        <v>328</v>
      </c>
      <c r="F48" s="2" t="s">
        <v>329</v>
      </c>
      <c r="G48" s="2" t="s">
        <v>330</v>
      </c>
      <c r="H48" s="2" t="s">
        <v>331</v>
      </c>
      <c r="I48" s="2" t="s">
        <v>124</v>
      </c>
      <c r="J48" t="s">
        <v>332</v>
      </c>
      <c r="K48" s="2" t="s">
        <v>334</v>
      </c>
      <c r="L48">
        <v>17329.57</v>
      </c>
    </row>
    <row r="49" spans="1:12" x14ac:dyDescent="0.25">
      <c r="A49">
        <v>571887</v>
      </c>
      <c r="B49">
        <f>IFERROR(INDEX(Table3[church_num],MATCH(ICCM_giving[[#This Row],[FamilyId]],Table3[dd_acct_id],0)),"")</f>
        <v>120150</v>
      </c>
      <c r="C49">
        <v>120150</v>
      </c>
      <c r="D49">
        <v>120150</v>
      </c>
      <c r="E49" s="2" t="s">
        <v>335</v>
      </c>
      <c r="F49" s="2" t="s">
        <v>336</v>
      </c>
      <c r="G49" s="2" t="s">
        <v>337</v>
      </c>
      <c r="H49" s="2" t="s">
        <v>338</v>
      </c>
      <c r="I49" s="2" t="s">
        <v>124</v>
      </c>
      <c r="J49" t="s">
        <v>339</v>
      </c>
      <c r="K49" s="2" t="s">
        <v>341</v>
      </c>
      <c r="L49">
        <v>228</v>
      </c>
    </row>
    <row r="50" spans="1:12" x14ac:dyDescent="0.25">
      <c r="A50">
        <v>571888</v>
      </c>
      <c r="B50">
        <f>IFERROR(INDEX(Table3[church_num],MATCH(ICCM_giving[[#This Row],[FamilyId]],Table3[dd_acct_id],0)),"")</f>
        <v>120190</v>
      </c>
      <c r="C50">
        <v>120190</v>
      </c>
      <c r="D50">
        <v>120190</v>
      </c>
      <c r="E50" s="2" t="s">
        <v>342</v>
      </c>
      <c r="F50" s="2" t="s">
        <v>343</v>
      </c>
      <c r="G50" s="2" t="s">
        <v>344</v>
      </c>
      <c r="H50" s="2" t="s">
        <v>345</v>
      </c>
      <c r="I50" s="2" t="s">
        <v>124</v>
      </c>
      <c r="J50" t="s">
        <v>346</v>
      </c>
      <c r="K50" s="2" t="s">
        <v>348</v>
      </c>
      <c r="L50">
        <v>1152</v>
      </c>
    </row>
    <row r="51" spans="1:12" x14ac:dyDescent="0.25">
      <c r="A51">
        <v>571889</v>
      </c>
      <c r="B51">
        <f>IFERROR(INDEX(Table3[church_num],MATCH(ICCM_giving[[#This Row],[FamilyId]],Table3[dd_acct_id],0)),"")</f>
        <v>120290</v>
      </c>
      <c r="C51">
        <v>120298</v>
      </c>
      <c r="D51">
        <v>120298</v>
      </c>
      <c r="E51" s="2" t="s">
        <v>349</v>
      </c>
      <c r="F51" s="2" t="s">
        <v>350</v>
      </c>
      <c r="G51" s="2" t="s">
        <v>351</v>
      </c>
      <c r="H51" s="2" t="s">
        <v>352</v>
      </c>
      <c r="I51" s="2" t="s">
        <v>124</v>
      </c>
      <c r="J51" t="s">
        <v>353</v>
      </c>
      <c r="K51" s="2"/>
      <c r="L51">
        <v>456</v>
      </c>
    </row>
    <row r="52" spans="1:12" x14ac:dyDescent="0.25">
      <c r="A52">
        <v>571890</v>
      </c>
      <c r="B52">
        <f>IFERROR(INDEX(Table3[church_num],MATCH(ICCM_giving[[#This Row],[FamilyId]],Table3[dd_acct_id],0)),"")</f>
        <v>120310</v>
      </c>
      <c r="C52">
        <v>120310</v>
      </c>
      <c r="D52">
        <v>120310</v>
      </c>
      <c r="E52" s="2" t="s">
        <v>355</v>
      </c>
      <c r="F52" s="2" t="s">
        <v>356</v>
      </c>
      <c r="G52" s="2"/>
      <c r="H52" s="2" t="s">
        <v>357</v>
      </c>
      <c r="I52" s="2" t="s">
        <v>124</v>
      </c>
      <c r="J52" t="s">
        <v>358</v>
      </c>
      <c r="K52" s="2" t="s">
        <v>360</v>
      </c>
      <c r="L52">
        <v>912</v>
      </c>
    </row>
    <row r="53" spans="1:12" x14ac:dyDescent="0.25">
      <c r="A53">
        <v>571891</v>
      </c>
      <c r="B53">
        <f>IFERROR(INDEX(Table3[church_num],MATCH(ICCM_giving[[#This Row],[FamilyId]],Table3[dd_acct_id],0)),"")</f>
        <v>120400</v>
      </c>
      <c r="C53">
        <v>120400</v>
      </c>
      <c r="D53">
        <v>120400</v>
      </c>
      <c r="E53" s="2" t="s">
        <v>361</v>
      </c>
      <c r="F53" s="2" t="s">
        <v>362</v>
      </c>
      <c r="G53" s="2"/>
      <c r="H53" s="2" t="s">
        <v>363</v>
      </c>
      <c r="I53" s="2" t="s">
        <v>124</v>
      </c>
      <c r="J53" t="s">
        <v>364</v>
      </c>
      <c r="K53" s="2" t="s">
        <v>366</v>
      </c>
      <c r="L53">
        <v>3095</v>
      </c>
    </row>
    <row r="54" spans="1:12" x14ac:dyDescent="0.25">
      <c r="A54">
        <v>571892</v>
      </c>
      <c r="B54">
        <f>IFERROR(INDEX(Table3[church_num],MATCH(ICCM_giving[[#This Row],[FamilyId]],Table3[dd_acct_id],0)),"")</f>
        <v>120405</v>
      </c>
      <c r="C54">
        <v>120405</v>
      </c>
      <c r="D54">
        <v>120405</v>
      </c>
      <c r="E54" s="2" t="s">
        <v>367</v>
      </c>
      <c r="F54" s="2" t="s">
        <v>368</v>
      </c>
      <c r="G54" s="2" t="s">
        <v>369</v>
      </c>
      <c r="H54" s="2" t="s">
        <v>370</v>
      </c>
      <c r="I54" s="2" t="s">
        <v>124</v>
      </c>
      <c r="J54" t="s">
        <v>371</v>
      </c>
      <c r="K54" s="2" t="s">
        <v>373</v>
      </c>
      <c r="L54">
        <v>1710</v>
      </c>
    </row>
    <row r="55" spans="1:12" x14ac:dyDescent="0.25">
      <c r="A55">
        <v>571893</v>
      </c>
      <c r="B55">
        <f>IFERROR(INDEX(Table3[church_num],MATCH(ICCM_giving[[#This Row],[FamilyId]],Table3[dd_acct_id],0)),"")</f>
        <v>120405</v>
      </c>
      <c r="C55">
        <v>120405</v>
      </c>
      <c r="D55">
        <v>120405</v>
      </c>
      <c r="E55" s="2" t="s">
        <v>367</v>
      </c>
      <c r="F55" s="2" t="s">
        <v>368</v>
      </c>
      <c r="G55" s="2" t="s">
        <v>369</v>
      </c>
      <c r="H55" s="2" t="s">
        <v>370</v>
      </c>
      <c r="I55" s="2" t="s">
        <v>124</v>
      </c>
      <c r="J55" t="s">
        <v>371</v>
      </c>
      <c r="K55" s="2" t="s">
        <v>373</v>
      </c>
      <c r="L55">
        <v>1710</v>
      </c>
    </row>
    <row r="56" spans="1:12" x14ac:dyDescent="0.25">
      <c r="A56">
        <v>571894</v>
      </c>
      <c r="B56">
        <f>IFERROR(INDEX(Table3[church_num],MATCH(ICCM_giving[[#This Row],[FamilyId]],Table3[dd_acct_id],0)),"")</f>
        <v>120410</v>
      </c>
      <c r="C56">
        <v>120410</v>
      </c>
      <c r="D56">
        <v>120410</v>
      </c>
      <c r="E56" s="2" t="s">
        <v>374</v>
      </c>
      <c r="F56" s="2" t="s">
        <v>375</v>
      </c>
      <c r="G56" s="2"/>
      <c r="H56" s="2" t="s">
        <v>376</v>
      </c>
      <c r="I56" s="2" t="s">
        <v>124</v>
      </c>
      <c r="J56">
        <v>14626</v>
      </c>
      <c r="K56" s="2" t="s">
        <v>378</v>
      </c>
      <c r="L56">
        <v>912</v>
      </c>
    </row>
    <row r="57" spans="1:12" x14ac:dyDescent="0.25">
      <c r="A57">
        <v>571895</v>
      </c>
      <c r="B57">
        <f>IFERROR(INDEX(Table3[church_num],MATCH(ICCM_giving[[#This Row],[FamilyId]],Table3[dd_acct_id],0)),"")</f>
        <v>120440</v>
      </c>
      <c r="C57">
        <v>120440</v>
      </c>
      <c r="D57">
        <v>120440</v>
      </c>
      <c r="E57" s="2" t="s">
        <v>379</v>
      </c>
      <c r="F57" s="2" t="s">
        <v>380</v>
      </c>
      <c r="G57" s="2" t="s">
        <v>381</v>
      </c>
      <c r="H57" s="2" t="s">
        <v>382</v>
      </c>
      <c r="I57" s="2" t="s">
        <v>124</v>
      </c>
      <c r="J57" t="s">
        <v>383</v>
      </c>
      <c r="K57" s="2" t="s">
        <v>385</v>
      </c>
      <c r="L57">
        <v>1065.6099999999999</v>
      </c>
    </row>
    <row r="58" spans="1:12" x14ac:dyDescent="0.25">
      <c r="A58">
        <v>571896</v>
      </c>
      <c r="B58">
        <f>IFERROR(INDEX(Table3[church_num],MATCH(ICCM_giving[[#This Row],[FamilyId]],Table3[dd_acct_id],0)),"")</f>
        <v>120440</v>
      </c>
      <c r="C58">
        <v>120440</v>
      </c>
      <c r="D58">
        <v>120440</v>
      </c>
      <c r="E58" s="2" t="s">
        <v>379</v>
      </c>
      <c r="F58" s="2" t="s">
        <v>380</v>
      </c>
      <c r="G58" s="2" t="s">
        <v>381</v>
      </c>
      <c r="H58" s="2" t="s">
        <v>382</v>
      </c>
      <c r="I58" s="2" t="s">
        <v>124</v>
      </c>
      <c r="J58" t="s">
        <v>383</v>
      </c>
      <c r="K58" s="2" t="s">
        <v>385</v>
      </c>
      <c r="L58">
        <v>1065.6099999999999</v>
      </c>
    </row>
    <row r="59" spans="1:12" x14ac:dyDescent="0.25">
      <c r="A59">
        <v>571897</v>
      </c>
      <c r="B59">
        <f>IFERROR(INDEX(Table3[church_num],MATCH(ICCM_giving[[#This Row],[FamilyId]],Table3[dd_acct_id],0)),"")</f>
        <v>340335</v>
      </c>
      <c r="C59">
        <v>130180</v>
      </c>
      <c r="D59">
        <v>130180</v>
      </c>
      <c r="E59" s="2" t="s">
        <v>386</v>
      </c>
      <c r="F59" s="2" t="s">
        <v>387</v>
      </c>
      <c r="G59" s="2" t="s">
        <v>388</v>
      </c>
      <c r="H59" s="2" t="s">
        <v>389</v>
      </c>
      <c r="I59" s="2" t="s">
        <v>390</v>
      </c>
      <c r="J59" t="s">
        <v>391</v>
      </c>
      <c r="K59" s="2" t="s">
        <v>393</v>
      </c>
      <c r="L59">
        <v>1428</v>
      </c>
    </row>
    <row r="60" spans="1:12" x14ac:dyDescent="0.25">
      <c r="A60">
        <v>571898</v>
      </c>
      <c r="B60">
        <f>IFERROR(INDEX(Table3[church_num],MATCH(ICCM_giving[[#This Row],[FamilyId]],Table3[dd_acct_id],0)),"")</f>
        <v>340335</v>
      </c>
      <c r="C60">
        <v>130180</v>
      </c>
      <c r="D60">
        <v>130180</v>
      </c>
      <c r="E60" s="2" t="s">
        <v>386</v>
      </c>
      <c r="F60" s="2" t="s">
        <v>387</v>
      </c>
      <c r="G60" s="2" t="s">
        <v>388</v>
      </c>
      <c r="H60" s="2" t="s">
        <v>389</v>
      </c>
      <c r="I60" s="2" t="s">
        <v>390</v>
      </c>
      <c r="J60" t="s">
        <v>391</v>
      </c>
      <c r="K60" s="2" t="s">
        <v>393</v>
      </c>
      <c r="L60">
        <v>1428</v>
      </c>
    </row>
    <row r="61" spans="1:12" x14ac:dyDescent="0.25">
      <c r="A61">
        <v>571899</v>
      </c>
      <c r="B61">
        <f>IFERROR(INDEX(Table3[church_num],MATCH(ICCM_giving[[#This Row],[FamilyId]],Table3[dd_acct_id],0)),"")</f>
        <v>150040</v>
      </c>
      <c r="C61">
        <v>150046</v>
      </c>
      <c r="D61">
        <v>150046</v>
      </c>
      <c r="E61" s="2" t="s">
        <v>394</v>
      </c>
      <c r="F61" s="2" t="s">
        <v>395</v>
      </c>
      <c r="G61" s="2" t="s">
        <v>396</v>
      </c>
      <c r="H61" s="2" t="s">
        <v>397</v>
      </c>
      <c r="I61" s="2" t="s">
        <v>398</v>
      </c>
      <c r="J61" t="s">
        <v>399</v>
      </c>
      <c r="K61" s="2"/>
      <c r="L61">
        <v>633</v>
      </c>
    </row>
    <row r="62" spans="1:12" x14ac:dyDescent="0.25">
      <c r="A62">
        <v>571900</v>
      </c>
      <c r="B62">
        <f>IFERROR(INDEX(Table3[church_num],MATCH(ICCM_giving[[#This Row],[FamilyId]],Table3[dd_acct_id],0)),"")</f>
        <v>150145</v>
      </c>
      <c r="C62">
        <v>150145</v>
      </c>
      <c r="D62">
        <v>150145</v>
      </c>
      <c r="E62" s="2" t="s">
        <v>402</v>
      </c>
      <c r="F62" s="2" t="s">
        <v>403</v>
      </c>
      <c r="G62" s="2" t="s">
        <v>404</v>
      </c>
      <c r="H62" s="2" t="s">
        <v>405</v>
      </c>
      <c r="I62" s="2" t="s">
        <v>406</v>
      </c>
      <c r="J62" t="s">
        <v>407</v>
      </c>
      <c r="K62" s="2" t="s">
        <v>409</v>
      </c>
      <c r="L62">
        <v>456</v>
      </c>
    </row>
    <row r="63" spans="1:12" x14ac:dyDescent="0.25">
      <c r="A63">
        <v>571901</v>
      </c>
      <c r="B63">
        <f>IFERROR(INDEX(Table3[church_num],MATCH(ICCM_giving[[#This Row],[FamilyId]],Table3[dd_acct_id],0)),"")</f>
        <v>150210</v>
      </c>
      <c r="C63">
        <v>150211</v>
      </c>
      <c r="D63">
        <v>150211</v>
      </c>
      <c r="E63" s="2" t="s">
        <v>410</v>
      </c>
      <c r="F63" s="2" t="s">
        <v>411</v>
      </c>
      <c r="G63" s="2" t="s">
        <v>412</v>
      </c>
      <c r="H63" s="2" t="s">
        <v>413</v>
      </c>
      <c r="I63" s="2" t="s">
        <v>398</v>
      </c>
      <c r="J63" t="s">
        <v>414</v>
      </c>
      <c r="K63" s="2"/>
      <c r="L63">
        <v>456</v>
      </c>
    </row>
    <row r="64" spans="1:12" x14ac:dyDescent="0.25">
      <c r="A64">
        <v>571902</v>
      </c>
      <c r="B64">
        <f>IFERROR(INDEX(Table3[church_num],MATCH(ICCM_giving[[#This Row],[FamilyId]],Table3[dd_acct_id],0)),"")</f>
        <v>150330</v>
      </c>
      <c r="C64">
        <v>150330</v>
      </c>
      <c r="D64">
        <v>150330</v>
      </c>
      <c r="E64" s="2" t="s">
        <v>416</v>
      </c>
      <c r="F64" s="2" t="s">
        <v>417</v>
      </c>
      <c r="G64" s="2" t="s">
        <v>418</v>
      </c>
      <c r="H64" s="2" t="s">
        <v>419</v>
      </c>
      <c r="I64" s="2" t="s">
        <v>398</v>
      </c>
      <c r="J64" t="s">
        <v>420</v>
      </c>
      <c r="K64" s="2" t="s">
        <v>422</v>
      </c>
      <c r="L64">
        <v>2644</v>
      </c>
    </row>
    <row r="65" spans="1:12" x14ac:dyDescent="0.25">
      <c r="A65">
        <v>571903</v>
      </c>
      <c r="B65">
        <f>IFERROR(INDEX(Table3[church_num],MATCH(ICCM_giving[[#This Row],[FamilyId]],Table3[dd_acct_id],0)),"")</f>
        <v>150330</v>
      </c>
      <c r="C65">
        <v>150330</v>
      </c>
      <c r="D65">
        <v>150330</v>
      </c>
      <c r="E65" s="2" t="s">
        <v>416</v>
      </c>
      <c r="F65" s="2" t="s">
        <v>417</v>
      </c>
      <c r="G65" s="2" t="s">
        <v>418</v>
      </c>
      <c r="H65" s="2" t="s">
        <v>419</v>
      </c>
      <c r="I65" s="2" t="s">
        <v>398</v>
      </c>
      <c r="J65" t="s">
        <v>420</v>
      </c>
      <c r="K65" s="2" t="s">
        <v>422</v>
      </c>
      <c r="L65">
        <v>2644</v>
      </c>
    </row>
    <row r="66" spans="1:12" x14ac:dyDescent="0.25">
      <c r="A66">
        <v>571904</v>
      </c>
      <c r="B66">
        <f>IFERROR(INDEX(Table3[church_num],MATCH(ICCM_giving[[#This Row],[FamilyId]],Table3[dd_acct_id],0)),"")</f>
        <v>150350</v>
      </c>
      <c r="C66">
        <v>150352</v>
      </c>
      <c r="D66">
        <v>150352</v>
      </c>
      <c r="E66" s="2" t="s">
        <v>423</v>
      </c>
      <c r="F66" s="2" t="s">
        <v>424</v>
      </c>
      <c r="G66" s="2" t="s">
        <v>425</v>
      </c>
      <c r="H66" s="2" t="s">
        <v>426</v>
      </c>
      <c r="I66" s="2" t="s">
        <v>398</v>
      </c>
      <c r="J66" t="s">
        <v>427</v>
      </c>
      <c r="K66" s="2"/>
      <c r="L66">
        <v>912</v>
      </c>
    </row>
    <row r="67" spans="1:12" x14ac:dyDescent="0.25">
      <c r="A67">
        <v>571905</v>
      </c>
      <c r="B67">
        <f>IFERROR(INDEX(Table3[church_num],MATCH(ICCM_giving[[#This Row],[FamilyId]],Table3[dd_acct_id],0)),"")</f>
        <v>150430</v>
      </c>
      <c r="C67">
        <v>150430</v>
      </c>
      <c r="D67">
        <v>150430</v>
      </c>
      <c r="E67" s="2" t="s">
        <v>429</v>
      </c>
      <c r="F67" s="2" t="s">
        <v>430</v>
      </c>
      <c r="G67" s="2" t="s">
        <v>431</v>
      </c>
      <c r="H67" s="2" t="s">
        <v>432</v>
      </c>
      <c r="I67" s="2" t="s">
        <v>153</v>
      </c>
      <c r="J67" t="s">
        <v>433</v>
      </c>
      <c r="K67" s="2" t="s">
        <v>435</v>
      </c>
      <c r="L67">
        <v>1140</v>
      </c>
    </row>
    <row r="68" spans="1:12" x14ac:dyDescent="0.25">
      <c r="A68">
        <v>571906</v>
      </c>
      <c r="B68">
        <f>IFERROR(INDEX(Table3[church_num],MATCH(ICCM_giving[[#This Row],[FamilyId]],Table3[dd_acct_id],0)),"")</f>
        <v>150440</v>
      </c>
      <c r="C68">
        <v>150441</v>
      </c>
      <c r="D68">
        <v>150441</v>
      </c>
      <c r="E68" s="2" t="s">
        <v>436</v>
      </c>
      <c r="F68" s="2" t="s">
        <v>437</v>
      </c>
      <c r="G68" s="2"/>
      <c r="H68" s="2" t="s">
        <v>438</v>
      </c>
      <c r="I68" s="2" t="s">
        <v>153</v>
      </c>
      <c r="J68" t="s">
        <v>439</v>
      </c>
      <c r="K68" s="2" t="s">
        <v>441</v>
      </c>
      <c r="L68">
        <v>912</v>
      </c>
    </row>
    <row r="69" spans="1:12" x14ac:dyDescent="0.25">
      <c r="A69">
        <v>571907</v>
      </c>
      <c r="B69">
        <f>IFERROR(INDEX(Table3[church_num],MATCH(ICCM_giving[[#This Row],[FamilyId]],Table3[dd_acct_id],0)),"")</f>
        <v>150755</v>
      </c>
      <c r="C69">
        <v>150755</v>
      </c>
      <c r="D69">
        <v>150755</v>
      </c>
      <c r="E69" s="2" t="s">
        <v>442</v>
      </c>
      <c r="F69" s="2" t="s">
        <v>443</v>
      </c>
      <c r="G69" s="2"/>
      <c r="H69" s="2" t="s">
        <v>444</v>
      </c>
      <c r="I69" s="2" t="s">
        <v>406</v>
      </c>
      <c r="J69" t="s">
        <v>445</v>
      </c>
      <c r="K69" s="2"/>
      <c r="L69">
        <v>2736</v>
      </c>
    </row>
    <row r="70" spans="1:12" x14ac:dyDescent="0.25">
      <c r="A70">
        <v>571908</v>
      </c>
      <c r="B70">
        <f>IFERROR(INDEX(Table3[church_num],MATCH(ICCM_giving[[#This Row],[FamilyId]],Table3[dd_acct_id],0)),"")</f>
        <v>150085</v>
      </c>
      <c r="C70">
        <v>160110</v>
      </c>
      <c r="D70">
        <v>160110</v>
      </c>
      <c r="E70" s="2" t="s">
        <v>447</v>
      </c>
      <c r="F70" s="2" t="s">
        <v>448</v>
      </c>
      <c r="G70" s="2" t="s">
        <v>449</v>
      </c>
      <c r="H70" s="2" t="s">
        <v>450</v>
      </c>
      <c r="I70" s="2" t="s">
        <v>451</v>
      </c>
      <c r="J70" t="s">
        <v>452</v>
      </c>
      <c r="K70" s="2" t="s">
        <v>454</v>
      </c>
      <c r="L70">
        <v>1368</v>
      </c>
    </row>
    <row r="71" spans="1:12" x14ac:dyDescent="0.25">
      <c r="A71">
        <v>571909</v>
      </c>
      <c r="B71">
        <f>IFERROR(INDEX(Table3[church_num],MATCH(ICCM_giving[[#This Row],[FamilyId]],Table3[dd_acct_id],0)),"")</f>
        <v>150120</v>
      </c>
      <c r="C71">
        <v>160141</v>
      </c>
      <c r="D71">
        <v>160141</v>
      </c>
      <c r="E71" s="2" t="s">
        <v>455</v>
      </c>
      <c r="F71" s="2" t="s">
        <v>456</v>
      </c>
      <c r="G71" s="2" t="s">
        <v>457</v>
      </c>
      <c r="H71" s="2" t="s">
        <v>458</v>
      </c>
      <c r="I71" s="2" t="s">
        <v>451</v>
      </c>
      <c r="J71" t="s">
        <v>459</v>
      </c>
      <c r="K71" s="2" t="s">
        <v>461</v>
      </c>
      <c r="L71">
        <v>600</v>
      </c>
    </row>
    <row r="72" spans="1:12" x14ac:dyDescent="0.25">
      <c r="A72">
        <v>571910</v>
      </c>
      <c r="B72">
        <f>IFERROR(INDEX(Table3[church_num],MATCH(ICCM_giving[[#This Row],[FamilyId]],Table3[dd_acct_id],0)),"")</f>
        <v>80180</v>
      </c>
      <c r="C72">
        <v>180186</v>
      </c>
      <c r="D72">
        <v>180186</v>
      </c>
      <c r="E72" s="2" t="s">
        <v>462</v>
      </c>
      <c r="F72" s="2" t="s">
        <v>463</v>
      </c>
      <c r="G72" s="2" t="s">
        <v>464</v>
      </c>
      <c r="H72" s="2" t="s">
        <v>465</v>
      </c>
      <c r="I72" s="2" t="s">
        <v>466</v>
      </c>
      <c r="J72" t="s">
        <v>467</v>
      </c>
      <c r="K72" s="2"/>
      <c r="L72">
        <v>532</v>
      </c>
    </row>
    <row r="73" spans="1:12" x14ac:dyDescent="0.25">
      <c r="A73">
        <v>571911</v>
      </c>
      <c r="B73">
        <f>IFERROR(INDEX(Table3[church_num],MATCH(ICCM_giving[[#This Row],[FamilyId]],Table3[dd_acct_id],0)),"")</f>
        <v>180190</v>
      </c>
      <c r="C73">
        <v>180197</v>
      </c>
      <c r="D73">
        <v>180197</v>
      </c>
      <c r="E73" s="2" t="s">
        <v>469</v>
      </c>
      <c r="F73" s="2" t="s">
        <v>470</v>
      </c>
      <c r="G73" s="2" t="s">
        <v>471</v>
      </c>
      <c r="H73" s="2" t="s">
        <v>472</v>
      </c>
      <c r="I73" s="2" t="s">
        <v>466</v>
      </c>
      <c r="J73" t="s">
        <v>473</v>
      </c>
      <c r="K73" s="2"/>
      <c r="L73">
        <v>1012</v>
      </c>
    </row>
    <row r="74" spans="1:12" x14ac:dyDescent="0.25">
      <c r="A74">
        <v>571912</v>
      </c>
      <c r="B74">
        <f>IFERROR(INDEX(Table3[church_num],MATCH(ICCM_giving[[#This Row],[FamilyId]],Table3[dd_acct_id],0)),"")</f>
        <v>80210</v>
      </c>
      <c r="C74">
        <v>180211</v>
      </c>
      <c r="D74">
        <v>180211</v>
      </c>
      <c r="E74" s="2" t="s">
        <v>475</v>
      </c>
      <c r="F74" s="2" t="s">
        <v>476</v>
      </c>
      <c r="G74" s="2"/>
      <c r="H74" s="2" t="s">
        <v>477</v>
      </c>
      <c r="I74" s="2" t="s">
        <v>466</v>
      </c>
      <c r="J74" t="s">
        <v>478</v>
      </c>
      <c r="K74" s="2" t="s">
        <v>480</v>
      </c>
      <c r="L74">
        <v>418</v>
      </c>
    </row>
    <row r="75" spans="1:12" x14ac:dyDescent="0.25">
      <c r="A75">
        <v>571913</v>
      </c>
      <c r="B75">
        <f>IFERROR(INDEX(Table3[church_num],MATCH(ICCM_giving[[#This Row],[FamilyId]],Table3[dd_acct_id],0)),"")</f>
        <v>180330</v>
      </c>
      <c r="C75">
        <v>180333</v>
      </c>
      <c r="D75">
        <v>180333</v>
      </c>
      <c r="E75" s="2" t="s">
        <v>481</v>
      </c>
      <c r="F75" s="2" t="s">
        <v>482</v>
      </c>
      <c r="G75" s="2" t="s">
        <v>483</v>
      </c>
      <c r="H75" s="2" t="s">
        <v>484</v>
      </c>
      <c r="I75" s="2" t="s">
        <v>466</v>
      </c>
      <c r="J75" t="s">
        <v>485</v>
      </c>
      <c r="K75" s="2"/>
      <c r="L75">
        <v>500</v>
      </c>
    </row>
    <row r="76" spans="1:12" x14ac:dyDescent="0.25">
      <c r="A76">
        <v>571914</v>
      </c>
      <c r="B76">
        <f>IFERROR(INDEX(Table3[church_num],MATCH(ICCM_giving[[#This Row],[FamilyId]],Table3[dd_acct_id],0)),"")</f>
        <v>190070</v>
      </c>
      <c r="C76">
        <v>190070</v>
      </c>
      <c r="D76">
        <v>190070</v>
      </c>
      <c r="E76" s="2" t="s">
        <v>487</v>
      </c>
      <c r="F76" s="2" t="s">
        <v>488</v>
      </c>
      <c r="G76" s="2" t="s">
        <v>489</v>
      </c>
      <c r="H76" s="2" t="s">
        <v>490</v>
      </c>
      <c r="I76" s="2" t="s">
        <v>491</v>
      </c>
      <c r="J76" t="s">
        <v>492</v>
      </c>
      <c r="K76" s="2"/>
      <c r="L76">
        <v>912</v>
      </c>
    </row>
    <row r="77" spans="1:12" x14ac:dyDescent="0.25">
      <c r="A77">
        <v>571915</v>
      </c>
      <c r="B77">
        <f>IFERROR(INDEX(Table3[church_num],MATCH(ICCM_giving[[#This Row],[FamilyId]],Table3[dd_acct_id],0)),"")</f>
        <v>190280</v>
      </c>
      <c r="C77">
        <v>190280</v>
      </c>
      <c r="D77">
        <v>190280</v>
      </c>
      <c r="E77" s="2" t="s">
        <v>494</v>
      </c>
      <c r="F77" s="2" t="s">
        <v>495</v>
      </c>
      <c r="G77" s="2"/>
      <c r="H77" s="2" t="s">
        <v>496</v>
      </c>
      <c r="I77" s="2" t="s">
        <v>497</v>
      </c>
      <c r="J77" t="s">
        <v>498</v>
      </c>
      <c r="K77" s="2" t="s">
        <v>500</v>
      </c>
      <c r="L77">
        <v>686</v>
      </c>
    </row>
    <row r="78" spans="1:12" x14ac:dyDescent="0.25">
      <c r="A78">
        <v>571916</v>
      </c>
      <c r="B78" t="str">
        <f>IFERROR(INDEX(Table3[church_num],MATCH(ICCM_giving[[#This Row],[FamilyId]],Table3[dd_acct_id],0)),"")</f>
        <v/>
      </c>
      <c r="C78">
        <v>200001</v>
      </c>
      <c r="D78">
        <v>200001</v>
      </c>
      <c r="E78" s="2" t="s">
        <v>501</v>
      </c>
      <c r="F78" s="2" t="s">
        <v>502</v>
      </c>
      <c r="G78" s="2" t="s">
        <v>503</v>
      </c>
      <c r="H78" s="2" t="s">
        <v>504</v>
      </c>
      <c r="I78" s="2" t="s">
        <v>505</v>
      </c>
      <c r="J78">
        <v>71328</v>
      </c>
      <c r="K78" s="2" t="s">
        <v>508</v>
      </c>
      <c r="L78">
        <v>1368</v>
      </c>
    </row>
    <row r="79" spans="1:12" x14ac:dyDescent="0.25">
      <c r="A79">
        <v>571917</v>
      </c>
      <c r="B79">
        <f>IFERROR(INDEX(Table3[church_num],MATCH(ICCM_giving[[#This Row],[FamilyId]],Table3[dd_acct_id],0)),"")</f>
        <v>340182</v>
      </c>
      <c r="C79">
        <v>200180</v>
      </c>
      <c r="D79">
        <v>200180</v>
      </c>
      <c r="E79" s="2" t="s">
        <v>361</v>
      </c>
      <c r="F79" s="2" t="s">
        <v>509</v>
      </c>
      <c r="G79" s="2"/>
      <c r="H79" s="2" t="s">
        <v>510</v>
      </c>
      <c r="I79" s="2" t="s">
        <v>505</v>
      </c>
      <c r="J79" t="s">
        <v>511</v>
      </c>
      <c r="K79" s="2" t="s">
        <v>513</v>
      </c>
      <c r="L79">
        <v>760</v>
      </c>
    </row>
    <row r="80" spans="1:12" x14ac:dyDescent="0.25">
      <c r="A80">
        <v>571918</v>
      </c>
      <c r="B80">
        <f>IFERROR(INDEX(Table3[church_num],MATCH(ICCM_giving[[#This Row],[FamilyId]],Table3[dd_acct_id],0)),"")</f>
        <v>340182</v>
      </c>
      <c r="C80">
        <v>200180</v>
      </c>
      <c r="D80">
        <v>200180</v>
      </c>
      <c r="E80" s="2" t="s">
        <v>361</v>
      </c>
      <c r="F80" s="2" t="s">
        <v>509</v>
      </c>
      <c r="G80" s="2"/>
      <c r="H80" s="2" t="s">
        <v>510</v>
      </c>
      <c r="I80" s="2" t="s">
        <v>505</v>
      </c>
      <c r="J80" t="s">
        <v>511</v>
      </c>
      <c r="K80" s="2" t="s">
        <v>513</v>
      </c>
      <c r="L80">
        <v>760</v>
      </c>
    </row>
    <row r="81" spans="1:12" x14ac:dyDescent="0.25">
      <c r="A81">
        <v>571919</v>
      </c>
      <c r="B81">
        <f>IFERROR(INDEX(Table3[church_num],MATCH(ICCM_giving[[#This Row],[FamilyId]],Table3[dd_acct_id],0)),"")</f>
        <v>340225</v>
      </c>
      <c r="C81">
        <v>200225</v>
      </c>
      <c r="D81">
        <v>200225</v>
      </c>
      <c r="E81" s="2" t="s">
        <v>514</v>
      </c>
      <c r="F81" s="2" t="s">
        <v>515</v>
      </c>
      <c r="G81" s="2"/>
      <c r="H81" s="2" t="s">
        <v>516</v>
      </c>
      <c r="I81" s="2" t="s">
        <v>505</v>
      </c>
      <c r="J81" t="s">
        <v>517</v>
      </c>
      <c r="K81" s="2"/>
      <c r="L81">
        <v>365</v>
      </c>
    </row>
    <row r="82" spans="1:12" x14ac:dyDescent="0.25">
      <c r="A82">
        <v>571920</v>
      </c>
      <c r="B82">
        <f>IFERROR(INDEX(Table3[church_num],MATCH(ICCM_giving[[#This Row],[FamilyId]],Table3[dd_acct_id],0)),"")</f>
        <v>340230</v>
      </c>
      <c r="C82">
        <v>200230</v>
      </c>
      <c r="D82">
        <v>200230</v>
      </c>
      <c r="E82" s="2" t="s">
        <v>519</v>
      </c>
      <c r="F82" s="2" t="s">
        <v>520</v>
      </c>
      <c r="G82" s="2" t="s">
        <v>521</v>
      </c>
      <c r="H82" s="2" t="s">
        <v>522</v>
      </c>
      <c r="I82" s="2" t="s">
        <v>505</v>
      </c>
      <c r="J82" t="s">
        <v>523</v>
      </c>
      <c r="K82" s="2" t="s">
        <v>525</v>
      </c>
      <c r="L82">
        <v>494</v>
      </c>
    </row>
    <row r="83" spans="1:12" x14ac:dyDescent="0.25">
      <c r="A83">
        <v>571921</v>
      </c>
      <c r="B83">
        <f>IFERROR(INDEX(Table3[church_num],MATCH(ICCM_giving[[#This Row],[FamilyId]],Table3[dd_acct_id],0)),"")</f>
        <v>240040</v>
      </c>
      <c r="C83">
        <v>210049</v>
      </c>
      <c r="D83">
        <v>210049</v>
      </c>
      <c r="E83" s="2" t="s">
        <v>526</v>
      </c>
      <c r="F83" s="2" t="s">
        <v>527</v>
      </c>
      <c r="G83" s="2"/>
      <c r="H83" s="2" t="s">
        <v>528</v>
      </c>
      <c r="I83" s="2" t="s">
        <v>529</v>
      </c>
      <c r="J83">
        <v>21219</v>
      </c>
      <c r="K83" s="2" t="s">
        <v>531</v>
      </c>
      <c r="L83">
        <v>3243</v>
      </c>
    </row>
    <row r="84" spans="1:12" x14ac:dyDescent="0.25">
      <c r="A84">
        <v>571922</v>
      </c>
      <c r="B84">
        <f>IFERROR(INDEX(Table3[church_num],MATCH(ICCM_giving[[#This Row],[FamilyId]],Table3[dd_acct_id],0)),"")</f>
        <v>240045</v>
      </c>
      <c r="C84">
        <v>210056</v>
      </c>
      <c r="D84">
        <v>210056</v>
      </c>
      <c r="E84" s="2" t="s">
        <v>532</v>
      </c>
      <c r="F84" s="2" t="s">
        <v>533</v>
      </c>
      <c r="G84" s="2"/>
      <c r="H84" s="2" t="s">
        <v>534</v>
      </c>
      <c r="I84" s="2" t="s">
        <v>529</v>
      </c>
      <c r="J84" t="s">
        <v>535</v>
      </c>
      <c r="K84" s="2"/>
      <c r="L84">
        <v>912</v>
      </c>
    </row>
    <row r="85" spans="1:12" x14ac:dyDescent="0.25">
      <c r="A85">
        <v>571923</v>
      </c>
      <c r="B85">
        <f>IFERROR(INDEX(Table3[church_num],MATCH(ICCM_giving[[#This Row],[FamilyId]],Table3[dd_acct_id],0)),"")</f>
        <v>240114</v>
      </c>
      <c r="C85">
        <v>210060</v>
      </c>
      <c r="D85">
        <v>210060</v>
      </c>
      <c r="E85" s="2" t="s">
        <v>537</v>
      </c>
      <c r="F85" s="2" t="s">
        <v>538</v>
      </c>
      <c r="G85" s="2"/>
      <c r="H85" s="2" t="s">
        <v>539</v>
      </c>
      <c r="I85" s="2" t="s">
        <v>540</v>
      </c>
      <c r="J85" t="s">
        <v>541</v>
      </c>
      <c r="K85" s="2" t="s">
        <v>543</v>
      </c>
      <c r="L85">
        <v>456</v>
      </c>
    </row>
    <row r="86" spans="1:12" x14ac:dyDescent="0.25">
      <c r="A86">
        <v>571924</v>
      </c>
      <c r="B86">
        <f>IFERROR(INDEX(Table3[church_num],MATCH(ICCM_giving[[#This Row],[FamilyId]],Table3[dd_acct_id],0)),"")</f>
        <v>240351</v>
      </c>
      <c r="C86">
        <v>210241</v>
      </c>
      <c r="D86">
        <v>210241</v>
      </c>
      <c r="E86" s="2" t="s">
        <v>544</v>
      </c>
      <c r="F86" s="2" t="s">
        <v>545</v>
      </c>
      <c r="G86" s="2" t="s">
        <v>546</v>
      </c>
      <c r="H86" s="2" t="s">
        <v>547</v>
      </c>
      <c r="I86" s="2" t="s">
        <v>529</v>
      </c>
      <c r="J86" t="s">
        <v>548</v>
      </c>
      <c r="K86" s="2" t="s">
        <v>550</v>
      </c>
      <c r="L86">
        <v>912</v>
      </c>
    </row>
    <row r="87" spans="1:12" x14ac:dyDescent="0.25">
      <c r="A87">
        <v>571925</v>
      </c>
      <c r="B87">
        <f>IFERROR(INDEX(Table3[church_num],MATCH(ICCM_giving[[#This Row],[FamilyId]],Table3[dd_acct_id],0)),"")</f>
        <v>240401</v>
      </c>
      <c r="C87">
        <v>210301</v>
      </c>
      <c r="D87">
        <v>210301</v>
      </c>
      <c r="E87" s="2" t="s">
        <v>551</v>
      </c>
      <c r="F87" s="2" t="s">
        <v>552</v>
      </c>
      <c r="G87" s="2"/>
      <c r="H87" s="2" t="s">
        <v>553</v>
      </c>
      <c r="I87" s="2" t="s">
        <v>540</v>
      </c>
      <c r="J87" t="s">
        <v>554</v>
      </c>
      <c r="K87" s="2" t="s">
        <v>556</v>
      </c>
      <c r="L87">
        <v>988</v>
      </c>
    </row>
    <row r="88" spans="1:12" x14ac:dyDescent="0.25">
      <c r="A88">
        <v>571926</v>
      </c>
      <c r="B88">
        <f>IFERROR(INDEX(Table3[church_num],MATCH(ICCM_giving[[#This Row],[FamilyId]],Table3[dd_acct_id],0)),"")</f>
        <v>150127</v>
      </c>
      <c r="C88">
        <v>220111</v>
      </c>
      <c r="D88">
        <v>220111</v>
      </c>
      <c r="E88" s="2" t="s">
        <v>557</v>
      </c>
      <c r="F88" s="2" t="s">
        <v>558</v>
      </c>
      <c r="G88" s="2"/>
      <c r="H88" s="2" t="s">
        <v>559</v>
      </c>
      <c r="I88" s="2" t="s">
        <v>406</v>
      </c>
      <c r="J88">
        <v>55990</v>
      </c>
      <c r="K88" s="2" t="s">
        <v>561</v>
      </c>
      <c r="L88">
        <v>456</v>
      </c>
    </row>
    <row r="89" spans="1:12" x14ac:dyDescent="0.25">
      <c r="A89">
        <v>571927</v>
      </c>
      <c r="B89">
        <f>IFERROR(INDEX(Table3[church_num],MATCH(ICCM_giving[[#This Row],[FamilyId]],Table3[dd_acct_id],0)),"")</f>
        <v>150750</v>
      </c>
      <c r="C89">
        <v>220211</v>
      </c>
      <c r="D89">
        <v>220211</v>
      </c>
      <c r="E89" s="2" t="s">
        <v>562</v>
      </c>
      <c r="F89" s="2" t="s">
        <v>563</v>
      </c>
      <c r="G89" s="2" t="s">
        <v>564</v>
      </c>
      <c r="H89" s="2" t="s">
        <v>565</v>
      </c>
      <c r="I89" s="2" t="s">
        <v>406</v>
      </c>
      <c r="J89" t="s">
        <v>566</v>
      </c>
      <c r="K89" s="2"/>
      <c r="L89">
        <v>556</v>
      </c>
    </row>
    <row r="90" spans="1:12" x14ac:dyDescent="0.25">
      <c r="A90">
        <v>571928</v>
      </c>
      <c r="B90">
        <f>IFERROR(INDEX(Table3[church_num],MATCH(ICCM_giving[[#This Row],[FamilyId]],Table3[dd_acct_id],0)),"")</f>
        <v>150335</v>
      </c>
      <c r="C90">
        <v>220291</v>
      </c>
      <c r="D90">
        <v>220291</v>
      </c>
      <c r="E90" s="2" t="s">
        <v>568</v>
      </c>
      <c r="F90" s="2" t="s">
        <v>569</v>
      </c>
      <c r="G90" s="2" t="s">
        <v>570</v>
      </c>
      <c r="H90" s="2" t="s">
        <v>571</v>
      </c>
      <c r="I90" s="2" t="s">
        <v>572</v>
      </c>
      <c r="J90" t="s">
        <v>573</v>
      </c>
      <c r="K90" s="2"/>
      <c r="L90">
        <v>892</v>
      </c>
    </row>
    <row r="91" spans="1:12" x14ac:dyDescent="0.25">
      <c r="A91">
        <v>571929</v>
      </c>
      <c r="B91">
        <f>IFERROR(INDEX(Table3[church_num],MATCH(ICCM_giving[[#This Row],[FamilyId]],Table3[dd_acct_id],0)),"")</f>
        <v>240060</v>
      </c>
      <c r="C91">
        <v>240061</v>
      </c>
      <c r="D91">
        <v>240061</v>
      </c>
      <c r="E91" s="2" t="s">
        <v>575</v>
      </c>
      <c r="F91" s="2" t="s">
        <v>576</v>
      </c>
      <c r="G91" s="2" t="s">
        <v>577</v>
      </c>
      <c r="H91" s="2" t="s">
        <v>578</v>
      </c>
      <c r="I91" s="2" t="s">
        <v>579</v>
      </c>
      <c r="J91" t="s">
        <v>580</v>
      </c>
      <c r="K91" s="2" t="s">
        <v>582</v>
      </c>
      <c r="L91">
        <v>1593</v>
      </c>
    </row>
    <row r="92" spans="1:12" x14ac:dyDescent="0.25">
      <c r="A92">
        <v>571930</v>
      </c>
      <c r="B92">
        <f>IFERROR(INDEX(Table3[church_num],MATCH(ICCM_giving[[#This Row],[FamilyId]],Table3[dd_acct_id],0)),"")</f>
        <v>240060</v>
      </c>
      <c r="C92">
        <v>240061</v>
      </c>
      <c r="D92">
        <v>240061</v>
      </c>
      <c r="E92" s="2" t="s">
        <v>575</v>
      </c>
      <c r="F92" s="2" t="s">
        <v>576</v>
      </c>
      <c r="G92" s="2" t="s">
        <v>577</v>
      </c>
      <c r="H92" s="2" t="s">
        <v>578</v>
      </c>
      <c r="I92" s="2" t="s">
        <v>579</v>
      </c>
      <c r="J92" t="s">
        <v>580</v>
      </c>
      <c r="K92" s="2" t="s">
        <v>582</v>
      </c>
      <c r="L92">
        <v>1593</v>
      </c>
    </row>
    <row r="93" spans="1:12" x14ac:dyDescent="0.25">
      <c r="A93">
        <v>571931</v>
      </c>
      <c r="B93">
        <f>IFERROR(INDEX(Table3[church_num],MATCH(ICCM_giving[[#This Row],[FamilyId]],Table3[dd_acct_id],0)),"")</f>
        <v>240070</v>
      </c>
      <c r="C93">
        <v>240071</v>
      </c>
      <c r="D93">
        <v>240071</v>
      </c>
      <c r="E93" s="2" t="s">
        <v>583</v>
      </c>
      <c r="F93" s="2" t="s">
        <v>584</v>
      </c>
      <c r="G93" s="2" t="s">
        <v>585</v>
      </c>
      <c r="H93" s="2" t="s">
        <v>586</v>
      </c>
      <c r="I93" s="2" t="s">
        <v>579</v>
      </c>
      <c r="J93" t="s">
        <v>587</v>
      </c>
      <c r="K93" s="2" t="s">
        <v>589</v>
      </c>
      <c r="L93">
        <v>4127</v>
      </c>
    </row>
    <row r="94" spans="1:12" x14ac:dyDescent="0.25">
      <c r="A94">
        <v>571932</v>
      </c>
      <c r="B94">
        <f>IFERROR(INDEX(Table3[church_num],MATCH(ICCM_giving[[#This Row],[FamilyId]],Table3[dd_acct_id],0)),"")</f>
        <v>240120</v>
      </c>
      <c r="C94">
        <v>240121</v>
      </c>
      <c r="D94">
        <v>240121</v>
      </c>
      <c r="E94" s="2" t="s">
        <v>590</v>
      </c>
      <c r="F94" s="2" t="s">
        <v>591</v>
      </c>
      <c r="G94" s="2"/>
      <c r="H94" s="2" t="s">
        <v>592</v>
      </c>
      <c r="I94" s="2" t="s">
        <v>593</v>
      </c>
      <c r="J94" t="s">
        <v>594</v>
      </c>
      <c r="K94" s="2" t="s">
        <v>596</v>
      </c>
      <c r="L94">
        <v>304</v>
      </c>
    </row>
    <row r="95" spans="1:12" x14ac:dyDescent="0.25">
      <c r="A95">
        <v>571933</v>
      </c>
      <c r="B95">
        <f>IFERROR(INDEX(Table3[church_num],MATCH(ICCM_giving[[#This Row],[FamilyId]],Table3[dd_acct_id],0)),"")</f>
        <v>240260</v>
      </c>
      <c r="C95">
        <v>240260</v>
      </c>
      <c r="D95">
        <v>240260</v>
      </c>
      <c r="E95" s="2" t="s">
        <v>597</v>
      </c>
      <c r="F95" s="2" t="s">
        <v>598</v>
      </c>
      <c r="G95" s="2"/>
      <c r="H95" s="2" t="s">
        <v>599</v>
      </c>
      <c r="I95" s="2" t="s">
        <v>124</v>
      </c>
      <c r="J95">
        <v>12454</v>
      </c>
      <c r="K95" s="2"/>
      <c r="L95">
        <v>456</v>
      </c>
    </row>
    <row r="96" spans="1:12" x14ac:dyDescent="0.25">
      <c r="A96">
        <v>571934</v>
      </c>
      <c r="B96">
        <f>IFERROR(INDEX(Table3[church_num],MATCH(ICCM_giving[[#This Row],[FamilyId]],Table3[dd_acct_id],0)),"")</f>
        <v>240350</v>
      </c>
      <c r="C96">
        <v>240351</v>
      </c>
      <c r="D96">
        <v>240351</v>
      </c>
      <c r="E96" s="2" t="s">
        <v>601</v>
      </c>
      <c r="F96" s="2" t="s">
        <v>602</v>
      </c>
      <c r="G96" s="2"/>
      <c r="H96" s="2" t="s">
        <v>603</v>
      </c>
      <c r="I96" s="2" t="s">
        <v>579</v>
      </c>
      <c r="J96" t="s">
        <v>604</v>
      </c>
      <c r="K96" s="2"/>
      <c r="L96">
        <v>456</v>
      </c>
    </row>
    <row r="97" spans="1:12" x14ac:dyDescent="0.25">
      <c r="A97">
        <v>571935</v>
      </c>
      <c r="B97">
        <f>IFERROR(INDEX(Table3[church_num],MATCH(ICCM_giving[[#This Row],[FamilyId]],Table3[dd_acct_id],0)),"")</f>
        <v>240390</v>
      </c>
      <c r="C97">
        <v>240396</v>
      </c>
      <c r="D97">
        <v>240396</v>
      </c>
      <c r="E97" s="2" t="s">
        <v>606</v>
      </c>
      <c r="F97" s="2" t="s">
        <v>607</v>
      </c>
      <c r="G97" s="2" t="s">
        <v>608</v>
      </c>
      <c r="H97" s="2" t="s">
        <v>609</v>
      </c>
      <c r="I97" s="2" t="s">
        <v>124</v>
      </c>
      <c r="J97">
        <v>13856</v>
      </c>
      <c r="K97" s="2" t="s">
        <v>611</v>
      </c>
      <c r="L97">
        <v>1476</v>
      </c>
    </row>
    <row r="98" spans="1:12" x14ac:dyDescent="0.25">
      <c r="A98">
        <v>571936</v>
      </c>
      <c r="B98" t="str">
        <f>IFERROR(INDEX(Table3[church_num],MATCH(ICCM_giving[[#This Row],[FamilyId]],Table3[dd_acct_id],0)),"")</f>
        <v/>
      </c>
      <c r="C98">
        <v>240400</v>
      </c>
      <c r="D98">
        <v>240400</v>
      </c>
      <c r="E98" s="2" t="s">
        <v>612</v>
      </c>
      <c r="F98" s="2" t="s">
        <v>613</v>
      </c>
      <c r="G98" s="2"/>
      <c r="H98" s="2" t="s">
        <v>614</v>
      </c>
      <c r="I98" s="2" t="s">
        <v>579</v>
      </c>
      <c r="J98">
        <v>18471</v>
      </c>
      <c r="K98" s="2"/>
      <c r="L98">
        <v>720</v>
      </c>
    </row>
    <row r="99" spans="1:12" x14ac:dyDescent="0.25">
      <c r="A99">
        <v>571937</v>
      </c>
      <c r="B99">
        <f>IFERROR(INDEX(Table3[church_num],MATCH(ICCM_giving[[#This Row],[FamilyId]],Table3[dd_acct_id],0)),"")</f>
        <v>240400</v>
      </c>
      <c r="C99">
        <v>240409</v>
      </c>
      <c r="D99">
        <v>240409</v>
      </c>
      <c r="E99" s="2" t="s">
        <v>616</v>
      </c>
      <c r="F99" s="2" t="s">
        <v>617</v>
      </c>
      <c r="G99" s="2" t="s">
        <v>618</v>
      </c>
      <c r="H99" s="2" t="s">
        <v>619</v>
      </c>
      <c r="I99" s="2" t="s">
        <v>579</v>
      </c>
      <c r="J99">
        <v>18447</v>
      </c>
      <c r="K99" s="2"/>
      <c r="L99">
        <v>516</v>
      </c>
    </row>
    <row r="100" spans="1:12" x14ac:dyDescent="0.25">
      <c r="A100">
        <v>571938</v>
      </c>
      <c r="B100">
        <f>IFERROR(INDEX(Table3[church_num],MATCH(ICCM_giving[[#This Row],[FamilyId]],Table3[dd_acct_id],0)),"")</f>
        <v>250020</v>
      </c>
      <c r="C100">
        <v>250026</v>
      </c>
      <c r="D100">
        <v>250026</v>
      </c>
      <c r="E100" s="2" t="s">
        <v>622</v>
      </c>
      <c r="F100" s="2" t="s">
        <v>623</v>
      </c>
      <c r="G100" s="2" t="s">
        <v>624</v>
      </c>
      <c r="H100" s="2" t="s">
        <v>625</v>
      </c>
      <c r="I100" s="2" t="s">
        <v>212</v>
      </c>
      <c r="J100">
        <v>48809</v>
      </c>
      <c r="K100" s="2" t="s">
        <v>627</v>
      </c>
      <c r="L100">
        <v>456</v>
      </c>
    </row>
    <row r="101" spans="1:12" x14ac:dyDescent="0.25">
      <c r="A101">
        <v>571939</v>
      </c>
      <c r="B101">
        <f>IFERROR(INDEX(Table3[church_num],MATCH(ICCM_giving[[#This Row],[FamilyId]],Table3[dd_acct_id],0)),"")</f>
        <v>250070</v>
      </c>
      <c r="C101">
        <v>250076</v>
      </c>
      <c r="D101">
        <v>250076</v>
      </c>
      <c r="E101" s="2" t="s">
        <v>628</v>
      </c>
      <c r="F101" s="2" t="s">
        <v>629</v>
      </c>
      <c r="G101" s="2" t="s">
        <v>630</v>
      </c>
      <c r="H101" s="2" t="s">
        <v>631</v>
      </c>
      <c r="I101" s="2" t="s">
        <v>212</v>
      </c>
      <c r="J101" t="s">
        <v>632</v>
      </c>
      <c r="K101" s="2" t="s">
        <v>634</v>
      </c>
      <c r="L101">
        <v>506</v>
      </c>
    </row>
    <row r="102" spans="1:12" x14ac:dyDescent="0.25">
      <c r="A102">
        <v>571940</v>
      </c>
      <c r="B102">
        <f>IFERROR(INDEX(Table3[church_num],MATCH(ICCM_giving[[#This Row],[FamilyId]],Table3[dd_acct_id],0)),"")</f>
        <v>250090</v>
      </c>
      <c r="C102">
        <v>250095</v>
      </c>
      <c r="D102">
        <v>250095</v>
      </c>
      <c r="E102" s="2" t="s">
        <v>635</v>
      </c>
      <c r="F102" s="2" t="s">
        <v>636</v>
      </c>
      <c r="G102" s="2"/>
      <c r="H102" s="2" t="s">
        <v>637</v>
      </c>
      <c r="I102" s="2" t="s">
        <v>212</v>
      </c>
      <c r="J102" t="s">
        <v>638</v>
      </c>
      <c r="K102" s="2" t="s">
        <v>640</v>
      </c>
      <c r="L102">
        <v>456</v>
      </c>
    </row>
    <row r="103" spans="1:12" x14ac:dyDescent="0.25">
      <c r="A103">
        <v>571941</v>
      </c>
      <c r="B103">
        <f>IFERROR(INDEX(Table3[church_num],MATCH(ICCM_giving[[#This Row],[FamilyId]],Table3[dd_acct_id],0)),"")</f>
        <v>250230</v>
      </c>
      <c r="C103">
        <v>250236</v>
      </c>
      <c r="D103">
        <v>250236</v>
      </c>
      <c r="E103" s="2" t="s">
        <v>641</v>
      </c>
      <c r="F103" s="2" t="s">
        <v>642</v>
      </c>
      <c r="G103" s="2"/>
      <c r="H103" s="2" t="s">
        <v>643</v>
      </c>
      <c r="I103" s="2" t="s">
        <v>212</v>
      </c>
      <c r="J103" t="s">
        <v>644</v>
      </c>
      <c r="K103" s="2" t="s">
        <v>646</v>
      </c>
      <c r="L103">
        <v>912</v>
      </c>
    </row>
    <row r="104" spans="1:12" x14ac:dyDescent="0.25">
      <c r="A104">
        <v>571942</v>
      </c>
      <c r="B104">
        <f>IFERROR(INDEX(Table3[church_num],MATCH(ICCM_giving[[#This Row],[FamilyId]],Table3[dd_acct_id],0)),"")</f>
        <v>250330</v>
      </c>
      <c r="C104">
        <v>250332</v>
      </c>
      <c r="D104">
        <v>250332</v>
      </c>
      <c r="E104" s="2" t="s">
        <v>647</v>
      </c>
      <c r="F104" s="2" t="s">
        <v>648</v>
      </c>
      <c r="G104" s="2" t="s">
        <v>649</v>
      </c>
      <c r="H104" s="2" t="s">
        <v>650</v>
      </c>
      <c r="I104" s="2" t="s">
        <v>212</v>
      </c>
      <c r="J104" t="s">
        <v>651</v>
      </c>
      <c r="K104" s="2"/>
      <c r="L104">
        <v>912</v>
      </c>
    </row>
    <row r="105" spans="1:12" x14ac:dyDescent="0.25">
      <c r="A105">
        <v>571943</v>
      </c>
      <c r="B105">
        <f>IFERROR(INDEX(Table3[church_num],MATCH(ICCM_giving[[#This Row],[FamilyId]],Table3[dd_acct_id],0)),"")</f>
        <v>250350</v>
      </c>
      <c r="C105">
        <v>250350</v>
      </c>
      <c r="D105">
        <v>250350</v>
      </c>
      <c r="E105" s="2" t="s">
        <v>653</v>
      </c>
      <c r="F105" s="2" t="s">
        <v>654</v>
      </c>
      <c r="G105" s="2" t="s">
        <v>655</v>
      </c>
      <c r="H105" s="2" t="s">
        <v>656</v>
      </c>
      <c r="I105" s="2" t="s">
        <v>212</v>
      </c>
      <c r="J105">
        <v>49659</v>
      </c>
      <c r="K105" s="2" t="s">
        <v>658</v>
      </c>
      <c r="L105">
        <v>481</v>
      </c>
    </row>
    <row r="106" spans="1:12" x14ac:dyDescent="0.25">
      <c r="A106">
        <v>571944</v>
      </c>
      <c r="B106">
        <f>IFERROR(INDEX(Table3[church_num],MATCH(ICCM_giving[[#This Row],[FamilyId]],Table3[dd_acct_id],0)),"")</f>
        <v>250350</v>
      </c>
      <c r="C106">
        <v>250350</v>
      </c>
      <c r="D106">
        <v>250350</v>
      </c>
      <c r="E106" s="2" t="s">
        <v>653</v>
      </c>
      <c r="F106" s="2" t="s">
        <v>654</v>
      </c>
      <c r="G106" s="2" t="s">
        <v>655</v>
      </c>
      <c r="H106" s="2" t="s">
        <v>656</v>
      </c>
      <c r="I106" s="2" t="s">
        <v>212</v>
      </c>
      <c r="J106">
        <v>49659</v>
      </c>
      <c r="K106" s="2" t="s">
        <v>658</v>
      </c>
      <c r="L106">
        <v>481</v>
      </c>
    </row>
    <row r="107" spans="1:12" x14ac:dyDescent="0.25">
      <c r="A107">
        <v>571945</v>
      </c>
      <c r="B107">
        <f>IFERROR(INDEX(Table3[church_num],MATCH(ICCM_giving[[#This Row],[FamilyId]],Table3[dd_acct_id],0)),"")</f>
        <v>250410</v>
      </c>
      <c r="C107">
        <v>250411</v>
      </c>
      <c r="D107">
        <v>250411</v>
      </c>
      <c r="E107" s="2" t="s">
        <v>659</v>
      </c>
      <c r="F107" s="2" t="s">
        <v>660</v>
      </c>
      <c r="G107" s="2" t="s">
        <v>661</v>
      </c>
      <c r="H107" s="2" t="s">
        <v>662</v>
      </c>
      <c r="I107" s="2" t="s">
        <v>212</v>
      </c>
      <c r="J107">
        <v>49668</v>
      </c>
      <c r="K107" s="2" t="s">
        <v>664</v>
      </c>
      <c r="L107">
        <v>501.7</v>
      </c>
    </row>
    <row r="108" spans="1:12" x14ac:dyDescent="0.25">
      <c r="A108">
        <v>571946</v>
      </c>
      <c r="B108">
        <f>IFERROR(INDEX(Table3[church_num],MATCH(ICCM_giving[[#This Row],[FamilyId]],Table3[dd_acct_id],0)),"")</f>
        <v>250430</v>
      </c>
      <c r="C108">
        <v>250430</v>
      </c>
      <c r="D108">
        <v>250430</v>
      </c>
      <c r="E108" s="2" t="s">
        <v>665</v>
      </c>
      <c r="F108" s="2" t="s">
        <v>666</v>
      </c>
      <c r="G108" s="2" t="s">
        <v>667</v>
      </c>
      <c r="H108" s="2" t="s">
        <v>668</v>
      </c>
      <c r="I108" s="2" t="s">
        <v>212</v>
      </c>
      <c r="J108" t="s">
        <v>669</v>
      </c>
      <c r="K108" s="2" t="s">
        <v>671</v>
      </c>
      <c r="L108">
        <v>1884</v>
      </c>
    </row>
    <row r="109" spans="1:12" x14ac:dyDescent="0.25">
      <c r="A109">
        <v>571947</v>
      </c>
      <c r="B109">
        <f>IFERROR(INDEX(Table3[church_num],MATCH(ICCM_giving[[#This Row],[FamilyId]],Table3[dd_acct_id],0)),"")</f>
        <v>250480</v>
      </c>
      <c r="C109">
        <v>250489</v>
      </c>
      <c r="D109">
        <v>250489</v>
      </c>
      <c r="E109" s="2" t="s">
        <v>672</v>
      </c>
      <c r="F109" s="2" t="s">
        <v>673</v>
      </c>
      <c r="G109" s="2" t="s">
        <v>674</v>
      </c>
      <c r="H109" s="2" t="s">
        <v>675</v>
      </c>
      <c r="I109" s="2" t="s">
        <v>212</v>
      </c>
      <c r="J109" t="s">
        <v>676</v>
      </c>
      <c r="K109" s="2"/>
      <c r="L109">
        <v>912</v>
      </c>
    </row>
    <row r="110" spans="1:12" x14ac:dyDescent="0.25">
      <c r="A110">
        <v>571948</v>
      </c>
      <c r="B110">
        <f>IFERROR(INDEX(Table3[church_num],MATCH(ICCM_giving[[#This Row],[FamilyId]],Table3[dd_acct_id],0)),"")</f>
        <v>250510</v>
      </c>
      <c r="C110">
        <v>250510</v>
      </c>
      <c r="D110">
        <v>250510</v>
      </c>
      <c r="E110" s="2" t="s">
        <v>678</v>
      </c>
      <c r="F110" s="2" t="s">
        <v>679</v>
      </c>
      <c r="G110" s="2" t="s">
        <v>680</v>
      </c>
      <c r="H110" s="2" t="s">
        <v>681</v>
      </c>
      <c r="I110" s="2" t="s">
        <v>212</v>
      </c>
      <c r="J110" t="s">
        <v>682</v>
      </c>
      <c r="K110" s="2" t="s">
        <v>684</v>
      </c>
      <c r="L110">
        <v>456</v>
      </c>
    </row>
    <row r="111" spans="1:12" x14ac:dyDescent="0.25">
      <c r="A111">
        <v>571949</v>
      </c>
      <c r="B111">
        <f>IFERROR(INDEX(Table3[church_num],MATCH(ICCM_giving[[#This Row],[FamilyId]],Table3[dd_acct_id],0)),"")</f>
        <v>250540</v>
      </c>
      <c r="C111">
        <v>250541</v>
      </c>
      <c r="D111">
        <v>250541</v>
      </c>
      <c r="E111" s="2" t="s">
        <v>685</v>
      </c>
      <c r="F111" s="2" t="s">
        <v>686</v>
      </c>
      <c r="G111" s="2"/>
      <c r="H111" s="2" t="s">
        <v>687</v>
      </c>
      <c r="I111" s="2" t="s">
        <v>212</v>
      </c>
      <c r="J111">
        <v>49783</v>
      </c>
      <c r="K111" s="2" t="s">
        <v>689</v>
      </c>
      <c r="L111">
        <v>1912</v>
      </c>
    </row>
    <row r="112" spans="1:12" x14ac:dyDescent="0.25">
      <c r="A112">
        <v>571950</v>
      </c>
      <c r="B112">
        <f>IFERROR(INDEX(Table3[church_num],MATCH(ICCM_giving[[#This Row],[FamilyId]],Table3[dd_acct_id],0)),"")</f>
        <v>250600</v>
      </c>
      <c r="C112">
        <v>250601</v>
      </c>
      <c r="D112">
        <v>250601</v>
      </c>
      <c r="E112" s="2" t="s">
        <v>690</v>
      </c>
      <c r="F112" s="2" t="s">
        <v>691</v>
      </c>
      <c r="G112" s="2" t="s">
        <v>692</v>
      </c>
      <c r="H112" s="2" t="s">
        <v>693</v>
      </c>
      <c r="I112" s="2" t="s">
        <v>212</v>
      </c>
      <c r="J112">
        <v>49346</v>
      </c>
      <c r="K112" s="2" t="s">
        <v>695</v>
      </c>
      <c r="L112">
        <v>1845</v>
      </c>
    </row>
    <row r="113" spans="1:12" x14ac:dyDescent="0.25">
      <c r="A113">
        <v>571951</v>
      </c>
      <c r="B113">
        <f>IFERROR(INDEX(Table3[church_num],MATCH(ICCM_giving[[#This Row],[FamilyId]],Table3[dd_acct_id],0)),"")</f>
        <v>260070</v>
      </c>
      <c r="C113">
        <v>260071</v>
      </c>
      <c r="D113">
        <v>260071</v>
      </c>
      <c r="E113" s="2" t="s">
        <v>628</v>
      </c>
      <c r="F113" s="2" t="s">
        <v>696</v>
      </c>
      <c r="G113" s="2" t="s">
        <v>697</v>
      </c>
      <c r="H113" s="2" t="s">
        <v>185</v>
      </c>
      <c r="I113" s="2" t="s">
        <v>698</v>
      </c>
      <c r="J113" t="s">
        <v>699</v>
      </c>
      <c r="K113" s="2" t="s">
        <v>701</v>
      </c>
      <c r="L113">
        <v>1428</v>
      </c>
    </row>
    <row r="114" spans="1:12" x14ac:dyDescent="0.25">
      <c r="A114">
        <v>571952</v>
      </c>
      <c r="B114">
        <f>IFERROR(INDEX(Table3[church_num],MATCH(ICCM_giving[[#This Row],[FamilyId]],Table3[dd_acct_id],0)),"")</f>
        <v>260200</v>
      </c>
      <c r="C114">
        <v>260200</v>
      </c>
      <c r="D114">
        <v>260200</v>
      </c>
      <c r="E114" s="2" t="s">
        <v>702</v>
      </c>
      <c r="F114" s="2" t="s">
        <v>703</v>
      </c>
      <c r="G114" s="2"/>
      <c r="H114" s="2" t="s">
        <v>704</v>
      </c>
      <c r="I114" s="2" t="s">
        <v>698</v>
      </c>
      <c r="J114">
        <v>45424</v>
      </c>
      <c r="K114" s="2"/>
      <c r="L114">
        <v>7298.5</v>
      </c>
    </row>
    <row r="115" spans="1:12" x14ac:dyDescent="0.25">
      <c r="A115">
        <v>571953</v>
      </c>
      <c r="B115" t="str">
        <f>IFERROR(INDEX(Table3[church_num],MATCH(ICCM_giving[[#This Row],[FamilyId]],Table3[dd_acct_id],0)),"")</f>
        <v/>
      </c>
      <c r="C115">
        <v>260206</v>
      </c>
      <c r="D115">
        <v>260206</v>
      </c>
      <c r="E115" s="2" t="s">
        <v>706</v>
      </c>
      <c r="F115" s="2" t="s">
        <v>707</v>
      </c>
      <c r="G115" s="2" t="s">
        <v>708</v>
      </c>
      <c r="H115" s="2" t="s">
        <v>709</v>
      </c>
      <c r="I115" s="2" t="s">
        <v>698</v>
      </c>
      <c r="J115" t="s">
        <v>710</v>
      </c>
      <c r="K115" s="2"/>
      <c r="L115">
        <v>456</v>
      </c>
    </row>
    <row r="116" spans="1:12" x14ac:dyDescent="0.25">
      <c r="A116">
        <v>571954</v>
      </c>
      <c r="B116">
        <f>IFERROR(INDEX(Table3[church_num],MATCH(ICCM_giving[[#This Row],[FamilyId]],Table3[dd_acct_id],0)),"")</f>
        <v>260230</v>
      </c>
      <c r="C116">
        <v>260230</v>
      </c>
      <c r="D116">
        <v>260230</v>
      </c>
      <c r="E116" s="2" t="s">
        <v>712</v>
      </c>
      <c r="F116" s="2" t="s">
        <v>713</v>
      </c>
      <c r="G116" s="2" t="s">
        <v>714</v>
      </c>
      <c r="H116" s="2" t="s">
        <v>715</v>
      </c>
      <c r="I116" s="2" t="s">
        <v>698</v>
      </c>
      <c r="J116" t="s">
        <v>716</v>
      </c>
      <c r="K116" s="2" t="s">
        <v>718</v>
      </c>
      <c r="L116">
        <v>1368</v>
      </c>
    </row>
    <row r="117" spans="1:12" x14ac:dyDescent="0.25">
      <c r="A117">
        <v>571955</v>
      </c>
      <c r="B117">
        <f>IFERROR(INDEX(Table3[church_num],MATCH(ICCM_giving[[#This Row],[FamilyId]],Table3[dd_acct_id],0)),"")</f>
        <v>260250</v>
      </c>
      <c r="C117">
        <v>260259</v>
      </c>
      <c r="D117">
        <v>260259</v>
      </c>
      <c r="E117" s="2" t="s">
        <v>719</v>
      </c>
      <c r="F117" s="2" t="s">
        <v>720</v>
      </c>
      <c r="G117" s="2"/>
      <c r="H117" s="2" t="s">
        <v>721</v>
      </c>
      <c r="I117" s="2" t="s">
        <v>698</v>
      </c>
      <c r="J117">
        <v>43746</v>
      </c>
      <c r="K117" s="2" t="s">
        <v>723</v>
      </c>
      <c r="L117">
        <v>912</v>
      </c>
    </row>
    <row r="118" spans="1:12" x14ac:dyDescent="0.25">
      <c r="A118">
        <v>571956</v>
      </c>
      <c r="B118">
        <f>IFERROR(INDEX(Table3[church_num],MATCH(ICCM_giving[[#This Row],[FamilyId]],Table3[dd_acct_id],0)),"")</f>
        <v>260310</v>
      </c>
      <c r="C118">
        <v>260316</v>
      </c>
      <c r="D118">
        <v>260316</v>
      </c>
      <c r="E118" s="2" t="s">
        <v>724</v>
      </c>
      <c r="F118" s="2" t="s">
        <v>725</v>
      </c>
      <c r="G118" s="2"/>
      <c r="H118" s="2" t="s">
        <v>726</v>
      </c>
      <c r="I118" s="2" t="s">
        <v>698</v>
      </c>
      <c r="J118" t="s">
        <v>727</v>
      </c>
      <c r="K118" s="2" t="s">
        <v>729</v>
      </c>
      <c r="L118">
        <v>756</v>
      </c>
    </row>
    <row r="119" spans="1:12" x14ac:dyDescent="0.25">
      <c r="A119">
        <v>571957</v>
      </c>
      <c r="B119">
        <f>IFERROR(INDEX(Table3[church_num],MATCH(ICCM_giving[[#This Row],[FamilyId]],Table3[dd_acct_id],0)),"")</f>
        <v>260310</v>
      </c>
      <c r="C119">
        <v>260316</v>
      </c>
      <c r="D119">
        <v>260316</v>
      </c>
      <c r="E119" s="2" t="s">
        <v>724</v>
      </c>
      <c r="F119" s="2" t="s">
        <v>725</v>
      </c>
      <c r="G119" s="2"/>
      <c r="H119" s="2" t="s">
        <v>726</v>
      </c>
      <c r="I119" s="2" t="s">
        <v>698</v>
      </c>
      <c r="J119" t="s">
        <v>727</v>
      </c>
      <c r="K119" s="2" t="s">
        <v>729</v>
      </c>
      <c r="L119">
        <v>756</v>
      </c>
    </row>
    <row r="120" spans="1:12" x14ac:dyDescent="0.25">
      <c r="A120">
        <v>571958</v>
      </c>
      <c r="B120" t="str">
        <f>IFERROR(INDEX(Table3[church_num],MATCH(ICCM_giving[[#This Row],[FamilyId]],Table3[dd_acct_id],0)),"")</f>
        <v/>
      </c>
      <c r="C120">
        <v>260362</v>
      </c>
      <c r="D120">
        <v>260362</v>
      </c>
      <c r="E120" s="2" t="s">
        <v>730</v>
      </c>
      <c r="F120" s="2" t="s">
        <v>731</v>
      </c>
      <c r="G120" s="2"/>
      <c r="H120" s="2" t="s">
        <v>732</v>
      </c>
      <c r="I120" s="2" t="s">
        <v>698</v>
      </c>
      <c r="J120" t="s">
        <v>733</v>
      </c>
      <c r="K120" s="2"/>
      <c r="L120">
        <v>152</v>
      </c>
    </row>
    <row r="121" spans="1:12" x14ac:dyDescent="0.25">
      <c r="A121">
        <v>571959</v>
      </c>
      <c r="B121">
        <f>IFERROR(INDEX(Table3[church_num],MATCH(ICCM_giving[[#This Row],[FamilyId]],Table3[dd_acct_id],0)),"")</f>
        <v>270040</v>
      </c>
      <c r="C121">
        <v>270043</v>
      </c>
      <c r="D121">
        <v>270043</v>
      </c>
      <c r="E121" s="2" t="s">
        <v>735</v>
      </c>
      <c r="F121" s="2" t="s">
        <v>736</v>
      </c>
      <c r="G121" s="2" t="s">
        <v>737</v>
      </c>
      <c r="H121" s="2" t="s">
        <v>738</v>
      </c>
      <c r="I121" s="2" t="s">
        <v>579</v>
      </c>
      <c r="J121" t="s">
        <v>739</v>
      </c>
      <c r="K121" s="2" t="s">
        <v>741</v>
      </c>
      <c r="L121">
        <v>342</v>
      </c>
    </row>
    <row r="122" spans="1:12" x14ac:dyDescent="0.25">
      <c r="A122">
        <v>571960</v>
      </c>
      <c r="B122">
        <f>IFERROR(INDEX(Table3[church_num],MATCH(ICCM_giving[[#This Row],[FamilyId]],Table3[dd_acct_id],0)),"")</f>
        <v>270100</v>
      </c>
      <c r="C122">
        <v>270101</v>
      </c>
      <c r="D122">
        <v>270101</v>
      </c>
      <c r="E122" s="2" t="s">
        <v>742</v>
      </c>
      <c r="F122" s="2" t="s">
        <v>743</v>
      </c>
      <c r="G122" s="2" t="s">
        <v>744</v>
      </c>
      <c r="H122" s="2" t="s">
        <v>745</v>
      </c>
      <c r="I122" s="2" t="s">
        <v>579</v>
      </c>
      <c r="J122">
        <v>16313</v>
      </c>
      <c r="K122" s="2"/>
      <c r="L122">
        <v>912</v>
      </c>
    </row>
    <row r="123" spans="1:12" x14ac:dyDescent="0.25">
      <c r="A123">
        <v>571961</v>
      </c>
      <c r="B123">
        <f>IFERROR(INDEX(Table3[church_num],MATCH(ICCM_giving[[#This Row],[FamilyId]],Table3[dd_acct_id],0)),"")</f>
        <v>270150</v>
      </c>
      <c r="C123">
        <v>270156</v>
      </c>
      <c r="D123">
        <v>270156</v>
      </c>
      <c r="E123" s="2" t="s">
        <v>747</v>
      </c>
      <c r="F123" s="2" t="s">
        <v>748</v>
      </c>
      <c r="G123" s="2"/>
      <c r="H123" s="2" t="s">
        <v>749</v>
      </c>
      <c r="I123" s="2" t="s">
        <v>579</v>
      </c>
      <c r="J123" t="s">
        <v>750</v>
      </c>
      <c r="K123" s="2" t="s">
        <v>752</v>
      </c>
      <c r="L123">
        <v>912</v>
      </c>
    </row>
    <row r="124" spans="1:12" x14ac:dyDescent="0.25">
      <c r="A124">
        <v>571962</v>
      </c>
      <c r="B124">
        <f>IFERROR(INDEX(Table3[church_num],MATCH(ICCM_giving[[#This Row],[FamilyId]],Table3[dd_acct_id],0)),"")</f>
        <v>270170</v>
      </c>
      <c r="C124">
        <v>270171</v>
      </c>
      <c r="D124">
        <v>270171</v>
      </c>
      <c r="E124" s="2" t="s">
        <v>753</v>
      </c>
      <c r="F124" s="2" t="s">
        <v>754</v>
      </c>
      <c r="G124" s="2"/>
      <c r="H124" s="2" t="s">
        <v>755</v>
      </c>
      <c r="I124" s="2" t="s">
        <v>579</v>
      </c>
      <c r="J124" t="s">
        <v>756</v>
      </c>
      <c r="K124" s="2" t="s">
        <v>758</v>
      </c>
      <c r="L124">
        <v>481</v>
      </c>
    </row>
    <row r="125" spans="1:12" x14ac:dyDescent="0.25">
      <c r="A125">
        <v>571963</v>
      </c>
      <c r="B125">
        <f>IFERROR(INDEX(Table3[church_num],MATCH(ICCM_giving[[#This Row],[FamilyId]],Table3[dd_acct_id],0)),"")</f>
        <v>270260</v>
      </c>
      <c r="C125">
        <v>270260</v>
      </c>
      <c r="D125">
        <v>270260</v>
      </c>
      <c r="E125" s="2" t="s">
        <v>759</v>
      </c>
      <c r="F125" s="2" t="s">
        <v>760</v>
      </c>
      <c r="G125" s="2"/>
      <c r="H125" s="2" t="s">
        <v>761</v>
      </c>
      <c r="I125" s="2" t="s">
        <v>579</v>
      </c>
      <c r="J125" t="s">
        <v>762</v>
      </c>
      <c r="K125" s="2" t="s">
        <v>764</v>
      </c>
      <c r="L125">
        <v>1968</v>
      </c>
    </row>
    <row r="126" spans="1:12" x14ac:dyDescent="0.25">
      <c r="A126">
        <v>571964</v>
      </c>
      <c r="B126">
        <f>IFERROR(INDEX(Table3[church_num],MATCH(ICCM_giving[[#This Row],[FamilyId]],Table3[dd_acct_id],0)),"")</f>
        <v>270260</v>
      </c>
      <c r="C126">
        <v>270260</v>
      </c>
      <c r="D126">
        <v>270260</v>
      </c>
      <c r="E126" s="2" t="s">
        <v>759</v>
      </c>
      <c r="F126" s="2" t="s">
        <v>760</v>
      </c>
      <c r="G126" s="2"/>
      <c r="H126" s="2" t="s">
        <v>761</v>
      </c>
      <c r="I126" s="2" t="s">
        <v>579</v>
      </c>
      <c r="J126" t="s">
        <v>762</v>
      </c>
      <c r="K126" s="2" t="s">
        <v>764</v>
      </c>
      <c r="L126">
        <v>1968</v>
      </c>
    </row>
    <row r="127" spans="1:12" x14ac:dyDescent="0.25">
      <c r="A127">
        <v>571965</v>
      </c>
      <c r="B127">
        <f>IFERROR(INDEX(Table3[church_num],MATCH(ICCM_giving[[#This Row],[FamilyId]],Table3[dd_acct_id],0)),"")</f>
        <v>270400</v>
      </c>
      <c r="C127">
        <v>270401</v>
      </c>
      <c r="D127">
        <v>270401</v>
      </c>
      <c r="E127" s="2" t="s">
        <v>765</v>
      </c>
      <c r="F127" s="2" t="s">
        <v>767</v>
      </c>
      <c r="G127" s="2" t="s">
        <v>768</v>
      </c>
      <c r="H127" s="2" t="s">
        <v>769</v>
      </c>
      <c r="I127" s="2" t="s">
        <v>579</v>
      </c>
      <c r="J127" t="s">
        <v>770</v>
      </c>
      <c r="K127" s="2" t="s">
        <v>773</v>
      </c>
      <c r="L127">
        <v>456</v>
      </c>
    </row>
    <row r="128" spans="1:12" x14ac:dyDescent="0.25">
      <c r="A128">
        <v>571966</v>
      </c>
      <c r="B128">
        <f>IFERROR(INDEX(Table3[church_num],MATCH(ICCM_giving[[#This Row],[FamilyId]],Table3[dd_acct_id],0)),"")</f>
        <v>270550</v>
      </c>
      <c r="C128">
        <v>270550</v>
      </c>
      <c r="D128">
        <v>270550</v>
      </c>
      <c r="E128" s="2" t="s">
        <v>774</v>
      </c>
      <c r="F128" s="2" t="s">
        <v>775</v>
      </c>
      <c r="G128" s="2" t="s">
        <v>776</v>
      </c>
      <c r="H128" s="2" t="s">
        <v>777</v>
      </c>
      <c r="I128" s="2" t="s">
        <v>579</v>
      </c>
      <c r="J128">
        <v>16301</v>
      </c>
      <c r="K128" s="2"/>
      <c r="L128">
        <v>1185.5999999999999</v>
      </c>
    </row>
    <row r="129" spans="1:12" x14ac:dyDescent="0.25">
      <c r="A129">
        <v>571967</v>
      </c>
      <c r="B129">
        <f>IFERROR(INDEX(Table3[church_num],MATCH(ICCM_giving[[#This Row],[FamilyId]],Table3[dd_acct_id],0)),"")</f>
        <v>270750</v>
      </c>
      <c r="C129">
        <v>270750</v>
      </c>
      <c r="D129">
        <v>270750</v>
      </c>
      <c r="E129" s="2" t="s">
        <v>779</v>
      </c>
      <c r="F129" s="2" t="s">
        <v>780</v>
      </c>
      <c r="G129" s="2" t="s">
        <v>781</v>
      </c>
      <c r="H129" s="2" t="s">
        <v>782</v>
      </c>
      <c r="I129" s="2" t="s">
        <v>579</v>
      </c>
      <c r="J129" t="s">
        <v>783</v>
      </c>
      <c r="K129" s="2" t="s">
        <v>785</v>
      </c>
      <c r="L129">
        <v>4059</v>
      </c>
    </row>
    <row r="130" spans="1:12" x14ac:dyDescent="0.25">
      <c r="A130">
        <v>571968</v>
      </c>
      <c r="B130">
        <f>IFERROR(INDEX(Table3[church_num],MATCH(ICCM_giving[[#This Row],[FamilyId]],Table3[dd_acct_id],0)),"")</f>
        <v>270890</v>
      </c>
      <c r="C130">
        <v>270893</v>
      </c>
      <c r="D130">
        <v>270893</v>
      </c>
      <c r="E130" s="2" t="s">
        <v>786</v>
      </c>
      <c r="F130" s="2" t="s">
        <v>787</v>
      </c>
      <c r="G130" s="2" t="s">
        <v>788</v>
      </c>
      <c r="H130" s="2" t="s">
        <v>789</v>
      </c>
      <c r="I130" s="2" t="s">
        <v>579</v>
      </c>
      <c r="J130">
        <v>16371</v>
      </c>
      <c r="K130" s="2" t="s">
        <v>791</v>
      </c>
      <c r="L130">
        <v>1200</v>
      </c>
    </row>
    <row r="131" spans="1:12" x14ac:dyDescent="0.25">
      <c r="A131">
        <v>571969</v>
      </c>
      <c r="B131">
        <f>IFERROR(INDEX(Table3[church_num],MATCH(ICCM_giving[[#This Row],[FamilyId]],Table3[dd_acct_id],0)),"")</f>
        <v>80160</v>
      </c>
      <c r="C131">
        <v>280160</v>
      </c>
      <c r="D131">
        <v>280160</v>
      </c>
      <c r="E131" s="2" t="s">
        <v>792</v>
      </c>
      <c r="F131" s="2" t="s">
        <v>793</v>
      </c>
      <c r="G131" s="2" t="s">
        <v>794</v>
      </c>
      <c r="H131" s="2" t="s">
        <v>795</v>
      </c>
      <c r="I131" s="2" t="s">
        <v>796</v>
      </c>
      <c r="J131" t="s">
        <v>797</v>
      </c>
      <c r="K131" s="2" t="s">
        <v>799</v>
      </c>
      <c r="L131">
        <v>912</v>
      </c>
    </row>
    <row r="132" spans="1:12" x14ac:dyDescent="0.25">
      <c r="A132">
        <v>571970</v>
      </c>
      <c r="B132">
        <f>IFERROR(INDEX(Table3[church_num],MATCH(ICCM_giving[[#This Row],[FamilyId]],Table3[dd_acct_id],0)),"")</f>
        <v>80360</v>
      </c>
      <c r="C132">
        <v>280360</v>
      </c>
      <c r="D132">
        <v>280360</v>
      </c>
      <c r="E132" s="2" t="s">
        <v>800</v>
      </c>
      <c r="F132" s="2" t="s">
        <v>801</v>
      </c>
      <c r="G132" s="2"/>
      <c r="H132" s="2" t="s">
        <v>802</v>
      </c>
      <c r="I132" s="2" t="s">
        <v>146</v>
      </c>
      <c r="J132" t="s">
        <v>803</v>
      </c>
      <c r="K132" s="2"/>
      <c r="L132">
        <v>456</v>
      </c>
    </row>
    <row r="133" spans="1:12" x14ac:dyDescent="0.25">
      <c r="A133">
        <v>571971</v>
      </c>
      <c r="B133">
        <f>IFERROR(INDEX(Table3[church_num],MATCH(ICCM_giving[[#This Row],[FamilyId]],Table3[dd_acct_id],0)),"")</f>
        <v>290120</v>
      </c>
      <c r="C133">
        <v>290120</v>
      </c>
      <c r="D133">
        <v>290120</v>
      </c>
      <c r="E133" s="2" t="s">
        <v>805</v>
      </c>
      <c r="F133" s="2" t="s">
        <v>806</v>
      </c>
      <c r="G133" s="2" t="s">
        <v>807</v>
      </c>
      <c r="H133" s="2" t="s">
        <v>808</v>
      </c>
      <c r="I133" s="2" t="s">
        <v>809</v>
      </c>
      <c r="J133" t="s">
        <v>810</v>
      </c>
      <c r="K133" s="2" t="s">
        <v>812</v>
      </c>
      <c r="L133">
        <v>912</v>
      </c>
    </row>
    <row r="134" spans="1:12" x14ac:dyDescent="0.25">
      <c r="A134">
        <v>571973</v>
      </c>
      <c r="B134">
        <f>IFERROR(INDEX(Table3[church_num],MATCH(ICCM_giving[[#This Row],[FamilyId]],Table3[dd_acct_id],0)),"")</f>
        <v>290370</v>
      </c>
      <c r="C134">
        <v>290370</v>
      </c>
      <c r="D134">
        <v>290370</v>
      </c>
      <c r="E134" s="2" t="s">
        <v>813</v>
      </c>
      <c r="F134" s="2" t="s">
        <v>814</v>
      </c>
      <c r="G134" s="2"/>
      <c r="H134" s="2" t="s">
        <v>815</v>
      </c>
      <c r="I134" s="2" t="s">
        <v>809</v>
      </c>
      <c r="J134" t="s">
        <v>816</v>
      </c>
      <c r="K134" s="2" t="s">
        <v>818</v>
      </c>
      <c r="L134">
        <v>2458</v>
      </c>
    </row>
    <row r="135" spans="1:12" x14ac:dyDescent="0.25">
      <c r="A135">
        <v>571972</v>
      </c>
      <c r="B135">
        <f>IFERROR(INDEX(Table3[church_num],MATCH(ICCM_giving[[#This Row],[FamilyId]],Table3[dd_acct_id],0)),"")</f>
        <v>290370</v>
      </c>
      <c r="C135">
        <v>290370</v>
      </c>
      <c r="D135">
        <v>290370</v>
      </c>
      <c r="E135" s="2" t="s">
        <v>813</v>
      </c>
      <c r="F135" s="2" t="s">
        <v>814</v>
      </c>
      <c r="G135" s="2"/>
      <c r="H135" s="2" t="s">
        <v>815</v>
      </c>
      <c r="I135" s="2" t="s">
        <v>809</v>
      </c>
      <c r="J135" t="s">
        <v>816</v>
      </c>
      <c r="K135" s="2" t="s">
        <v>818</v>
      </c>
      <c r="L135">
        <v>2458</v>
      </c>
    </row>
    <row r="136" spans="1:12" x14ac:dyDescent="0.25">
      <c r="A136">
        <v>571974</v>
      </c>
      <c r="B136">
        <f>IFERROR(INDEX(Table3[church_num],MATCH(ICCM_giving[[#This Row],[FamilyId]],Table3[dd_acct_id],0)),"")</f>
        <v>290380</v>
      </c>
      <c r="C136">
        <v>290381</v>
      </c>
      <c r="D136">
        <v>290381</v>
      </c>
      <c r="E136" s="2" t="s">
        <v>819</v>
      </c>
      <c r="F136" s="2" t="s">
        <v>820</v>
      </c>
      <c r="G136" s="2"/>
      <c r="H136" s="2" t="s">
        <v>821</v>
      </c>
      <c r="I136" s="2" t="s">
        <v>809</v>
      </c>
      <c r="J136" t="s">
        <v>822</v>
      </c>
      <c r="K136" s="2" t="s">
        <v>824</v>
      </c>
      <c r="L136">
        <v>456</v>
      </c>
    </row>
    <row r="137" spans="1:12" x14ac:dyDescent="0.25">
      <c r="A137">
        <v>571975</v>
      </c>
      <c r="B137">
        <f>IFERROR(INDEX(Table3[church_num],MATCH(ICCM_giving[[#This Row],[FamilyId]],Table3[dd_acct_id],0)),"")</f>
        <v>290440</v>
      </c>
      <c r="C137">
        <v>290443</v>
      </c>
      <c r="D137">
        <v>290443</v>
      </c>
      <c r="E137" s="2" t="s">
        <v>825</v>
      </c>
      <c r="F137" s="2" t="s">
        <v>826</v>
      </c>
      <c r="G137" s="2" t="s">
        <v>827</v>
      </c>
      <c r="H137" s="2" t="s">
        <v>828</v>
      </c>
      <c r="I137" s="2" t="s">
        <v>809</v>
      </c>
      <c r="J137" t="s">
        <v>829</v>
      </c>
      <c r="K137" s="2" t="s">
        <v>831</v>
      </c>
      <c r="L137">
        <v>1292</v>
      </c>
    </row>
    <row r="138" spans="1:12" x14ac:dyDescent="0.25">
      <c r="A138">
        <v>571976</v>
      </c>
      <c r="B138">
        <f>IFERROR(INDEX(Table3[church_num],MATCH(ICCM_giving[[#This Row],[FamilyId]],Table3[dd_acct_id],0)),"")</f>
        <v>290440</v>
      </c>
      <c r="C138">
        <v>290443</v>
      </c>
      <c r="D138">
        <v>290443</v>
      </c>
      <c r="E138" s="2" t="s">
        <v>825</v>
      </c>
      <c r="F138" s="2" t="s">
        <v>826</v>
      </c>
      <c r="G138" s="2" t="s">
        <v>827</v>
      </c>
      <c r="H138" s="2" t="s">
        <v>828</v>
      </c>
      <c r="I138" s="2" t="s">
        <v>809</v>
      </c>
      <c r="J138" t="s">
        <v>829</v>
      </c>
      <c r="K138" s="2" t="s">
        <v>831</v>
      </c>
      <c r="L138">
        <v>1292</v>
      </c>
    </row>
    <row r="139" spans="1:12" x14ac:dyDescent="0.25">
      <c r="A139">
        <v>571977</v>
      </c>
      <c r="B139">
        <f>IFERROR(INDEX(Table3[church_num],MATCH(ICCM_giving[[#This Row],[FamilyId]],Table3[dd_acct_id],0)),"")</f>
        <v>150065</v>
      </c>
      <c r="C139">
        <v>300040</v>
      </c>
      <c r="D139">
        <v>300040</v>
      </c>
      <c r="E139" s="2" t="s">
        <v>832</v>
      </c>
      <c r="F139" s="2" t="s">
        <v>833</v>
      </c>
      <c r="G139" s="2" t="s">
        <v>834</v>
      </c>
      <c r="H139" s="2" t="s">
        <v>835</v>
      </c>
      <c r="I139" s="2" t="s">
        <v>146</v>
      </c>
      <c r="J139" t="s">
        <v>836</v>
      </c>
      <c r="K139" s="2" t="s">
        <v>838</v>
      </c>
      <c r="L139">
        <v>506</v>
      </c>
    </row>
    <row r="140" spans="1:12" x14ac:dyDescent="0.25">
      <c r="A140">
        <v>571978</v>
      </c>
      <c r="B140">
        <f>IFERROR(INDEX(Table3[church_num],MATCH(ICCM_giving[[#This Row],[FamilyId]],Table3[dd_acct_id],0)),"")</f>
        <v>310150</v>
      </c>
      <c r="C140">
        <v>310001</v>
      </c>
      <c r="D140">
        <v>310001</v>
      </c>
      <c r="E140" s="2" t="s">
        <v>839</v>
      </c>
      <c r="F140" s="2" t="s">
        <v>840</v>
      </c>
      <c r="G140" s="2"/>
      <c r="H140" s="2" t="s">
        <v>841</v>
      </c>
      <c r="I140" s="2" t="s">
        <v>105</v>
      </c>
      <c r="J140" t="s">
        <v>842</v>
      </c>
      <c r="K140" s="2"/>
      <c r="L140">
        <v>912</v>
      </c>
    </row>
    <row r="141" spans="1:12" x14ac:dyDescent="0.25">
      <c r="A141">
        <v>571979</v>
      </c>
      <c r="B141">
        <f>IFERROR(INDEX(Table3[church_num],MATCH(ICCM_giving[[#This Row],[FamilyId]],Table3[dd_acct_id],0)),"")</f>
        <v>320135</v>
      </c>
      <c r="C141">
        <v>320130</v>
      </c>
      <c r="D141">
        <v>320130</v>
      </c>
      <c r="E141" s="2" t="s">
        <v>844</v>
      </c>
      <c r="F141" s="2" t="s">
        <v>845</v>
      </c>
      <c r="G141" s="2" t="s">
        <v>846</v>
      </c>
      <c r="H141" s="2" t="s">
        <v>847</v>
      </c>
      <c r="I141" s="2" t="s">
        <v>192</v>
      </c>
      <c r="J141">
        <v>98802</v>
      </c>
      <c r="K141" s="2" t="s">
        <v>849</v>
      </c>
      <c r="L141">
        <v>456</v>
      </c>
    </row>
    <row r="142" spans="1:12" x14ac:dyDescent="0.25">
      <c r="A142">
        <v>571980</v>
      </c>
      <c r="B142">
        <f>IFERROR(INDEX(Table3[church_num],MATCH(ICCM_giving[[#This Row],[FamilyId]],Table3[dd_acct_id],0)),"")</f>
        <v>320180</v>
      </c>
      <c r="C142">
        <v>320181</v>
      </c>
      <c r="D142">
        <v>320181</v>
      </c>
      <c r="E142" s="2" t="s">
        <v>850</v>
      </c>
      <c r="F142" s="2" t="s">
        <v>851</v>
      </c>
      <c r="G142" s="2"/>
      <c r="H142" s="2" t="s">
        <v>852</v>
      </c>
      <c r="I142" s="2" t="s">
        <v>192</v>
      </c>
      <c r="J142" t="s">
        <v>853</v>
      </c>
      <c r="K142" s="2" t="s">
        <v>855</v>
      </c>
      <c r="L142">
        <v>1482</v>
      </c>
    </row>
    <row r="143" spans="1:12" x14ac:dyDescent="0.25">
      <c r="A143">
        <v>571981</v>
      </c>
      <c r="B143">
        <f>IFERROR(INDEX(Table3[church_num],MATCH(ICCM_giving[[#This Row],[FamilyId]],Table3[dd_acct_id],0)),"")</f>
        <v>320180</v>
      </c>
      <c r="C143">
        <v>320181</v>
      </c>
      <c r="D143">
        <v>320181</v>
      </c>
      <c r="E143" s="2" t="s">
        <v>850</v>
      </c>
      <c r="F143" s="2" t="s">
        <v>851</v>
      </c>
      <c r="G143" s="2"/>
      <c r="H143" s="2" t="s">
        <v>852</v>
      </c>
      <c r="I143" s="2" t="s">
        <v>192</v>
      </c>
      <c r="J143" t="s">
        <v>853</v>
      </c>
      <c r="K143" s="2" t="s">
        <v>855</v>
      </c>
      <c r="L143">
        <v>1482</v>
      </c>
    </row>
    <row r="144" spans="1:12" x14ac:dyDescent="0.25">
      <c r="A144">
        <v>571982</v>
      </c>
      <c r="B144">
        <f>IFERROR(INDEX(Table3[church_num],MATCH(ICCM_giving[[#This Row],[FamilyId]],Table3[dd_acct_id],0)),"")</f>
        <v>320290</v>
      </c>
      <c r="C144">
        <v>320290</v>
      </c>
      <c r="D144">
        <v>320290</v>
      </c>
      <c r="E144" s="2" t="s">
        <v>856</v>
      </c>
      <c r="F144" s="2" t="s">
        <v>744</v>
      </c>
      <c r="G144" s="2"/>
      <c r="H144" s="2" t="s">
        <v>857</v>
      </c>
      <c r="I144" s="2" t="s">
        <v>192</v>
      </c>
      <c r="J144">
        <v>98841</v>
      </c>
      <c r="K144" s="2" t="s">
        <v>859</v>
      </c>
      <c r="L144">
        <v>912</v>
      </c>
    </row>
    <row r="145" spans="1:12" x14ac:dyDescent="0.25">
      <c r="A145">
        <v>571983</v>
      </c>
      <c r="B145">
        <f>IFERROR(INDEX(Table3[church_num],MATCH(ICCM_giving[[#This Row],[FamilyId]],Table3[dd_acct_id],0)),"")</f>
        <v>320320</v>
      </c>
      <c r="C145">
        <v>320326</v>
      </c>
      <c r="D145">
        <v>320326</v>
      </c>
      <c r="E145" s="2" t="s">
        <v>860</v>
      </c>
      <c r="F145" s="2" t="s">
        <v>660</v>
      </c>
      <c r="G145" s="2" t="s">
        <v>861</v>
      </c>
      <c r="H145" s="2" t="s">
        <v>862</v>
      </c>
      <c r="I145" s="2" t="s">
        <v>192</v>
      </c>
      <c r="J145" t="s">
        <v>863</v>
      </c>
      <c r="K145" s="2"/>
      <c r="L145">
        <v>646</v>
      </c>
    </row>
    <row r="146" spans="1:12" x14ac:dyDescent="0.25">
      <c r="A146">
        <v>571984</v>
      </c>
      <c r="B146">
        <f>IFERROR(INDEX(Table3[church_num],MATCH(ICCM_giving[[#This Row],[FamilyId]],Table3[dd_acct_id],0)),"")</f>
        <v>320440</v>
      </c>
      <c r="C146">
        <v>320440</v>
      </c>
      <c r="D146">
        <v>320440</v>
      </c>
      <c r="E146" s="2" t="s">
        <v>865</v>
      </c>
      <c r="F146" s="2" t="s">
        <v>866</v>
      </c>
      <c r="G146" s="2"/>
      <c r="H146" s="2" t="s">
        <v>867</v>
      </c>
      <c r="I146" s="2" t="s">
        <v>192</v>
      </c>
      <c r="J146" t="s">
        <v>868</v>
      </c>
      <c r="K146" s="2"/>
      <c r="L146">
        <v>1800</v>
      </c>
    </row>
    <row r="147" spans="1:12" x14ac:dyDescent="0.25">
      <c r="A147">
        <v>571985</v>
      </c>
      <c r="B147">
        <f>IFERROR(INDEX(Table3[church_num],MATCH(ICCM_giving[[#This Row],[FamilyId]],Table3[dd_acct_id],0)),"")</f>
        <v>330000</v>
      </c>
      <c r="C147">
        <v>330000</v>
      </c>
      <c r="D147">
        <v>330000</v>
      </c>
      <c r="E147" s="2" t="s">
        <v>870</v>
      </c>
      <c r="F147" s="2" t="s">
        <v>871</v>
      </c>
      <c r="G147" s="2"/>
      <c r="H147" s="2" t="s">
        <v>872</v>
      </c>
      <c r="I147" s="2" t="s">
        <v>579</v>
      </c>
      <c r="J147" t="s">
        <v>873</v>
      </c>
      <c r="K147" s="2" t="s">
        <v>875</v>
      </c>
      <c r="L147">
        <v>11450.5</v>
      </c>
    </row>
    <row r="148" spans="1:12" x14ac:dyDescent="0.25">
      <c r="A148">
        <v>571986</v>
      </c>
      <c r="B148">
        <f>IFERROR(INDEX(Table3[church_num],MATCH(ICCM_giving[[#This Row],[FamilyId]],Table3[dd_acct_id],0)),"")</f>
        <v>330020</v>
      </c>
      <c r="C148">
        <v>330020</v>
      </c>
      <c r="D148">
        <v>330020</v>
      </c>
      <c r="E148" s="2" t="s">
        <v>876</v>
      </c>
      <c r="F148" s="2" t="s">
        <v>877</v>
      </c>
      <c r="G148" s="2"/>
      <c r="H148" s="2" t="s">
        <v>878</v>
      </c>
      <c r="I148" s="2" t="s">
        <v>579</v>
      </c>
      <c r="J148" t="s">
        <v>879</v>
      </c>
      <c r="K148" s="2"/>
      <c r="L148">
        <v>1200</v>
      </c>
    </row>
    <row r="149" spans="1:12" x14ac:dyDescent="0.25">
      <c r="A149">
        <v>571987</v>
      </c>
      <c r="B149">
        <f>IFERROR(INDEX(Table3[church_num],MATCH(ICCM_giving[[#This Row],[FamilyId]],Table3[dd_acct_id],0)),"")</f>
        <v>330110</v>
      </c>
      <c r="C149">
        <v>330111</v>
      </c>
      <c r="D149">
        <v>330111</v>
      </c>
      <c r="E149" s="2" t="s">
        <v>881</v>
      </c>
      <c r="F149" s="2" t="s">
        <v>882</v>
      </c>
      <c r="G149" s="2"/>
      <c r="H149" s="2" t="s">
        <v>883</v>
      </c>
      <c r="I149" s="2" t="s">
        <v>579</v>
      </c>
      <c r="J149">
        <v>15012</v>
      </c>
      <c r="K149" s="2" t="s">
        <v>885</v>
      </c>
      <c r="L149">
        <v>1418</v>
      </c>
    </row>
    <row r="150" spans="1:12" x14ac:dyDescent="0.25">
      <c r="A150">
        <v>571988</v>
      </c>
      <c r="B150">
        <f>IFERROR(INDEX(Table3[church_num],MATCH(ICCM_giving[[#This Row],[FamilyId]],Table3[dd_acct_id],0)),"")</f>
        <v>330110</v>
      </c>
      <c r="C150">
        <v>330111</v>
      </c>
      <c r="D150">
        <v>330111</v>
      </c>
      <c r="E150" s="2" t="s">
        <v>881</v>
      </c>
      <c r="F150" s="2" t="s">
        <v>882</v>
      </c>
      <c r="G150" s="2"/>
      <c r="H150" s="2" t="s">
        <v>883</v>
      </c>
      <c r="I150" s="2" t="s">
        <v>579</v>
      </c>
      <c r="J150">
        <v>15012</v>
      </c>
      <c r="K150" s="2" t="s">
        <v>885</v>
      </c>
      <c r="L150">
        <v>1418</v>
      </c>
    </row>
    <row r="151" spans="1:12" x14ac:dyDescent="0.25">
      <c r="A151">
        <v>571989</v>
      </c>
      <c r="B151">
        <f>IFERROR(INDEX(Table3[church_num],MATCH(ICCM_giving[[#This Row],[FamilyId]],Table3[dd_acct_id],0)),"")</f>
        <v>330130</v>
      </c>
      <c r="C151">
        <v>330133</v>
      </c>
      <c r="D151">
        <v>330133</v>
      </c>
      <c r="E151" s="2" t="s">
        <v>886</v>
      </c>
      <c r="F151" s="2" t="s">
        <v>887</v>
      </c>
      <c r="G151" s="2" t="s">
        <v>888</v>
      </c>
      <c r="H151" s="2" t="s">
        <v>889</v>
      </c>
      <c r="I151" s="2" t="s">
        <v>579</v>
      </c>
      <c r="J151" t="s">
        <v>890</v>
      </c>
      <c r="K151" s="2" t="s">
        <v>892</v>
      </c>
      <c r="L151">
        <v>2736</v>
      </c>
    </row>
    <row r="152" spans="1:12" x14ac:dyDescent="0.25">
      <c r="A152">
        <v>571990</v>
      </c>
      <c r="B152">
        <f>IFERROR(INDEX(Table3[church_num],MATCH(ICCM_giving[[#This Row],[FamilyId]],Table3[dd_acct_id],0)),"")</f>
        <v>330320</v>
      </c>
      <c r="C152">
        <v>330320</v>
      </c>
      <c r="D152">
        <v>330320</v>
      </c>
      <c r="E152" s="2" t="s">
        <v>893</v>
      </c>
      <c r="F152" s="2" t="s">
        <v>894</v>
      </c>
      <c r="G152" s="2" t="s">
        <v>895</v>
      </c>
      <c r="H152" s="2" t="s">
        <v>896</v>
      </c>
      <c r="I152" s="2" t="s">
        <v>579</v>
      </c>
      <c r="J152" t="s">
        <v>897</v>
      </c>
      <c r="K152" s="2"/>
      <c r="L152">
        <v>1834</v>
      </c>
    </row>
    <row r="153" spans="1:12" x14ac:dyDescent="0.25">
      <c r="A153">
        <v>571991</v>
      </c>
      <c r="B153">
        <f>IFERROR(INDEX(Table3[church_num],MATCH(ICCM_giving[[#This Row],[FamilyId]],Table3[dd_acct_id],0)),"")</f>
        <v>330320</v>
      </c>
      <c r="C153">
        <v>330320</v>
      </c>
      <c r="D153">
        <v>330320</v>
      </c>
      <c r="E153" s="2" t="s">
        <v>893</v>
      </c>
      <c r="F153" s="2" t="s">
        <v>894</v>
      </c>
      <c r="G153" s="2" t="s">
        <v>895</v>
      </c>
      <c r="H153" s="2" t="s">
        <v>896</v>
      </c>
      <c r="I153" s="2" t="s">
        <v>579</v>
      </c>
      <c r="J153" t="s">
        <v>897</v>
      </c>
      <c r="K153" s="2"/>
      <c r="L153">
        <v>1834</v>
      </c>
    </row>
    <row r="154" spans="1:12" x14ac:dyDescent="0.25">
      <c r="A154">
        <v>571992</v>
      </c>
      <c r="B154">
        <f>IFERROR(INDEX(Table3[church_num],MATCH(ICCM_giving[[#This Row],[FamilyId]],Table3[dd_acct_id],0)),"")</f>
        <v>330320</v>
      </c>
      <c r="C154">
        <v>330320</v>
      </c>
      <c r="D154">
        <v>330320</v>
      </c>
      <c r="E154" s="2" t="s">
        <v>893</v>
      </c>
      <c r="F154" s="2" t="s">
        <v>894</v>
      </c>
      <c r="G154" s="2" t="s">
        <v>895</v>
      </c>
      <c r="H154" s="2" t="s">
        <v>896</v>
      </c>
      <c r="I154" s="2" t="s">
        <v>579</v>
      </c>
      <c r="J154" t="s">
        <v>897</v>
      </c>
      <c r="K154" s="2"/>
      <c r="L154">
        <v>1834</v>
      </c>
    </row>
    <row r="155" spans="1:12" x14ac:dyDescent="0.25">
      <c r="A155">
        <v>571993</v>
      </c>
      <c r="B155">
        <f>IFERROR(INDEX(Table3[church_num],MATCH(ICCM_giving[[#This Row],[FamilyId]],Table3[dd_acct_id],0)),"")</f>
        <v>330400</v>
      </c>
      <c r="C155">
        <v>330406</v>
      </c>
      <c r="D155">
        <v>330406</v>
      </c>
      <c r="E155" s="2" t="s">
        <v>899</v>
      </c>
      <c r="F155" s="2" t="s">
        <v>900</v>
      </c>
      <c r="G155" s="2" t="s">
        <v>901</v>
      </c>
      <c r="H155" s="2" t="s">
        <v>902</v>
      </c>
      <c r="I155" s="2" t="s">
        <v>579</v>
      </c>
      <c r="J155" t="s">
        <v>903</v>
      </c>
      <c r="K155" s="2" t="s">
        <v>905</v>
      </c>
      <c r="L155">
        <v>456</v>
      </c>
    </row>
    <row r="156" spans="1:12" x14ac:dyDescent="0.25">
      <c r="A156">
        <v>571994</v>
      </c>
      <c r="B156">
        <f>IFERROR(INDEX(Table3[church_num],MATCH(ICCM_giving[[#This Row],[FamilyId]],Table3[dd_acct_id],0)),"")</f>
        <v>330450</v>
      </c>
      <c r="C156">
        <v>330450</v>
      </c>
      <c r="D156">
        <v>330450</v>
      </c>
      <c r="E156" s="2" t="s">
        <v>906</v>
      </c>
      <c r="F156" s="2" t="s">
        <v>907</v>
      </c>
      <c r="G156" s="2"/>
      <c r="H156" s="2" t="s">
        <v>908</v>
      </c>
      <c r="I156" s="2" t="s">
        <v>579</v>
      </c>
      <c r="J156" t="s">
        <v>909</v>
      </c>
      <c r="K156" s="2" t="s">
        <v>911</v>
      </c>
      <c r="L156">
        <v>534</v>
      </c>
    </row>
    <row r="157" spans="1:12" x14ac:dyDescent="0.25">
      <c r="A157">
        <v>571995</v>
      </c>
      <c r="B157">
        <f>IFERROR(INDEX(Table3[church_num],MATCH(ICCM_giving[[#This Row],[FamilyId]],Table3[dd_acct_id],0)),"")</f>
        <v>330470</v>
      </c>
      <c r="C157">
        <v>330470</v>
      </c>
      <c r="D157">
        <v>330470</v>
      </c>
      <c r="E157" s="2" t="s">
        <v>912</v>
      </c>
      <c r="F157" s="2" t="s">
        <v>913</v>
      </c>
      <c r="G157" s="2" t="s">
        <v>914</v>
      </c>
      <c r="H157" s="2" t="s">
        <v>915</v>
      </c>
      <c r="I157" s="2" t="s">
        <v>579</v>
      </c>
      <c r="J157" t="s">
        <v>916</v>
      </c>
      <c r="K157" s="2" t="s">
        <v>918</v>
      </c>
      <c r="L157">
        <v>500</v>
      </c>
    </row>
    <row r="158" spans="1:12" x14ac:dyDescent="0.25">
      <c r="A158">
        <v>571996</v>
      </c>
      <c r="B158" t="str">
        <f>IFERROR(INDEX(Table3[church_num],MATCH(ICCM_giving[[#This Row],[FamilyId]],Table3[dd_acct_id],0)),"")</f>
        <v/>
      </c>
      <c r="C158">
        <v>330530</v>
      </c>
      <c r="D158">
        <v>330530</v>
      </c>
      <c r="E158" s="2" t="s">
        <v>919</v>
      </c>
      <c r="F158" s="2" t="s">
        <v>920</v>
      </c>
      <c r="G158" s="2"/>
      <c r="H158" s="2" t="s">
        <v>921</v>
      </c>
      <c r="I158" s="2" t="s">
        <v>579</v>
      </c>
      <c r="J158" t="s">
        <v>922</v>
      </c>
      <c r="K158" s="2" t="s">
        <v>924</v>
      </c>
      <c r="L158">
        <v>810</v>
      </c>
    </row>
    <row r="159" spans="1:12" x14ac:dyDescent="0.25">
      <c r="A159">
        <v>571997</v>
      </c>
      <c r="B159">
        <f>IFERROR(INDEX(Table3[church_num],MATCH(ICCM_giving[[#This Row],[FamilyId]],Table3[dd_acct_id],0)),"")</f>
        <v>330560</v>
      </c>
      <c r="C159">
        <v>330561</v>
      </c>
      <c r="D159">
        <v>330561</v>
      </c>
      <c r="E159" s="2" t="s">
        <v>925</v>
      </c>
      <c r="F159" s="2" t="s">
        <v>926</v>
      </c>
      <c r="G159" s="2" t="s">
        <v>927</v>
      </c>
      <c r="H159" s="2" t="s">
        <v>249</v>
      </c>
      <c r="I159" s="2" t="s">
        <v>579</v>
      </c>
      <c r="J159">
        <v>15059</v>
      </c>
      <c r="K159" s="2"/>
      <c r="L159">
        <v>476</v>
      </c>
    </row>
    <row r="160" spans="1:12" x14ac:dyDescent="0.25">
      <c r="A160">
        <v>571998</v>
      </c>
      <c r="B160">
        <f>IFERROR(INDEX(Table3[church_num],MATCH(ICCM_giving[[#This Row],[FamilyId]],Table3[dd_acct_id],0)),"")</f>
        <v>330670</v>
      </c>
      <c r="C160">
        <v>330674</v>
      </c>
      <c r="D160">
        <v>330674</v>
      </c>
      <c r="E160" s="2" t="s">
        <v>929</v>
      </c>
      <c r="F160" s="2" t="s">
        <v>930</v>
      </c>
      <c r="G160" s="2"/>
      <c r="H160" s="2" t="s">
        <v>370</v>
      </c>
      <c r="I160" s="2" t="s">
        <v>579</v>
      </c>
      <c r="J160" t="s">
        <v>931</v>
      </c>
      <c r="K160" s="2" t="s">
        <v>933</v>
      </c>
      <c r="L160">
        <v>506</v>
      </c>
    </row>
    <row r="161" spans="1:12" x14ac:dyDescent="0.25">
      <c r="A161">
        <v>571999</v>
      </c>
      <c r="B161">
        <f>IFERROR(INDEX(Table3[church_num],MATCH(ICCM_giving[[#This Row],[FamilyId]],Table3[dd_acct_id],0)),"")</f>
        <v>330690</v>
      </c>
      <c r="C161">
        <v>330691</v>
      </c>
      <c r="D161">
        <v>330691</v>
      </c>
      <c r="E161" s="2" t="s">
        <v>934</v>
      </c>
      <c r="F161" s="2" t="s">
        <v>935</v>
      </c>
      <c r="G161" s="2"/>
      <c r="H161" s="2" t="s">
        <v>936</v>
      </c>
      <c r="I161" s="2" t="s">
        <v>579</v>
      </c>
      <c r="J161" t="s">
        <v>937</v>
      </c>
      <c r="K161" s="2" t="s">
        <v>939</v>
      </c>
      <c r="L161">
        <v>918</v>
      </c>
    </row>
    <row r="162" spans="1:12" x14ac:dyDescent="0.25">
      <c r="A162">
        <v>572000</v>
      </c>
      <c r="B162">
        <f>IFERROR(INDEX(Table3[church_num],MATCH(ICCM_giving[[#This Row],[FamilyId]],Table3[dd_acct_id],0)),"")</f>
        <v>330720</v>
      </c>
      <c r="C162">
        <v>330720</v>
      </c>
      <c r="D162">
        <v>330720</v>
      </c>
      <c r="E162" s="2" t="s">
        <v>940</v>
      </c>
      <c r="F162" s="2" t="s">
        <v>941</v>
      </c>
      <c r="G162" s="2"/>
      <c r="H162" s="2" t="s">
        <v>942</v>
      </c>
      <c r="I162" s="2" t="s">
        <v>579</v>
      </c>
      <c r="J162" t="s">
        <v>943</v>
      </c>
      <c r="K162" s="2" t="s">
        <v>945</v>
      </c>
      <c r="L162">
        <v>1386</v>
      </c>
    </row>
    <row r="163" spans="1:12" x14ac:dyDescent="0.25">
      <c r="A163">
        <v>572001</v>
      </c>
      <c r="B163">
        <f>IFERROR(INDEX(Table3[church_num],MATCH(ICCM_giving[[#This Row],[FamilyId]],Table3[dd_acct_id],0)),"")</f>
        <v>330760</v>
      </c>
      <c r="C163">
        <v>330760</v>
      </c>
      <c r="D163">
        <v>330760</v>
      </c>
      <c r="E163" s="2" t="s">
        <v>946</v>
      </c>
      <c r="F163" s="2" t="s">
        <v>947</v>
      </c>
      <c r="G163" s="2" t="s">
        <v>948</v>
      </c>
      <c r="H163" s="2" t="s">
        <v>896</v>
      </c>
      <c r="I163" s="2" t="s">
        <v>579</v>
      </c>
      <c r="J163" t="s">
        <v>949</v>
      </c>
      <c r="K163" s="2" t="s">
        <v>951</v>
      </c>
      <c r="L163">
        <v>494</v>
      </c>
    </row>
    <row r="164" spans="1:12" x14ac:dyDescent="0.25">
      <c r="A164">
        <v>572002</v>
      </c>
      <c r="B164" t="str">
        <f>IFERROR(INDEX(Table3[church_num],MATCH(ICCM_giving[[#This Row],[FamilyId]],Table3[dd_acct_id],0)),"")</f>
        <v/>
      </c>
      <c r="C164">
        <v>330768</v>
      </c>
      <c r="D164">
        <v>330768</v>
      </c>
      <c r="E164" s="2" t="s">
        <v>952</v>
      </c>
      <c r="F164" s="2" t="s">
        <v>953</v>
      </c>
      <c r="G164" s="2" t="s">
        <v>954</v>
      </c>
      <c r="H164" s="2" t="s">
        <v>896</v>
      </c>
      <c r="I164" s="2" t="s">
        <v>579</v>
      </c>
      <c r="J164">
        <v>15401</v>
      </c>
      <c r="K164" s="2"/>
      <c r="L164">
        <v>234</v>
      </c>
    </row>
    <row r="165" spans="1:12" x14ac:dyDescent="0.25">
      <c r="A165">
        <v>572003</v>
      </c>
      <c r="B165">
        <f>IFERROR(INDEX(Table3[church_num],MATCH(ICCM_giving[[#This Row],[FamilyId]],Table3[dd_acct_id],0)),"")</f>
        <v>330800</v>
      </c>
      <c r="C165">
        <v>330800</v>
      </c>
      <c r="D165">
        <v>330800</v>
      </c>
      <c r="E165" s="2" t="s">
        <v>956</v>
      </c>
      <c r="F165" s="2" t="s">
        <v>957</v>
      </c>
      <c r="G165" s="2"/>
      <c r="H165" s="2" t="s">
        <v>958</v>
      </c>
      <c r="I165" s="2" t="s">
        <v>959</v>
      </c>
      <c r="J165" t="s">
        <v>960</v>
      </c>
      <c r="K165" s="2" t="s">
        <v>962</v>
      </c>
      <c r="L165">
        <v>1368</v>
      </c>
    </row>
    <row r="166" spans="1:12" x14ac:dyDescent="0.25">
      <c r="A166">
        <v>572004</v>
      </c>
      <c r="B166">
        <f>IFERROR(INDEX(Table3[church_num],MATCH(ICCM_giving[[#This Row],[FamilyId]],Table3[dd_acct_id],0)),"")</f>
        <v>370040</v>
      </c>
      <c r="C166">
        <v>370041</v>
      </c>
      <c r="D166">
        <v>370041</v>
      </c>
      <c r="E166" s="2" t="s">
        <v>963</v>
      </c>
      <c r="F166" s="2" t="s">
        <v>964</v>
      </c>
      <c r="G166" s="2" t="s">
        <v>965</v>
      </c>
      <c r="H166" s="2" t="s">
        <v>966</v>
      </c>
      <c r="I166" s="2" t="s">
        <v>212</v>
      </c>
      <c r="J166" t="s">
        <v>967</v>
      </c>
      <c r="K166" s="2"/>
      <c r="L166">
        <v>1398</v>
      </c>
    </row>
    <row r="167" spans="1:12" x14ac:dyDescent="0.25">
      <c r="A167">
        <v>572005</v>
      </c>
      <c r="B167">
        <f>IFERROR(INDEX(Table3[church_num],MATCH(ICCM_giving[[#This Row],[FamilyId]],Table3[dd_acct_id],0)),"")</f>
        <v>370050</v>
      </c>
      <c r="C167">
        <v>370050</v>
      </c>
      <c r="D167">
        <v>370050</v>
      </c>
      <c r="E167" s="2" t="s">
        <v>969</v>
      </c>
      <c r="F167" s="2" t="s">
        <v>970</v>
      </c>
      <c r="G167" s="2" t="s">
        <v>971</v>
      </c>
      <c r="H167" s="2" t="s">
        <v>972</v>
      </c>
      <c r="I167" s="2" t="s">
        <v>212</v>
      </c>
      <c r="J167" t="s">
        <v>973</v>
      </c>
      <c r="K167" s="2" t="s">
        <v>975</v>
      </c>
      <c r="L167">
        <v>418</v>
      </c>
    </row>
    <row r="168" spans="1:12" x14ac:dyDescent="0.25">
      <c r="A168">
        <v>572006</v>
      </c>
      <c r="B168">
        <f>IFERROR(INDEX(Table3[church_num],MATCH(ICCM_giving[[#This Row],[FamilyId]],Table3[dd_acct_id],0)),"")</f>
        <v>370140</v>
      </c>
      <c r="C168">
        <v>370146</v>
      </c>
      <c r="D168">
        <v>370146</v>
      </c>
      <c r="E168" s="2" t="s">
        <v>976</v>
      </c>
      <c r="F168" s="2" t="s">
        <v>977</v>
      </c>
      <c r="G168" s="2"/>
      <c r="H168" s="2" t="s">
        <v>978</v>
      </c>
      <c r="I168" s="2" t="s">
        <v>212</v>
      </c>
      <c r="J168" t="s">
        <v>979</v>
      </c>
      <c r="K168" s="2"/>
      <c r="L168">
        <v>912</v>
      </c>
    </row>
    <row r="169" spans="1:12" x14ac:dyDescent="0.25">
      <c r="A169">
        <v>572007</v>
      </c>
      <c r="B169">
        <f>IFERROR(INDEX(Table3[church_num],MATCH(ICCM_giving[[#This Row],[FamilyId]],Table3[dd_acct_id],0)),"")</f>
        <v>370170</v>
      </c>
      <c r="C169">
        <v>370177</v>
      </c>
      <c r="D169">
        <v>370177</v>
      </c>
      <c r="E169" s="2" t="s">
        <v>981</v>
      </c>
      <c r="F169" s="2" t="s">
        <v>982</v>
      </c>
      <c r="G169" s="2"/>
      <c r="H169" s="2" t="s">
        <v>983</v>
      </c>
      <c r="I169" s="2" t="s">
        <v>212</v>
      </c>
      <c r="J169">
        <v>49242</v>
      </c>
      <c r="K169" s="2"/>
      <c r="L169">
        <v>489.43</v>
      </c>
    </row>
    <row r="170" spans="1:12" x14ac:dyDescent="0.25">
      <c r="A170">
        <v>572008</v>
      </c>
      <c r="B170" t="str">
        <f>IFERROR(INDEX(Table3[church_num],MATCH(ICCM_giving[[#This Row],[FamilyId]],Table3[dd_acct_id],0)),"")</f>
        <v/>
      </c>
      <c r="C170">
        <v>370193</v>
      </c>
      <c r="D170">
        <v>370193</v>
      </c>
      <c r="E170" s="2" t="s">
        <v>985</v>
      </c>
      <c r="F170" s="2" t="s">
        <v>986</v>
      </c>
      <c r="G170" s="2" t="s">
        <v>987</v>
      </c>
      <c r="H170" s="2" t="s">
        <v>988</v>
      </c>
      <c r="I170" s="2" t="s">
        <v>212</v>
      </c>
      <c r="J170" t="s">
        <v>989</v>
      </c>
      <c r="K170" s="2"/>
      <c r="L170">
        <v>456</v>
      </c>
    </row>
    <row r="171" spans="1:12" x14ac:dyDescent="0.25">
      <c r="A171">
        <v>572009</v>
      </c>
      <c r="B171" t="str">
        <f>IFERROR(INDEX(Table3[church_num],MATCH(ICCM_giving[[#This Row],[FamilyId]],Table3[dd_acct_id],0)),"")</f>
        <v/>
      </c>
      <c r="C171">
        <v>370195</v>
      </c>
      <c r="D171">
        <v>370195</v>
      </c>
      <c r="E171" s="2" t="s">
        <v>991</v>
      </c>
      <c r="F171" s="2" t="s">
        <v>992</v>
      </c>
      <c r="G171" s="2" t="s">
        <v>993</v>
      </c>
      <c r="H171" s="2" t="s">
        <v>994</v>
      </c>
      <c r="I171" s="2" t="s">
        <v>212</v>
      </c>
      <c r="J171">
        <v>49283</v>
      </c>
      <c r="K171" s="2"/>
      <c r="L171">
        <v>984</v>
      </c>
    </row>
    <row r="172" spans="1:12" x14ac:dyDescent="0.25">
      <c r="A172">
        <v>572010</v>
      </c>
      <c r="B172">
        <f>IFERROR(INDEX(Table3[church_num],MATCH(ICCM_giving[[#This Row],[FamilyId]],Table3[dd_acct_id],0)),"")</f>
        <v>370270</v>
      </c>
      <c r="C172">
        <v>370270</v>
      </c>
      <c r="D172">
        <v>370270</v>
      </c>
      <c r="E172" s="2" t="s">
        <v>996</v>
      </c>
      <c r="F172" s="2" t="s">
        <v>997</v>
      </c>
      <c r="G172" s="2" t="s">
        <v>998</v>
      </c>
      <c r="H172" s="2" t="s">
        <v>999</v>
      </c>
      <c r="I172" s="2" t="s">
        <v>212</v>
      </c>
      <c r="J172" t="s">
        <v>1000</v>
      </c>
      <c r="K172" s="2" t="s">
        <v>1002</v>
      </c>
      <c r="L172">
        <v>456</v>
      </c>
    </row>
    <row r="173" spans="1:12" x14ac:dyDescent="0.25">
      <c r="A173">
        <v>572011</v>
      </c>
      <c r="B173">
        <f>IFERROR(INDEX(Table3[church_num],MATCH(ICCM_giving[[#This Row],[FamilyId]],Table3[dd_acct_id],0)),"")</f>
        <v>370320</v>
      </c>
      <c r="C173">
        <v>370321</v>
      </c>
      <c r="D173">
        <v>370321</v>
      </c>
      <c r="E173" s="2" t="s">
        <v>1003</v>
      </c>
      <c r="F173" s="2" t="s">
        <v>1004</v>
      </c>
      <c r="G173" s="2"/>
      <c r="H173" s="2" t="s">
        <v>994</v>
      </c>
      <c r="I173" s="2" t="s">
        <v>212</v>
      </c>
      <c r="J173">
        <v>49283</v>
      </c>
      <c r="K173" s="2"/>
      <c r="L173">
        <v>1000</v>
      </c>
    </row>
    <row r="174" spans="1:12" x14ac:dyDescent="0.25">
      <c r="A174">
        <v>572012</v>
      </c>
      <c r="B174">
        <f>IFERROR(INDEX(Table3[church_num],MATCH(ICCM_giving[[#This Row],[FamilyId]],Table3[dd_acct_id],0)),"")</f>
        <v>370320</v>
      </c>
      <c r="C174">
        <v>370326</v>
      </c>
      <c r="D174">
        <v>370326</v>
      </c>
      <c r="E174" s="2" t="s">
        <v>1005</v>
      </c>
      <c r="F174" s="2" t="s">
        <v>1006</v>
      </c>
      <c r="G174" s="2" t="s">
        <v>1007</v>
      </c>
      <c r="H174" s="2" t="s">
        <v>994</v>
      </c>
      <c r="I174" s="2" t="s">
        <v>212</v>
      </c>
      <c r="J174">
        <v>49283</v>
      </c>
      <c r="K174" s="2"/>
      <c r="L174">
        <v>962</v>
      </c>
    </row>
    <row r="175" spans="1:12" x14ac:dyDescent="0.25">
      <c r="A175">
        <v>572013</v>
      </c>
      <c r="B175" t="str">
        <f>IFERROR(INDEX(Table3[church_num],MATCH(ICCM_giving[[#This Row],[FamilyId]],Table3[dd_acct_id],0)),"")</f>
        <v/>
      </c>
      <c r="C175">
        <v>370329</v>
      </c>
      <c r="D175">
        <v>370329</v>
      </c>
      <c r="E175" s="2" t="s">
        <v>1008</v>
      </c>
      <c r="F175" s="2" t="s">
        <v>1009</v>
      </c>
      <c r="G175" s="2" t="s">
        <v>1010</v>
      </c>
      <c r="H175" s="2" t="s">
        <v>1011</v>
      </c>
      <c r="I175" s="2" t="s">
        <v>212</v>
      </c>
      <c r="J175" t="s">
        <v>1012</v>
      </c>
      <c r="K175" s="2"/>
      <c r="L175">
        <v>6560</v>
      </c>
    </row>
    <row r="176" spans="1:12" x14ac:dyDescent="0.25">
      <c r="A176">
        <v>572014</v>
      </c>
      <c r="B176">
        <f>IFERROR(INDEX(Table3[church_num],MATCH(ICCM_giving[[#This Row],[FamilyId]],Table3[dd_acct_id],0)),"")</f>
        <v>370380</v>
      </c>
      <c r="C176">
        <v>370380</v>
      </c>
      <c r="D176">
        <v>370380</v>
      </c>
      <c r="E176" s="2" t="s">
        <v>1014</v>
      </c>
      <c r="F176" s="2" t="s">
        <v>1015</v>
      </c>
      <c r="G176" s="2" t="s">
        <v>1016</v>
      </c>
      <c r="H176" s="2" t="s">
        <v>1017</v>
      </c>
      <c r="I176" s="2" t="s">
        <v>212</v>
      </c>
      <c r="J176">
        <v>49098</v>
      </c>
      <c r="K176" s="2" t="s">
        <v>1019</v>
      </c>
      <c r="L176">
        <v>4104</v>
      </c>
    </row>
    <row r="177" spans="1:12" x14ac:dyDescent="0.25">
      <c r="A177">
        <v>572015</v>
      </c>
      <c r="B177">
        <f>IFERROR(INDEX(Table3[church_num],MATCH(ICCM_giving[[#This Row],[FamilyId]],Table3[dd_acct_id],0)),"")</f>
        <v>370400</v>
      </c>
      <c r="C177">
        <v>370414</v>
      </c>
      <c r="D177">
        <v>370414</v>
      </c>
      <c r="E177" s="2" t="s">
        <v>1020</v>
      </c>
      <c r="F177" s="2" t="s">
        <v>1021</v>
      </c>
      <c r="G177" s="2" t="s">
        <v>1022</v>
      </c>
      <c r="H177" s="2" t="s">
        <v>1023</v>
      </c>
      <c r="I177" s="2" t="s">
        <v>212</v>
      </c>
      <c r="J177" t="s">
        <v>1024</v>
      </c>
      <c r="K177" s="2" t="s">
        <v>1026</v>
      </c>
      <c r="L177">
        <v>912</v>
      </c>
    </row>
    <row r="178" spans="1:12" x14ac:dyDescent="0.25">
      <c r="A178">
        <v>572016</v>
      </c>
      <c r="B178">
        <f>IFERROR(INDEX(Table3[church_num],MATCH(ICCM_giving[[#This Row],[FamilyId]],Table3[dd_acct_id],0)),"")</f>
        <v>120055</v>
      </c>
      <c r="C178">
        <v>380030</v>
      </c>
      <c r="D178">
        <v>380030</v>
      </c>
      <c r="E178" s="2" t="s">
        <v>1027</v>
      </c>
      <c r="F178" s="2" t="s">
        <v>1028</v>
      </c>
      <c r="G178" s="2" t="s">
        <v>1029</v>
      </c>
      <c r="H178" s="2" t="s">
        <v>1030</v>
      </c>
      <c r="I178" s="2" t="s">
        <v>124</v>
      </c>
      <c r="J178">
        <v>13904</v>
      </c>
      <c r="K178" s="2" t="s">
        <v>1032</v>
      </c>
      <c r="L178">
        <v>1032</v>
      </c>
    </row>
    <row r="179" spans="1:12" x14ac:dyDescent="0.25">
      <c r="A179">
        <v>572017</v>
      </c>
      <c r="B179">
        <f>IFERROR(INDEX(Table3[church_num],MATCH(ICCM_giving[[#This Row],[FamilyId]],Table3[dd_acct_id],0)),"")</f>
        <v>120055</v>
      </c>
      <c r="C179">
        <v>380030</v>
      </c>
      <c r="D179">
        <v>380030</v>
      </c>
      <c r="E179" s="2" t="s">
        <v>1027</v>
      </c>
      <c r="F179" s="2" t="s">
        <v>1028</v>
      </c>
      <c r="G179" s="2" t="s">
        <v>1029</v>
      </c>
      <c r="H179" s="2" t="s">
        <v>1030</v>
      </c>
      <c r="I179" s="2" t="s">
        <v>124</v>
      </c>
      <c r="J179">
        <v>13904</v>
      </c>
      <c r="K179" s="2" t="s">
        <v>1032</v>
      </c>
      <c r="L179">
        <v>1032</v>
      </c>
    </row>
    <row r="180" spans="1:12" x14ac:dyDescent="0.25">
      <c r="A180">
        <v>572018</v>
      </c>
      <c r="B180">
        <f>IFERROR(INDEX(Table3[church_num],MATCH(ICCM_giving[[#This Row],[FamilyId]],Table3[dd_acct_id],0)),"")</f>
        <v>120055</v>
      </c>
      <c r="C180">
        <v>380030</v>
      </c>
      <c r="D180">
        <v>380030</v>
      </c>
      <c r="E180" s="2" t="s">
        <v>1027</v>
      </c>
      <c r="F180" s="2" t="s">
        <v>1028</v>
      </c>
      <c r="G180" s="2" t="s">
        <v>1029</v>
      </c>
      <c r="H180" s="2" t="s">
        <v>1030</v>
      </c>
      <c r="I180" s="2" t="s">
        <v>124</v>
      </c>
      <c r="J180">
        <v>13904</v>
      </c>
      <c r="K180" s="2" t="s">
        <v>1032</v>
      </c>
      <c r="L180">
        <v>1032</v>
      </c>
    </row>
    <row r="181" spans="1:12" x14ac:dyDescent="0.25">
      <c r="A181">
        <v>572019</v>
      </c>
      <c r="B181">
        <f>IFERROR(INDEX(Table3[church_num],MATCH(ICCM_giving[[#This Row],[FamilyId]],Table3[dd_acct_id],0)),"")</f>
        <v>120325</v>
      </c>
      <c r="C181">
        <v>380210</v>
      </c>
      <c r="D181">
        <v>380210</v>
      </c>
      <c r="E181" s="2" t="s">
        <v>1033</v>
      </c>
      <c r="F181" s="2" t="s">
        <v>1034</v>
      </c>
      <c r="G181" s="2"/>
      <c r="H181" s="2" t="s">
        <v>1035</v>
      </c>
      <c r="I181" s="2" t="s">
        <v>124</v>
      </c>
      <c r="J181" t="s">
        <v>1036</v>
      </c>
      <c r="K181" s="2" t="s">
        <v>1038</v>
      </c>
      <c r="L181">
        <v>456</v>
      </c>
    </row>
    <row r="182" spans="1:12" x14ac:dyDescent="0.25">
      <c r="A182">
        <v>572020</v>
      </c>
      <c r="B182">
        <f>IFERROR(INDEX(Table3[church_num],MATCH(ICCM_giving[[#This Row],[FamilyId]],Table3[dd_acct_id],0)),"")</f>
        <v>120420</v>
      </c>
      <c r="C182">
        <v>380271</v>
      </c>
      <c r="D182">
        <v>380271</v>
      </c>
      <c r="E182" s="2" t="s">
        <v>1039</v>
      </c>
      <c r="F182" s="2" t="s">
        <v>1040</v>
      </c>
      <c r="G182" s="2" t="s">
        <v>1041</v>
      </c>
      <c r="H182" s="2" t="s">
        <v>1042</v>
      </c>
      <c r="I182" s="2" t="s">
        <v>124</v>
      </c>
      <c r="J182" t="s">
        <v>1043</v>
      </c>
      <c r="K182" s="2"/>
      <c r="L182">
        <v>1786</v>
      </c>
    </row>
    <row r="183" spans="1:12" x14ac:dyDescent="0.25">
      <c r="A183">
        <v>572021</v>
      </c>
      <c r="B183" t="str">
        <f>IFERROR(INDEX(Table3[church_num],MATCH(ICCM_giving[[#This Row],[FamilyId]],Table3[dd_acct_id],0)),"")</f>
        <v/>
      </c>
      <c r="C183">
        <v>380331</v>
      </c>
      <c r="D183">
        <v>380331</v>
      </c>
      <c r="E183" s="2" t="s">
        <v>1045</v>
      </c>
      <c r="F183" s="2" t="s">
        <v>1046</v>
      </c>
      <c r="G183" s="2"/>
      <c r="H183" s="2" t="s">
        <v>1047</v>
      </c>
      <c r="I183" s="2" t="s">
        <v>124</v>
      </c>
      <c r="J183">
        <v>13760</v>
      </c>
      <c r="K183" s="2" t="s">
        <v>1049</v>
      </c>
      <c r="L183">
        <v>38</v>
      </c>
    </row>
    <row r="184" spans="1:12" x14ac:dyDescent="0.25">
      <c r="A184">
        <v>572022</v>
      </c>
      <c r="B184">
        <f>IFERROR(INDEX(Table3[church_num],MATCH(ICCM_giving[[#This Row],[FamilyId]],Table3[dd_acct_id],0)),"")</f>
        <v>120490</v>
      </c>
      <c r="C184">
        <v>380356</v>
      </c>
      <c r="D184">
        <v>380356</v>
      </c>
      <c r="E184" s="2" t="s">
        <v>1050</v>
      </c>
      <c r="F184" s="2" t="s">
        <v>1051</v>
      </c>
      <c r="G184" s="2" t="s">
        <v>1052</v>
      </c>
      <c r="H184" s="2" t="s">
        <v>376</v>
      </c>
      <c r="I184" s="2" t="s">
        <v>124</v>
      </c>
      <c r="J184">
        <v>14609</v>
      </c>
      <c r="K184" s="2"/>
      <c r="L184">
        <v>1368</v>
      </c>
    </row>
    <row r="185" spans="1:12" x14ac:dyDescent="0.25">
      <c r="A185">
        <v>572023</v>
      </c>
      <c r="B185">
        <f>IFERROR(INDEX(Table3[church_num],MATCH(ICCM_giving[[#This Row],[FamilyId]],Table3[dd_acct_id],0)),"")</f>
        <v>390045</v>
      </c>
      <c r="C185">
        <v>390045</v>
      </c>
      <c r="D185">
        <v>390045</v>
      </c>
      <c r="E185" s="2" t="s">
        <v>1054</v>
      </c>
      <c r="F185" s="2" t="s">
        <v>1055</v>
      </c>
      <c r="G185" s="2" t="s">
        <v>1056</v>
      </c>
      <c r="H185" s="2" t="s">
        <v>1057</v>
      </c>
      <c r="I185" s="2" t="s">
        <v>1058</v>
      </c>
      <c r="J185">
        <v>78427</v>
      </c>
      <c r="K185" s="2" t="s">
        <v>1060</v>
      </c>
      <c r="L185">
        <v>912</v>
      </c>
    </row>
    <row r="186" spans="1:12" x14ac:dyDescent="0.25">
      <c r="A186">
        <v>572024</v>
      </c>
      <c r="B186">
        <f>IFERROR(INDEX(Table3[church_num],MATCH(ICCM_giving[[#This Row],[FamilyId]],Table3[dd_acct_id],0)),"")</f>
        <v>390180</v>
      </c>
      <c r="C186">
        <v>390180</v>
      </c>
      <c r="D186">
        <v>390180</v>
      </c>
      <c r="E186" s="2" t="s">
        <v>1061</v>
      </c>
      <c r="F186" s="2" t="s">
        <v>1062</v>
      </c>
      <c r="G186" s="2"/>
      <c r="H186" s="2" t="s">
        <v>1063</v>
      </c>
      <c r="I186" s="2" t="s">
        <v>1058</v>
      </c>
      <c r="J186" t="s">
        <v>1064</v>
      </c>
      <c r="K186" s="2" t="s">
        <v>1066</v>
      </c>
      <c r="L186">
        <v>1824</v>
      </c>
    </row>
    <row r="187" spans="1:12" x14ac:dyDescent="0.25">
      <c r="A187">
        <v>572025</v>
      </c>
      <c r="B187">
        <f>IFERROR(INDEX(Table3[church_num],MATCH(ICCM_giving[[#This Row],[FamilyId]],Table3[dd_acct_id],0)),"")</f>
        <v>390250</v>
      </c>
      <c r="C187">
        <v>390254</v>
      </c>
      <c r="D187">
        <v>390254</v>
      </c>
      <c r="E187" s="2" t="s">
        <v>1067</v>
      </c>
      <c r="F187" s="2" t="s">
        <v>1069</v>
      </c>
      <c r="G187" s="2"/>
      <c r="H187" s="2" t="s">
        <v>1070</v>
      </c>
      <c r="I187" s="2" t="s">
        <v>1058</v>
      </c>
      <c r="J187" t="s">
        <v>1071</v>
      </c>
      <c r="K187" s="2" t="s">
        <v>1073</v>
      </c>
      <c r="L187">
        <v>456</v>
      </c>
    </row>
    <row r="188" spans="1:12" x14ac:dyDescent="0.25">
      <c r="A188">
        <v>572026</v>
      </c>
      <c r="B188" t="str">
        <f>IFERROR(INDEX(Table3[church_num],MATCH(ICCM_giving[[#This Row],[FamilyId]],Table3[dd_acct_id],0)),"")</f>
        <v/>
      </c>
      <c r="C188">
        <v>390256</v>
      </c>
      <c r="D188">
        <v>390256</v>
      </c>
      <c r="E188" s="2" t="s">
        <v>1074</v>
      </c>
      <c r="F188" s="2" t="s">
        <v>1069</v>
      </c>
      <c r="G188" s="2"/>
      <c r="H188" s="2" t="s">
        <v>1070</v>
      </c>
      <c r="I188" s="2" t="s">
        <v>1058</v>
      </c>
      <c r="J188" t="s">
        <v>1071</v>
      </c>
      <c r="K188" s="2" t="s">
        <v>1075</v>
      </c>
      <c r="L188">
        <v>608</v>
      </c>
    </row>
    <row r="189" spans="1:12" x14ac:dyDescent="0.25">
      <c r="A189">
        <v>572027</v>
      </c>
      <c r="B189" t="str">
        <f>IFERROR(INDEX(Table3[church_num],MATCH(ICCM_giving[[#This Row],[FamilyId]],Table3[dd_acct_id],0)),"")</f>
        <v/>
      </c>
      <c r="C189">
        <v>390256</v>
      </c>
      <c r="D189">
        <v>390256</v>
      </c>
      <c r="E189" s="2" t="s">
        <v>1074</v>
      </c>
      <c r="F189" s="2" t="s">
        <v>1069</v>
      </c>
      <c r="G189" s="2"/>
      <c r="H189" s="2" t="s">
        <v>1070</v>
      </c>
      <c r="I189" s="2" t="s">
        <v>1058</v>
      </c>
      <c r="J189" t="s">
        <v>1071</v>
      </c>
      <c r="K189" s="2" t="s">
        <v>1075</v>
      </c>
      <c r="L189">
        <v>608</v>
      </c>
    </row>
    <row r="190" spans="1:12" x14ac:dyDescent="0.25">
      <c r="A190">
        <v>572028</v>
      </c>
      <c r="B190">
        <f>IFERROR(INDEX(Table3[church_num],MATCH(ICCM_giving[[#This Row],[FamilyId]],Table3[dd_acct_id],0)),"")</f>
        <v>420010</v>
      </c>
      <c r="C190">
        <v>420014</v>
      </c>
      <c r="D190">
        <v>420014</v>
      </c>
      <c r="E190" s="2" t="s">
        <v>1076</v>
      </c>
      <c r="F190" s="2" t="s">
        <v>1077</v>
      </c>
      <c r="G190" s="2" t="s">
        <v>1078</v>
      </c>
      <c r="H190" s="2" t="s">
        <v>1079</v>
      </c>
      <c r="I190" s="2" t="s">
        <v>153</v>
      </c>
      <c r="J190">
        <v>62806</v>
      </c>
      <c r="K190" s="2" t="s">
        <v>1081</v>
      </c>
      <c r="L190">
        <v>912</v>
      </c>
    </row>
    <row r="191" spans="1:12" x14ac:dyDescent="0.25">
      <c r="A191">
        <v>572029</v>
      </c>
      <c r="B191">
        <f>IFERROR(INDEX(Table3[church_num],MATCH(ICCM_giving[[#This Row],[FamilyId]],Table3[dd_acct_id],0)),"")</f>
        <v>420025</v>
      </c>
      <c r="C191">
        <v>420023</v>
      </c>
      <c r="D191">
        <v>420023</v>
      </c>
      <c r="E191" s="2" t="s">
        <v>1082</v>
      </c>
      <c r="F191" s="2" t="s">
        <v>1083</v>
      </c>
      <c r="G191" s="2" t="s">
        <v>1084</v>
      </c>
      <c r="H191" s="2" t="s">
        <v>1085</v>
      </c>
      <c r="I191" s="2" t="s">
        <v>1086</v>
      </c>
      <c r="J191" t="s">
        <v>1087</v>
      </c>
      <c r="K191" s="2" t="s">
        <v>1089</v>
      </c>
      <c r="L191">
        <v>470</v>
      </c>
    </row>
    <row r="192" spans="1:12" x14ac:dyDescent="0.25">
      <c r="A192">
        <v>572030</v>
      </c>
      <c r="B192">
        <f>IFERROR(INDEX(Table3[church_num],MATCH(ICCM_giving[[#This Row],[FamilyId]],Table3[dd_acct_id],0)),"")</f>
        <v>420040</v>
      </c>
      <c r="C192">
        <v>420044</v>
      </c>
      <c r="D192">
        <v>420044</v>
      </c>
      <c r="E192" s="2" t="s">
        <v>1090</v>
      </c>
      <c r="F192" s="2" t="s">
        <v>1091</v>
      </c>
      <c r="G192" s="2" t="s">
        <v>1092</v>
      </c>
      <c r="H192" s="2" t="s">
        <v>1093</v>
      </c>
      <c r="I192" s="2" t="s">
        <v>1086</v>
      </c>
      <c r="J192" t="s">
        <v>1094</v>
      </c>
      <c r="K192" s="2"/>
      <c r="L192">
        <v>456</v>
      </c>
    </row>
    <row r="193" spans="1:12" x14ac:dyDescent="0.25">
      <c r="A193">
        <v>572031</v>
      </c>
      <c r="B193" t="str">
        <f>IFERROR(INDEX(Table3[church_num],MATCH(ICCM_giving[[#This Row],[FamilyId]],Table3[dd_acct_id],0)),"")</f>
        <v/>
      </c>
      <c r="C193">
        <v>420050</v>
      </c>
      <c r="D193">
        <v>420050</v>
      </c>
      <c r="E193" s="2" t="s">
        <v>1096</v>
      </c>
      <c r="F193" s="2" t="s">
        <v>1097</v>
      </c>
      <c r="G193" s="2"/>
      <c r="H193" s="2" t="s">
        <v>1098</v>
      </c>
      <c r="I193" s="2" t="s">
        <v>1086</v>
      </c>
      <c r="J193" t="s">
        <v>1099</v>
      </c>
      <c r="K193" s="2"/>
      <c r="L193">
        <v>443</v>
      </c>
    </row>
    <row r="194" spans="1:12" x14ac:dyDescent="0.25">
      <c r="A194">
        <v>572032</v>
      </c>
      <c r="B194" t="str">
        <f>IFERROR(INDEX(Table3[church_num],MATCH(ICCM_giving[[#This Row],[FamilyId]],Table3[dd_acct_id],0)),"")</f>
        <v/>
      </c>
      <c r="C194">
        <v>420051</v>
      </c>
      <c r="D194">
        <v>420051</v>
      </c>
      <c r="E194" s="2" t="s">
        <v>1101</v>
      </c>
      <c r="F194" s="2" t="s">
        <v>1102</v>
      </c>
      <c r="G194" s="2" t="s">
        <v>1103</v>
      </c>
      <c r="H194" s="2" t="s">
        <v>1104</v>
      </c>
      <c r="I194" s="2" t="s">
        <v>1086</v>
      </c>
      <c r="J194" t="s">
        <v>1105</v>
      </c>
      <c r="K194" s="2"/>
      <c r="L194">
        <v>456</v>
      </c>
    </row>
    <row r="195" spans="1:12" x14ac:dyDescent="0.25">
      <c r="A195">
        <v>572034</v>
      </c>
      <c r="B195">
        <f>IFERROR(INDEX(Table3[church_num],MATCH(ICCM_giving[[#This Row],[FamilyId]],Table3[dd_acct_id],0)),"")</f>
        <v>420050</v>
      </c>
      <c r="C195">
        <v>420052</v>
      </c>
      <c r="D195">
        <v>420052</v>
      </c>
      <c r="E195" s="2" t="s">
        <v>1107</v>
      </c>
      <c r="F195" s="2" t="s">
        <v>1108</v>
      </c>
      <c r="G195" s="2" t="s">
        <v>1109</v>
      </c>
      <c r="H195" s="2" t="s">
        <v>1098</v>
      </c>
      <c r="I195" s="2" t="s">
        <v>1086</v>
      </c>
      <c r="J195" t="s">
        <v>1110</v>
      </c>
      <c r="K195" s="2"/>
      <c r="L195">
        <v>3953</v>
      </c>
    </row>
    <row r="196" spans="1:12" x14ac:dyDescent="0.25">
      <c r="A196">
        <v>572033</v>
      </c>
      <c r="B196">
        <f>IFERROR(INDEX(Table3[church_num],MATCH(ICCM_giving[[#This Row],[FamilyId]],Table3[dd_acct_id],0)),"")</f>
        <v>420050</v>
      </c>
      <c r="C196">
        <v>420052</v>
      </c>
      <c r="D196">
        <v>420052</v>
      </c>
      <c r="E196" s="2" t="s">
        <v>1107</v>
      </c>
      <c r="F196" s="2" t="s">
        <v>1108</v>
      </c>
      <c r="G196" s="2" t="s">
        <v>1109</v>
      </c>
      <c r="H196" s="2" t="s">
        <v>1098</v>
      </c>
      <c r="I196" s="2" t="s">
        <v>1086</v>
      </c>
      <c r="J196" t="s">
        <v>1110</v>
      </c>
      <c r="K196" s="2"/>
      <c r="L196">
        <v>3953</v>
      </c>
    </row>
    <row r="197" spans="1:12" x14ac:dyDescent="0.25">
      <c r="A197">
        <v>572035</v>
      </c>
      <c r="B197" t="str">
        <f>IFERROR(INDEX(Table3[church_num],MATCH(ICCM_giving[[#This Row],[FamilyId]],Table3[dd_acct_id],0)),"")</f>
        <v/>
      </c>
      <c r="C197">
        <v>420054</v>
      </c>
      <c r="D197">
        <v>420054</v>
      </c>
      <c r="E197" s="2" t="s">
        <v>1112</v>
      </c>
      <c r="F197" s="2" t="s">
        <v>1113</v>
      </c>
      <c r="G197" s="2" t="s">
        <v>1114</v>
      </c>
      <c r="H197" s="2" t="s">
        <v>1098</v>
      </c>
      <c r="I197" s="2" t="s">
        <v>1086</v>
      </c>
      <c r="J197" t="s">
        <v>1115</v>
      </c>
      <c r="K197" s="2"/>
      <c r="L197">
        <v>912</v>
      </c>
    </row>
    <row r="198" spans="1:12" x14ac:dyDescent="0.25">
      <c r="A198">
        <v>572036</v>
      </c>
      <c r="B198" t="str">
        <f>IFERROR(INDEX(Table3[church_num],MATCH(ICCM_giving[[#This Row],[FamilyId]],Table3[dd_acct_id],0)),"")</f>
        <v/>
      </c>
      <c r="C198">
        <v>420079</v>
      </c>
      <c r="D198">
        <v>420079</v>
      </c>
      <c r="E198" s="2" t="s">
        <v>1117</v>
      </c>
      <c r="F198" s="2" t="s">
        <v>1118</v>
      </c>
      <c r="G198" s="2" t="s">
        <v>1119</v>
      </c>
      <c r="H198" s="2" t="s">
        <v>1120</v>
      </c>
      <c r="I198" s="2" t="s">
        <v>1086</v>
      </c>
      <c r="J198" t="s">
        <v>1121</v>
      </c>
      <c r="K198" s="2" t="s">
        <v>1123</v>
      </c>
      <c r="L198">
        <v>648</v>
      </c>
    </row>
    <row r="199" spans="1:12" x14ac:dyDescent="0.25">
      <c r="A199">
        <v>572037</v>
      </c>
      <c r="B199">
        <f>IFERROR(INDEX(Table3[church_num],MATCH(ICCM_giving[[#This Row],[FamilyId]],Table3[dd_acct_id],0)),"")</f>
        <v>420080</v>
      </c>
      <c r="C199">
        <v>420088</v>
      </c>
      <c r="D199">
        <v>420088</v>
      </c>
      <c r="E199" s="2" t="s">
        <v>1124</v>
      </c>
      <c r="F199" s="2" t="s">
        <v>1125</v>
      </c>
      <c r="G199" s="2" t="s">
        <v>1126</v>
      </c>
      <c r="H199" s="2" t="s">
        <v>1127</v>
      </c>
      <c r="I199" s="2" t="s">
        <v>1086</v>
      </c>
      <c r="J199" t="s">
        <v>1128</v>
      </c>
      <c r="K199" s="2"/>
      <c r="L199">
        <v>988</v>
      </c>
    </row>
    <row r="200" spans="1:12" x14ac:dyDescent="0.25">
      <c r="A200">
        <v>572038</v>
      </c>
      <c r="B200">
        <f>IFERROR(INDEX(Table3[church_num],MATCH(ICCM_giving[[#This Row],[FamilyId]],Table3[dd_acct_id],0)),"")</f>
        <v>420100</v>
      </c>
      <c r="C200">
        <v>420106</v>
      </c>
      <c r="D200">
        <v>420106</v>
      </c>
      <c r="E200" s="2" t="s">
        <v>1130</v>
      </c>
      <c r="F200" s="2" t="s">
        <v>1131</v>
      </c>
      <c r="G200" s="2" t="s">
        <v>1132</v>
      </c>
      <c r="H200" s="2" t="s">
        <v>1133</v>
      </c>
      <c r="I200" s="2" t="s">
        <v>153</v>
      </c>
      <c r="J200" t="s">
        <v>1134</v>
      </c>
      <c r="K200" s="2"/>
      <c r="L200">
        <v>1012</v>
      </c>
    </row>
    <row r="201" spans="1:12" x14ac:dyDescent="0.25">
      <c r="A201">
        <v>572039</v>
      </c>
      <c r="B201">
        <f>IFERROR(INDEX(Table3[church_num],MATCH(ICCM_giving[[#This Row],[FamilyId]],Table3[dd_acct_id],0)),"")</f>
        <v>420100</v>
      </c>
      <c r="C201">
        <v>420106</v>
      </c>
      <c r="D201">
        <v>420106</v>
      </c>
      <c r="E201" s="2" t="s">
        <v>1130</v>
      </c>
      <c r="F201" s="2" t="s">
        <v>1131</v>
      </c>
      <c r="G201" s="2" t="s">
        <v>1132</v>
      </c>
      <c r="H201" s="2" t="s">
        <v>1133</v>
      </c>
      <c r="I201" s="2" t="s">
        <v>153</v>
      </c>
      <c r="J201" t="s">
        <v>1134</v>
      </c>
      <c r="K201" s="2"/>
      <c r="L201">
        <v>1012</v>
      </c>
    </row>
    <row r="202" spans="1:12" x14ac:dyDescent="0.25">
      <c r="A202">
        <v>572040</v>
      </c>
      <c r="B202">
        <f>IFERROR(INDEX(Table3[church_num],MATCH(ICCM_giving[[#This Row],[FamilyId]],Table3[dd_acct_id],0)),"")</f>
        <v>420135</v>
      </c>
      <c r="C202">
        <v>420134</v>
      </c>
      <c r="D202">
        <v>420134</v>
      </c>
      <c r="E202" s="2" t="s">
        <v>1136</v>
      </c>
      <c r="F202" s="2" t="s">
        <v>1137</v>
      </c>
      <c r="G202" s="2" t="s">
        <v>1138</v>
      </c>
      <c r="H202" s="2" t="s">
        <v>1139</v>
      </c>
      <c r="I202" s="2" t="s">
        <v>1086</v>
      </c>
      <c r="J202" t="s">
        <v>1140</v>
      </c>
      <c r="K202" s="2" t="s">
        <v>1142</v>
      </c>
      <c r="L202">
        <v>456</v>
      </c>
    </row>
    <row r="203" spans="1:12" x14ac:dyDescent="0.25">
      <c r="A203">
        <v>572041</v>
      </c>
      <c r="B203">
        <f>IFERROR(INDEX(Table3[church_num],MATCH(ICCM_giving[[#This Row],[FamilyId]],Table3[dd_acct_id],0)),"")</f>
        <v>420140</v>
      </c>
      <c r="C203">
        <v>420146</v>
      </c>
      <c r="D203">
        <v>420146</v>
      </c>
      <c r="E203" s="2" t="s">
        <v>1143</v>
      </c>
      <c r="F203" s="2" t="s">
        <v>1144</v>
      </c>
      <c r="G203" s="2" t="s">
        <v>1145</v>
      </c>
      <c r="H203" s="2" t="s">
        <v>1146</v>
      </c>
      <c r="I203" s="2" t="s">
        <v>153</v>
      </c>
      <c r="J203">
        <v>62863</v>
      </c>
      <c r="K203" s="2" t="s">
        <v>1148</v>
      </c>
      <c r="L203">
        <v>456</v>
      </c>
    </row>
    <row r="204" spans="1:12" x14ac:dyDescent="0.25">
      <c r="A204">
        <v>572042</v>
      </c>
      <c r="B204">
        <f>IFERROR(INDEX(Table3[church_num],MATCH(ICCM_giving[[#This Row],[FamilyId]],Table3[dd_acct_id],0)),"")</f>
        <v>420190</v>
      </c>
      <c r="C204">
        <v>420191</v>
      </c>
      <c r="D204">
        <v>420191</v>
      </c>
      <c r="E204" s="2" t="s">
        <v>1149</v>
      </c>
      <c r="F204" s="2" t="s">
        <v>1150</v>
      </c>
      <c r="G204" s="2"/>
      <c r="H204" s="2" t="s">
        <v>1151</v>
      </c>
      <c r="I204" s="2" t="s">
        <v>1086</v>
      </c>
      <c r="J204" t="s">
        <v>1152</v>
      </c>
      <c r="K204" s="2"/>
      <c r="L204">
        <v>456</v>
      </c>
    </row>
    <row r="205" spans="1:12" x14ac:dyDescent="0.25">
      <c r="A205">
        <v>572043</v>
      </c>
      <c r="B205">
        <f>IFERROR(INDEX(Table3[church_num],MATCH(ICCM_giving[[#This Row],[FamilyId]],Table3[dd_acct_id],0)),"")</f>
        <v>420200</v>
      </c>
      <c r="C205">
        <v>420200</v>
      </c>
      <c r="D205">
        <v>420200</v>
      </c>
      <c r="E205" s="2" t="s">
        <v>1154</v>
      </c>
      <c r="F205" s="2" t="s">
        <v>1155</v>
      </c>
      <c r="G205" s="2"/>
      <c r="H205" s="2" t="s">
        <v>1156</v>
      </c>
      <c r="I205" s="2" t="s">
        <v>1086</v>
      </c>
      <c r="J205" t="s">
        <v>1157</v>
      </c>
      <c r="K205" s="2"/>
      <c r="L205">
        <v>576</v>
      </c>
    </row>
    <row r="206" spans="1:12" x14ac:dyDescent="0.25">
      <c r="A206">
        <v>572045</v>
      </c>
      <c r="B206">
        <f>IFERROR(INDEX(Table3[church_num],MATCH(ICCM_giving[[#This Row],[FamilyId]],Table3[dd_acct_id],0)),"")</f>
        <v>420270</v>
      </c>
      <c r="C206">
        <v>420273</v>
      </c>
      <c r="D206">
        <v>420273</v>
      </c>
      <c r="E206" s="2" t="s">
        <v>1159</v>
      </c>
      <c r="F206" s="2" t="s">
        <v>1160</v>
      </c>
      <c r="G206" s="2" t="s">
        <v>1161</v>
      </c>
      <c r="H206" s="2" t="s">
        <v>1162</v>
      </c>
      <c r="I206" s="2" t="s">
        <v>1086</v>
      </c>
      <c r="J206" t="s">
        <v>1163</v>
      </c>
      <c r="K206" s="2" t="s">
        <v>1165</v>
      </c>
      <c r="L206">
        <v>1177.3499999999999</v>
      </c>
    </row>
    <row r="207" spans="1:12" x14ac:dyDescent="0.25">
      <c r="A207">
        <v>572044</v>
      </c>
      <c r="B207">
        <f>IFERROR(INDEX(Table3[church_num],MATCH(ICCM_giving[[#This Row],[FamilyId]],Table3[dd_acct_id],0)),"")</f>
        <v>420270</v>
      </c>
      <c r="C207">
        <v>420273</v>
      </c>
      <c r="D207">
        <v>420273</v>
      </c>
      <c r="E207" s="2" t="s">
        <v>1159</v>
      </c>
      <c r="F207" s="2" t="s">
        <v>1160</v>
      </c>
      <c r="G207" s="2" t="s">
        <v>1161</v>
      </c>
      <c r="H207" s="2" t="s">
        <v>1162</v>
      </c>
      <c r="I207" s="2" t="s">
        <v>1086</v>
      </c>
      <c r="J207" t="s">
        <v>1163</v>
      </c>
      <c r="K207" s="2" t="s">
        <v>1165</v>
      </c>
      <c r="L207">
        <v>1177.3499999999999</v>
      </c>
    </row>
    <row r="208" spans="1:12" x14ac:dyDescent="0.25">
      <c r="A208">
        <v>572046</v>
      </c>
      <c r="B208">
        <f>IFERROR(INDEX(Table3[church_num],MATCH(ICCM_giving[[#This Row],[FamilyId]],Table3[dd_acct_id],0)),"")</f>
        <v>420300</v>
      </c>
      <c r="C208">
        <v>420300</v>
      </c>
      <c r="D208">
        <v>420300</v>
      </c>
      <c r="E208" s="2" t="s">
        <v>91</v>
      </c>
      <c r="F208" s="2" t="s">
        <v>1166</v>
      </c>
      <c r="G208" s="2"/>
      <c r="H208" s="2" t="s">
        <v>1167</v>
      </c>
      <c r="I208" s="2" t="s">
        <v>1086</v>
      </c>
      <c r="J208">
        <v>46123</v>
      </c>
      <c r="K208" s="2"/>
      <c r="L208">
        <v>2640</v>
      </c>
    </row>
    <row r="209" spans="1:12" x14ac:dyDescent="0.25">
      <c r="A209">
        <v>572047</v>
      </c>
      <c r="B209" t="str">
        <f>IFERROR(INDEX(Table3[church_num],MATCH(ICCM_giving[[#This Row],[FamilyId]],Table3[dd_acct_id],0)),"")</f>
        <v/>
      </c>
      <c r="C209">
        <v>420303</v>
      </c>
      <c r="D209">
        <v>420303</v>
      </c>
      <c r="E209" s="2" t="s">
        <v>1169</v>
      </c>
      <c r="F209" s="2" t="s">
        <v>1166</v>
      </c>
      <c r="G209" s="2"/>
      <c r="H209" s="2" t="s">
        <v>1167</v>
      </c>
      <c r="I209" s="2" t="s">
        <v>1086</v>
      </c>
      <c r="J209">
        <v>46123</v>
      </c>
      <c r="K209" s="2"/>
      <c r="L209">
        <v>456</v>
      </c>
    </row>
    <row r="210" spans="1:12" x14ac:dyDescent="0.25">
      <c r="A210">
        <v>572048</v>
      </c>
      <c r="B210" t="str">
        <f>IFERROR(INDEX(Table3[church_num],MATCH(ICCM_giving[[#This Row],[FamilyId]],Table3[dd_acct_id],0)),"")</f>
        <v/>
      </c>
      <c r="C210">
        <v>420304</v>
      </c>
      <c r="D210">
        <v>420304</v>
      </c>
      <c r="E210" s="2" t="s">
        <v>1170</v>
      </c>
      <c r="F210" s="2" t="s">
        <v>1166</v>
      </c>
      <c r="G210" s="2"/>
      <c r="H210" s="2" t="s">
        <v>1167</v>
      </c>
      <c r="I210" s="2" t="s">
        <v>1086</v>
      </c>
      <c r="J210">
        <v>46123</v>
      </c>
      <c r="K210" s="2"/>
      <c r="L210">
        <v>456</v>
      </c>
    </row>
    <row r="211" spans="1:12" x14ac:dyDescent="0.25">
      <c r="A211">
        <v>572049</v>
      </c>
      <c r="B211">
        <f>IFERROR(INDEX(Table3[church_num],MATCH(ICCM_giving[[#This Row],[FamilyId]],Table3[dd_acct_id],0)),"")</f>
        <v>420360</v>
      </c>
      <c r="C211">
        <v>420361</v>
      </c>
      <c r="D211">
        <v>420361</v>
      </c>
      <c r="E211" s="2" t="s">
        <v>1171</v>
      </c>
      <c r="F211" s="2" t="s">
        <v>1172</v>
      </c>
      <c r="G211" s="2" t="s">
        <v>1173</v>
      </c>
      <c r="H211" s="2" t="s">
        <v>1174</v>
      </c>
      <c r="I211" s="2" t="s">
        <v>1086</v>
      </c>
      <c r="J211" t="s">
        <v>1175</v>
      </c>
      <c r="K211" s="2" t="s">
        <v>1177</v>
      </c>
      <c r="L211">
        <v>1368</v>
      </c>
    </row>
    <row r="212" spans="1:12" x14ac:dyDescent="0.25">
      <c r="A212">
        <v>572050</v>
      </c>
      <c r="B212">
        <f>IFERROR(INDEX(Table3[church_num],MATCH(ICCM_giving[[#This Row],[FamilyId]],Table3[dd_acct_id],0)),"")</f>
        <v>420365</v>
      </c>
      <c r="C212">
        <v>420365</v>
      </c>
      <c r="D212">
        <v>420365</v>
      </c>
      <c r="E212" s="2" t="s">
        <v>1178</v>
      </c>
      <c r="F212" s="2" t="s">
        <v>1179</v>
      </c>
      <c r="G212" s="2" t="s">
        <v>1180</v>
      </c>
      <c r="H212" s="2" t="s">
        <v>1174</v>
      </c>
      <c r="I212" s="2" t="s">
        <v>1086</v>
      </c>
      <c r="J212" t="s">
        <v>1181</v>
      </c>
      <c r="K212" s="2" t="s">
        <v>1183</v>
      </c>
      <c r="L212">
        <v>2530</v>
      </c>
    </row>
    <row r="213" spans="1:12" x14ac:dyDescent="0.25">
      <c r="A213">
        <v>572051</v>
      </c>
      <c r="B213" t="str">
        <f>IFERROR(INDEX(Table3[church_num],MATCH(ICCM_giving[[#This Row],[FamilyId]],Table3[dd_acct_id],0)),"")</f>
        <v/>
      </c>
      <c r="C213">
        <v>420367</v>
      </c>
      <c r="D213">
        <v>420367</v>
      </c>
      <c r="E213" s="2" t="s">
        <v>1184</v>
      </c>
      <c r="F213" s="2" t="s">
        <v>1185</v>
      </c>
      <c r="G213" s="2" t="s">
        <v>1186</v>
      </c>
      <c r="H213" s="2" t="s">
        <v>1187</v>
      </c>
      <c r="I213" s="2" t="s">
        <v>1086</v>
      </c>
      <c r="J213">
        <v>46901</v>
      </c>
      <c r="K213" s="2"/>
      <c r="L213">
        <v>566</v>
      </c>
    </row>
    <row r="214" spans="1:12" x14ac:dyDescent="0.25">
      <c r="A214">
        <v>572052</v>
      </c>
      <c r="B214" t="str">
        <f>IFERROR(INDEX(Table3[church_num],MATCH(ICCM_giving[[#This Row],[FamilyId]],Table3[dd_acct_id],0)),"")</f>
        <v/>
      </c>
      <c r="C214">
        <v>420367</v>
      </c>
      <c r="D214">
        <v>420367</v>
      </c>
      <c r="E214" s="2" t="s">
        <v>1184</v>
      </c>
      <c r="F214" s="2" t="s">
        <v>1185</v>
      </c>
      <c r="G214" s="2" t="s">
        <v>1186</v>
      </c>
      <c r="H214" s="2" t="s">
        <v>1187</v>
      </c>
      <c r="I214" s="2" t="s">
        <v>1086</v>
      </c>
      <c r="J214">
        <v>46901</v>
      </c>
      <c r="K214" s="2"/>
      <c r="L214">
        <v>566</v>
      </c>
    </row>
    <row r="215" spans="1:12" x14ac:dyDescent="0.25">
      <c r="A215">
        <v>572054</v>
      </c>
      <c r="B215">
        <f>IFERROR(INDEX(Table3[church_num],MATCH(ICCM_giving[[#This Row],[FamilyId]],Table3[dd_acct_id],0)),"")</f>
        <v>420440</v>
      </c>
      <c r="C215">
        <v>420442</v>
      </c>
      <c r="D215">
        <v>420442</v>
      </c>
      <c r="E215" s="2" t="s">
        <v>1189</v>
      </c>
      <c r="F215" s="2" t="s">
        <v>1190</v>
      </c>
      <c r="G215" s="2"/>
      <c r="H215" s="2" t="s">
        <v>1191</v>
      </c>
      <c r="I215" s="2" t="s">
        <v>1086</v>
      </c>
      <c r="J215" t="s">
        <v>1192</v>
      </c>
      <c r="K215" s="2" t="s">
        <v>1194</v>
      </c>
      <c r="L215">
        <v>805</v>
      </c>
    </row>
    <row r="216" spans="1:12" x14ac:dyDescent="0.25">
      <c r="A216">
        <v>572053</v>
      </c>
      <c r="B216">
        <f>IFERROR(INDEX(Table3[church_num],MATCH(ICCM_giving[[#This Row],[FamilyId]],Table3[dd_acct_id],0)),"")</f>
        <v>420440</v>
      </c>
      <c r="C216">
        <v>420442</v>
      </c>
      <c r="D216">
        <v>420442</v>
      </c>
      <c r="E216" s="2" t="s">
        <v>1189</v>
      </c>
      <c r="F216" s="2" t="s">
        <v>1190</v>
      </c>
      <c r="G216" s="2"/>
      <c r="H216" s="2" t="s">
        <v>1191</v>
      </c>
      <c r="I216" s="2" t="s">
        <v>1086</v>
      </c>
      <c r="J216" t="s">
        <v>1192</v>
      </c>
      <c r="K216" s="2" t="s">
        <v>1194</v>
      </c>
      <c r="L216">
        <v>805</v>
      </c>
    </row>
    <row r="217" spans="1:12" x14ac:dyDescent="0.25">
      <c r="A217">
        <v>572055</v>
      </c>
      <c r="B217" t="str">
        <f>IFERROR(INDEX(Table3[church_num],MATCH(ICCM_giving[[#This Row],[FamilyId]],Table3[dd_acct_id],0)),"")</f>
        <v/>
      </c>
      <c r="C217">
        <v>420443</v>
      </c>
      <c r="D217">
        <v>420443</v>
      </c>
      <c r="E217" s="2" t="s">
        <v>1195</v>
      </c>
      <c r="F217" s="2" t="s">
        <v>1190</v>
      </c>
      <c r="G217" s="2"/>
      <c r="H217" s="2" t="s">
        <v>1191</v>
      </c>
      <c r="I217" s="2" t="s">
        <v>1086</v>
      </c>
      <c r="J217" t="s">
        <v>1192</v>
      </c>
      <c r="K217" s="2"/>
      <c r="L217">
        <v>84</v>
      </c>
    </row>
    <row r="218" spans="1:12" x14ac:dyDescent="0.25">
      <c r="A218">
        <v>572056</v>
      </c>
      <c r="B218">
        <f>IFERROR(INDEX(Table3[church_num],MATCH(ICCM_giving[[#This Row],[FamilyId]],Table3[dd_acct_id],0)),"")</f>
        <v>420450</v>
      </c>
      <c r="C218">
        <v>420459</v>
      </c>
      <c r="D218">
        <v>420459</v>
      </c>
      <c r="E218" s="2" t="s">
        <v>1196</v>
      </c>
      <c r="F218" s="2" t="s">
        <v>1197</v>
      </c>
      <c r="G218" s="2" t="s">
        <v>1198</v>
      </c>
      <c r="H218" s="2" t="s">
        <v>1199</v>
      </c>
      <c r="I218" s="2" t="s">
        <v>153</v>
      </c>
      <c r="J218">
        <v>62863</v>
      </c>
      <c r="K218" s="2"/>
      <c r="L218">
        <v>730</v>
      </c>
    </row>
    <row r="219" spans="1:12" x14ac:dyDescent="0.25">
      <c r="A219">
        <v>572057</v>
      </c>
      <c r="B219">
        <f>IFERROR(INDEX(Table3[church_num],MATCH(ICCM_giving[[#This Row],[FamilyId]],Table3[dd_acct_id],0)),"")</f>
        <v>420510</v>
      </c>
      <c r="C219">
        <v>420516</v>
      </c>
      <c r="D219">
        <v>420516</v>
      </c>
      <c r="E219" s="2" t="s">
        <v>1201</v>
      </c>
      <c r="F219" s="2" t="s">
        <v>1202</v>
      </c>
      <c r="G219" s="2" t="s">
        <v>1203</v>
      </c>
      <c r="H219" s="2" t="s">
        <v>1204</v>
      </c>
      <c r="I219" s="2" t="s">
        <v>153</v>
      </c>
      <c r="J219" t="s">
        <v>1205</v>
      </c>
      <c r="K219" s="2"/>
      <c r="L219">
        <v>380</v>
      </c>
    </row>
    <row r="220" spans="1:12" x14ac:dyDescent="0.25">
      <c r="A220">
        <v>572058</v>
      </c>
      <c r="B220">
        <f>IFERROR(INDEX(Table3[church_num],MATCH(ICCM_giving[[#This Row],[FamilyId]],Table3[dd_acct_id],0)),"")</f>
        <v>420520</v>
      </c>
      <c r="C220">
        <v>420520</v>
      </c>
      <c r="D220">
        <v>420520</v>
      </c>
      <c r="E220" s="2" t="s">
        <v>1207</v>
      </c>
      <c r="F220" s="2" t="s">
        <v>1208</v>
      </c>
      <c r="G220" s="2"/>
      <c r="H220" s="2" t="s">
        <v>1209</v>
      </c>
      <c r="I220" s="2" t="s">
        <v>1086</v>
      </c>
      <c r="J220" t="s">
        <v>1210</v>
      </c>
      <c r="K220" s="2" t="s">
        <v>1212</v>
      </c>
      <c r="L220">
        <v>6430</v>
      </c>
    </row>
    <row r="221" spans="1:12" x14ac:dyDescent="0.25">
      <c r="A221">
        <v>572059</v>
      </c>
      <c r="B221" t="str">
        <f>IFERROR(INDEX(Table3[church_num],MATCH(ICCM_giving[[#This Row],[FamilyId]],Table3[dd_acct_id],0)),"")</f>
        <v/>
      </c>
      <c r="C221">
        <v>420526</v>
      </c>
      <c r="D221">
        <v>420526</v>
      </c>
      <c r="E221" s="2" t="s">
        <v>1207</v>
      </c>
      <c r="F221" s="2" t="s">
        <v>1213</v>
      </c>
      <c r="G221" s="2" t="s">
        <v>1208</v>
      </c>
      <c r="H221" s="2" t="s">
        <v>1209</v>
      </c>
      <c r="I221" s="2" t="s">
        <v>1086</v>
      </c>
      <c r="J221" t="s">
        <v>1210</v>
      </c>
      <c r="K221" s="2"/>
      <c r="L221">
        <v>456</v>
      </c>
    </row>
    <row r="222" spans="1:12" x14ac:dyDescent="0.25">
      <c r="A222">
        <v>572060</v>
      </c>
      <c r="B222" t="str">
        <f>IFERROR(INDEX(Table3[church_num],MATCH(ICCM_giving[[#This Row],[FamilyId]],Table3[dd_acct_id],0)),"")</f>
        <v/>
      </c>
      <c r="C222">
        <v>420583</v>
      </c>
      <c r="D222">
        <v>0</v>
      </c>
      <c r="E222" s="2"/>
      <c r="F222" s="2" t="s">
        <v>1217</v>
      </c>
      <c r="G222" s="2"/>
      <c r="H222" s="2" t="s">
        <v>1218</v>
      </c>
      <c r="I222" s="2" t="s">
        <v>1086</v>
      </c>
      <c r="J222">
        <v>47715</v>
      </c>
      <c r="K222" s="2" t="s">
        <v>1221</v>
      </c>
      <c r="L222">
        <v>456</v>
      </c>
    </row>
    <row r="223" spans="1:12" x14ac:dyDescent="0.25">
      <c r="A223">
        <v>572061</v>
      </c>
      <c r="B223">
        <f>IFERROR(INDEX(Table3[church_num],MATCH(ICCM_giving[[#This Row],[FamilyId]],Table3[dd_acct_id],0)),"")</f>
        <v>420580</v>
      </c>
      <c r="C223">
        <v>420585</v>
      </c>
      <c r="D223">
        <v>420585</v>
      </c>
      <c r="E223" s="2" t="s">
        <v>1222</v>
      </c>
      <c r="F223" s="2" t="s">
        <v>1223</v>
      </c>
      <c r="G223" s="2"/>
      <c r="H223" s="2" t="s">
        <v>1224</v>
      </c>
      <c r="I223" s="2" t="s">
        <v>153</v>
      </c>
      <c r="J223" t="s">
        <v>1225</v>
      </c>
      <c r="K223" s="2"/>
      <c r="L223">
        <v>1064</v>
      </c>
    </row>
    <row r="224" spans="1:12" x14ac:dyDescent="0.25">
      <c r="A224">
        <v>572062</v>
      </c>
      <c r="B224" t="str">
        <f>IFERROR(INDEX(Table3[church_num],MATCH(ICCM_giving[[#This Row],[FamilyId]],Table3[dd_acct_id],0)),"")</f>
        <v/>
      </c>
      <c r="C224">
        <v>420586</v>
      </c>
      <c r="D224">
        <v>420586</v>
      </c>
      <c r="E224" s="2" t="s">
        <v>1227</v>
      </c>
      <c r="F224" s="2" t="s">
        <v>1223</v>
      </c>
      <c r="G224" s="2"/>
      <c r="H224" s="2" t="s">
        <v>1224</v>
      </c>
      <c r="I224" s="2" t="s">
        <v>153</v>
      </c>
      <c r="J224" t="s">
        <v>1225</v>
      </c>
      <c r="K224" s="2"/>
      <c r="L224">
        <v>532</v>
      </c>
    </row>
    <row r="225" spans="1:12" x14ac:dyDescent="0.25">
      <c r="A225">
        <v>572063</v>
      </c>
      <c r="B225">
        <f>IFERROR(INDEX(Table3[church_num],MATCH(ICCM_giving[[#This Row],[FamilyId]],Table3[dd_acct_id],0)),"")</f>
        <v>420610</v>
      </c>
      <c r="C225">
        <v>420611</v>
      </c>
      <c r="D225">
        <v>420611</v>
      </c>
      <c r="E225" s="2" t="s">
        <v>1228</v>
      </c>
      <c r="F225" s="2" t="s">
        <v>1229</v>
      </c>
      <c r="G225" s="2" t="s">
        <v>1230</v>
      </c>
      <c r="H225" s="2" t="s">
        <v>1133</v>
      </c>
      <c r="I225" s="2" t="s">
        <v>153</v>
      </c>
      <c r="J225" t="s">
        <v>1231</v>
      </c>
      <c r="K225" s="2" t="s">
        <v>1233</v>
      </c>
      <c r="L225">
        <v>1392</v>
      </c>
    </row>
    <row r="226" spans="1:12" x14ac:dyDescent="0.25">
      <c r="A226">
        <v>572064</v>
      </c>
      <c r="B226">
        <f>IFERROR(INDEX(Table3[church_num],MATCH(ICCM_giving[[#This Row],[FamilyId]],Table3[dd_acct_id],0)),"")</f>
        <v>420630</v>
      </c>
      <c r="C226">
        <v>420636</v>
      </c>
      <c r="D226">
        <v>420636</v>
      </c>
      <c r="E226" s="2" t="s">
        <v>1234</v>
      </c>
      <c r="F226" s="2" t="s">
        <v>1235</v>
      </c>
      <c r="G226" s="2"/>
      <c r="H226" s="2" t="s">
        <v>1236</v>
      </c>
      <c r="I226" s="2" t="s">
        <v>1086</v>
      </c>
      <c r="J226" t="s">
        <v>1237</v>
      </c>
      <c r="K226" s="2"/>
      <c r="L226">
        <v>960</v>
      </c>
    </row>
    <row r="227" spans="1:12" x14ac:dyDescent="0.25">
      <c r="A227">
        <v>572065</v>
      </c>
      <c r="B227">
        <f>IFERROR(INDEX(Table3[church_num],MATCH(ICCM_giving[[#This Row],[FamilyId]],Table3[dd_acct_id],0)),"")</f>
        <v>420660</v>
      </c>
      <c r="C227">
        <v>420669</v>
      </c>
      <c r="D227">
        <v>420669</v>
      </c>
      <c r="E227" s="2" t="s">
        <v>1239</v>
      </c>
      <c r="F227" s="2" t="s">
        <v>1240</v>
      </c>
      <c r="G227" s="2"/>
      <c r="H227" s="2" t="s">
        <v>1241</v>
      </c>
      <c r="I227" s="2" t="s">
        <v>1086</v>
      </c>
      <c r="J227">
        <v>47591</v>
      </c>
      <c r="K227" s="2"/>
      <c r="L227">
        <v>342</v>
      </c>
    </row>
    <row r="228" spans="1:12" x14ac:dyDescent="0.25">
      <c r="A228">
        <v>572066</v>
      </c>
      <c r="B228">
        <f>IFERROR(INDEX(Table3[church_num],MATCH(ICCM_giving[[#This Row],[FamilyId]],Table3[dd_acct_id],0)),"")</f>
        <v>420670</v>
      </c>
      <c r="C228">
        <v>420671</v>
      </c>
      <c r="D228">
        <v>420671</v>
      </c>
      <c r="E228" s="2" t="s">
        <v>1243</v>
      </c>
      <c r="F228" s="2" t="s">
        <v>1244</v>
      </c>
      <c r="G228" s="2" t="s">
        <v>1245</v>
      </c>
      <c r="H228" s="2" t="s">
        <v>1246</v>
      </c>
      <c r="I228" s="2" t="s">
        <v>1086</v>
      </c>
      <c r="J228" t="s">
        <v>1247</v>
      </c>
      <c r="K228" s="2"/>
      <c r="L228">
        <v>684</v>
      </c>
    </row>
    <row r="229" spans="1:12" x14ac:dyDescent="0.25">
      <c r="A229">
        <v>572067</v>
      </c>
      <c r="B229">
        <f>IFERROR(INDEX(Table3[church_num],MATCH(ICCM_giving[[#This Row],[FamilyId]],Table3[dd_acct_id],0)),"")</f>
        <v>420710</v>
      </c>
      <c r="C229">
        <v>420706</v>
      </c>
      <c r="D229">
        <v>420706</v>
      </c>
      <c r="E229" s="2" t="s">
        <v>1249</v>
      </c>
      <c r="F229" s="2" t="s">
        <v>1250</v>
      </c>
      <c r="G229" s="2"/>
      <c r="H229" s="2" t="s">
        <v>1251</v>
      </c>
      <c r="I229" s="2" t="s">
        <v>1086</v>
      </c>
      <c r="J229">
        <v>46060</v>
      </c>
      <c r="K229" s="2"/>
      <c r="L229">
        <v>912</v>
      </c>
    </row>
    <row r="230" spans="1:12" x14ac:dyDescent="0.25">
      <c r="A230">
        <v>572068</v>
      </c>
      <c r="B230" t="str">
        <f>IFERROR(INDEX(Table3[church_num],MATCH(ICCM_giving[[#This Row],[FamilyId]],Table3[dd_acct_id],0)),"")</f>
        <v/>
      </c>
      <c r="C230">
        <v>530032</v>
      </c>
      <c r="D230">
        <v>530032</v>
      </c>
      <c r="E230" s="2" t="s">
        <v>1253</v>
      </c>
      <c r="F230" s="2" t="s">
        <v>1254</v>
      </c>
      <c r="G230" s="2"/>
      <c r="H230" s="2" t="s">
        <v>1255</v>
      </c>
      <c r="I230" s="2"/>
      <c r="K230" s="2" t="s">
        <v>1259</v>
      </c>
      <c r="L230">
        <v>911.96</v>
      </c>
    </row>
    <row r="231" spans="1:12" x14ac:dyDescent="0.25">
      <c r="A231">
        <v>572069</v>
      </c>
      <c r="B231" t="str">
        <f>IFERROR(INDEX(Table3[church_num],MATCH(ICCM_giving[[#This Row],[FamilyId]],Table3[dd_acct_id],0)),"")</f>
        <v/>
      </c>
      <c r="C231">
        <v>531080</v>
      </c>
      <c r="D231">
        <v>531080</v>
      </c>
      <c r="E231" s="2" t="s">
        <v>1260</v>
      </c>
      <c r="F231" s="2" t="s">
        <v>1261</v>
      </c>
      <c r="G231" s="2"/>
      <c r="H231" s="2" t="s">
        <v>1262</v>
      </c>
      <c r="I231" s="2"/>
      <c r="J231" t="s">
        <v>1263</v>
      </c>
      <c r="K231" s="2"/>
      <c r="L231">
        <v>360</v>
      </c>
    </row>
    <row r="232" spans="1:12" x14ac:dyDescent="0.25">
      <c r="A232">
        <v>572070</v>
      </c>
      <c r="B232">
        <f>IFERROR(INDEX(Table3[church_num],MATCH(ICCM_giving[[#This Row],[FamilyId]],Table3[dd_acct_id],0)),"")</f>
        <v>330177</v>
      </c>
      <c r="C232">
        <v>550221</v>
      </c>
      <c r="D232">
        <v>550221</v>
      </c>
      <c r="E232" s="2" t="s">
        <v>1267</v>
      </c>
      <c r="F232" s="2" t="s">
        <v>1268</v>
      </c>
      <c r="G232" s="2" t="s">
        <v>1269</v>
      </c>
      <c r="H232" s="2" t="s">
        <v>1270</v>
      </c>
      <c r="I232" s="2" t="s">
        <v>959</v>
      </c>
      <c r="J232" t="s">
        <v>1271</v>
      </c>
      <c r="K232" s="2" t="s">
        <v>1273</v>
      </c>
      <c r="L232">
        <v>1458</v>
      </c>
    </row>
    <row r="233" spans="1:12" x14ac:dyDescent="0.25">
      <c r="A233">
        <v>572071</v>
      </c>
      <c r="B233">
        <f>IFERROR(INDEX(Table3[church_num],MATCH(ICCM_giving[[#This Row],[FamilyId]],Table3[dd_acct_id],0)),"")</f>
        <v>330177</v>
      </c>
      <c r="C233">
        <v>550221</v>
      </c>
      <c r="D233">
        <v>550221</v>
      </c>
      <c r="E233" s="2" t="s">
        <v>1267</v>
      </c>
      <c r="F233" s="2" t="s">
        <v>1268</v>
      </c>
      <c r="G233" s="2" t="s">
        <v>1269</v>
      </c>
      <c r="H233" s="2" t="s">
        <v>1270</v>
      </c>
      <c r="I233" s="2" t="s">
        <v>959</v>
      </c>
      <c r="J233" t="s">
        <v>1271</v>
      </c>
      <c r="K233" s="2" t="s">
        <v>1273</v>
      </c>
      <c r="L233">
        <v>1458</v>
      </c>
    </row>
    <row r="234" spans="1:12" x14ac:dyDescent="0.25">
      <c r="A234">
        <v>572072</v>
      </c>
      <c r="B234">
        <f>IFERROR(INDEX(Table3[church_num],MATCH(ICCM_giving[[#This Row],[FamilyId]],Table3[dd_acct_id],0)),"")</f>
        <v>330175</v>
      </c>
      <c r="C234">
        <v>550224</v>
      </c>
      <c r="D234">
        <v>550224</v>
      </c>
      <c r="E234" s="2" t="s">
        <v>1274</v>
      </c>
      <c r="F234" s="2" t="s">
        <v>1275</v>
      </c>
      <c r="G234" s="2" t="s">
        <v>1276</v>
      </c>
      <c r="H234" s="2" t="s">
        <v>1270</v>
      </c>
      <c r="I234" s="2" t="s">
        <v>959</v>
      </c>
      <c r="J234" t="s">
        <v>1277</v>
      </c>
      <c r="K234" s="2"/>
      <c r="L234">
        <v>456</v>
      </c>
    </row>
    <row r="235" spans="1:12" x14ac:dyDescent="0.25">
      <c r="A235">
        <v>572074</v>
      </c>
      <c r="B235" t="str">
        <f>IFERROR(INDEX(Table3[church_num],MATCH(ICCM_giving[[#This Row],[FamilyId]],Table3[dd_acct_id],0)),"")</f>
        <v/>
      </c>
      <c r="C235">
        <v>550272</v>
      </c>
      <c r="D235">
        <v>550272</v>
      </c>
      <c r="E235" s="2" t="s">
        <v>1279</v>
      </c>
      <c r="F235" s="2" t="s">
        <v>1280</v>
      </c>
      <c r="G235" s="2"/>
      <c r="H235" s="2" t="s">
        <v>1281</v>
      </c>
      <c r="I235" s="2" t="s">
        <v>959</v>
      </c>
      <c r="J235" t="s">
        <v>1282</v>
      </c>
      <c r="K235" s="2"/>
      <c r="L235">
        <v>646</v>
      </c>
    </row>
    <row r="236" spans="1:12" x14ac:dyDescent="0.25">
      <c r="A236">
        <v>572073</v>
      </c>
      <c r="B236" t="str">
        <f>IFERROR(INDEX(Table3[church_num],MATCH(ICCM_giving[[#This Row],[FamilyId]],Table3[dd_acct_id],0)),"")</f>
        <v/>
      </c>
      <c r="C236">
        <v>550272</v>
      </c>
      <c r="D236">
        <v>550272</v>
      </c>
      <c r="E236" s="2" t="s">
        <v>1279</v>
      </c>
      <c r="F236" s="2" t="s">
        <v>1280</v>
      </c>
      <c r="G236" s="2"/>
      <c r="H236" s="2" t="s">
        <v>1281</v>
      </c>
      <c r="I236" s="2" t="s">
        <v>959</v>
      </c>
      <c r="J236" t="s">
        <v>1282</v>
      </c>
      <c r="K236" s="2"/>
      <c r="L236">
        <v>646</v>
      </c>
    </row>
    <row r="237" spans="1:12" x14ac:dyDescent="0.25">
      <c r="A237">
        <v>572075</v>
      </c>
      <c r="B237">
        <f>IFERROR(INDEX(Table3[church_num],MATCH(ICCM_giving[[#This Row],[FamilyId]],Table3[dd_acct_id],0)),"")</f>
        <v>330240</v>
      </c>
      <c r="C237">
        <v>550280</v>
      </c>
      <c r="D237">
        <v>550280</v>
      </c>
      <c r="E237" s="2" t="s">
        <v>1284</v>
      </c>
      <c r="F237" s="2" t="s">
        <v>1285</v>
      </c>
      <c r="G237" s="2" t="s">
        <v>1286</v>
      </c>
      <c r="H237" s="2" t="s">
        <v>1287</v>
      </c>
      <c r="I237" s="2" t="s">
        <v>959</v>
      </c>
      <c r="J237" t="s">
        <v>1288</v>
      </c>
      <c r="K237" s="2" t="s">
        <v>1290</v>
      </c>
      <c r="L237">
        <v>456</v>
      </c>
    </row>
    <row r="238" spans="1:12" x14ac:dyDescent="0.25">
      <c r="A238">
        <v>572076</v>
      </c>
      <c r="B238" t="str">
        <f>IFERROR(INDEX(Table3[church_num],MATCH(ICCM_giving[[#This Row],[FamilyId]],Table3[dd_acct_id],0)),"")</f>
        <v/>
      </c>
      <c r="C238">
        <v>550283</v>
      </c>
      <c r="D238">
        <v>550283</v>
      </c>
      <c r="E238" s="2" t="s">
        <v>1291</v>
      </c>
      <c r="F238" s="2" t="s">
        <v>1286</v>
      </c>
      <c r="G238" s="2"/>
      <c r="H238" s="2" t="s">
        <v>1287</v>
      </c>
      <c r="I238" s="2" t="s">
        <v>959</v>
      </c>
      <c r="J238" t="s">
        <v>1288</v>
      </c>
      <c r="K238" s="2"/>
      <c r="L238">
        <v>456</v>
      </c>
    </row>
    <row r="239" spans="1:12" x14ac:dyDescent="0.25">
      <c r="A239">
        <v>572077</v>
      </c>
      <c r="B239">
        <f>IFERROR(INDEX(Table3[church_num],MATCH(ICCM_giving[[#This Row],[FamilyId]],Table3[dd_acct_id],0)),"")</f>
        <v>330435</v>
      </c>
      <c r="C239">
        <v>550340</v>
      </c>
      <c r="D239">
        <v>550340</v>
      </c>
      <c r="E239" s="2" t="s">
        <v>1292</v>
      </c>
      <c r="F239" s="2" t="s">
        <v>1293</v>
      </c>
      <c r="G239" s="2"/>
      <c r="H239" s="2" t="s">
        <v>1294</v>
      </c>
      <c r="I239" s="2" t="s">
        <v>959</v>
      </c>
      <c r="J239" t="s">
        <v>1295</v>
      </c>
      <c r="K239" s="2"/>
      <c r="L239">
        <v>1000</v>
      </c>
    </row>
    <row r="240" spans="1:12" x14ac:dyDescent="0.25">
      <c r="A240">
        <v>572078</v>
      </c>
      <c r="B240">
        <f>IFERROR(INDEX(Table3[church_num],MATCH(ICCM_giving[[#This Row],[FamilyId]],Table3[dd_acct_id],0)),"")</f>
        <v>330178</v>
      </c>
      <c r="C240">
        <v>550680</v>
      </c>
      <c r="D240">
        <v>550680</v>
      </c>
      <c r="E240" s="2" t="s">
        <v>1297</v>
      </c>
      <c r="F240" s="2" t="s">
        <v>1298</v>
      </c>
      <c r="G240" s="2" t="s">
        <v>1299</v>
      </c>
      <c r="H240" s="2" t="s">
        <v>1270</v>
      </c>
      <c r="I240" s="2" t="s">
        <v>959</v>
      </c>
      <c r="J240">
        <v>26525</v>
      </c>
      <c r="K240" s="2" t="s">
        <v>1301</v>
      </c>
      <c r="L240">
        <v>600</v>
      </c>
    </row>
    <row r="241" spans="1:12" x14ac:dyDescent="0.25">
      <c r="A241">
        <v>572079</v>
      </c>
      <c r="B241">
        <f>IFERROR(INDEX(Table3[church_num],MATCH(ICCM_giving[[#This Row],[FamilyId]],Table3[dd_acct_id],0)),"")</f>
        <v>420180</v>
      </c>
      <c r="C241">
        <v>601365</v>
      </c>
      <c r="D241">
        <v>601365</v>
      </c>
      <c r="E241" s="2" t="s">
        <v>1302</v>
      </c>
      <c r="F241" s="2" t="s">
        <v>1303</v>
      </c>
      <c r="G241" s="2"/>
      <c r="H241" s="2" t="s">
        <v>1304</v>
      </c>
      <c r="I241" s="2" t="s">
        <v>153</v>
      </c>
      <c r="J241">
        <v>62427</v>
      </c>
      <c r="K241" s="2"/>
      <c r="L241">
        <v>1112</v>
      </c>
    </row>
    <row r="242" spans="1:12" x14ac:dyDescent="0.25">
      <c r="A242">
        <v>572080</v>
      </c>
      <c r="B242" t="str">
        <f>IFERROR(INDEX(Table3[church_num],MATCH(ICCM_giving[[#This Row],[FamilyId]],Table3[dd_acct_id],0)),"")</f>
        <v/>
      </c>
      <c r="C242">
        <v>605198</v>
      </c>
      <c r="D242">
        <v>0</v>
      </c>
      <c r="E242" s="2"/>
      <c r="F242" s="2"/>
      <c r="G242" s="2"/>
      <c r="H242" s="2"/>
      <c r="I242" s="2"/>
      <c r="K242" s="2" t="s">
        <v>1311</v>
      </c>
      <c r="L242">
        <v>1520</v>
      </c>
    </row>
    <row r="243" spans="1:12" x14ac:dyDescent="0.25">
      <c r="A243">
        <v>572081</v>
      </c>
      <c r="B243" t="str">
        <f>IFERROR(INDEX(Table3[church_num],MATCH(ICCM_giving[[#This Row],[FamilyId]],Table3[dd_acct_id],0)),"")</f>
        <v/>
      </c>
      <c r="C243">
        <v>605198</v>
      </c>
      <c r="D243">
        <v>0</v>
      </c>
      <c r="E243" s="2"/>
      <c r="F243" s="2"/>
      <c r="G243" s="2"/>
      <c r="H243" s="2"/>
      <c r="I243" s="2"/>
      <c r="K243" s="2" t="s">
        <v>1311</v>
      </c>
      <c r="L243">
        <v>1520</v>
      </c>
    </row>
    <row r="244" spans="1:12" x14ac:dyDescent="0.25">
      <c r="A244">
        <v>572082</v>
      </c>
      <c r="B244" t="str">
        <f>IFERROR(INDEX(Table3[church_num],MATCH(ICCM_giving[[#This Row],[FamilyId]],Table3[dd_acct_id],0)),"")</f>
        <v/>
      </c>
      <c r="C244">
        <v>605314</v>
      </c>
      <c r="D244">
        <v>0</v>
      </c>
      <c r="E244" s="2"/>
      <c r="F244" s="2"/>
      <c r="G244" s="2"/>
      <c r="H244" s="2"/>
      <c r="I244" s="2"/>
      <c r="K244" s="2" t="s">
        <v>1315</v>
      </c>
      <c r="L244">
        <v>342</v>
      </c>
    </row>
    <row r="245" spans="1:12" x14ac:dyDescent="0.25">
      <c r="A245">
        <v>572083</v>
      </c>
      <c r="B245" t="str">
        <f>IFERROR(INDEX(Table3[church_num],MATCH(ICCM_giving[[#This Row],[FamilyId]],Table3[dd_acct_id],0)),"")</f>
        <v/>
      </c>
      <c r="C245">
        <v>606310</v>
      </c>
      <c r="D245">
        <v>606310</v>
      </c>
      <c r="E245" s="2" t="s">
        <v>1316</v>
      </c>
      <c r="F245" s="2" t="s">
        <v>1318</v>
      </c>
      <c r="G245" s="2"/>
      <c r="H245" s="2" t="s">
        <v>1319</v>
      </c>
      <c r="I245" s="2" t="s">
        <v>1058</v>
      </c>
      <c r="J245">
        <v>75087</v>
      </c>
      <c r="K245" s="2" t="s">
        <v>1321</v>
      </c>
      <c r="L245">
        <v>456</v>
      </c>
    </row>
    <row r="246" spans="1:12" x14ac:dyDescent="0.25">
      <c r="A246">
        <v>572084</v>
      </c>
      <c r="B246" t="str">
        <f>IFERROR(INDEX(Table3[church_num],MATCH(ICCM_giving[[#This Row],[FamilyId]],Table3[dd_acct_id],0)),"")</f>
        <v/>
      </c>
      <c r="C246">
        <v>608334</v>
      </c>
      <c r="D246">
        <v>608334</v>
      </c>
      <c r="E246" s="2" t="s">
        <v>1322</v>
      </c>
      <c r="F246" s="2" t="s">
        <v>1323</v>
      </c>
      <c r="G246" s="2"/>
      <c r="H246" s="2" t="s">
        <v>1324</v>
      </c>
      <c r="I246" s="2"/>
      <c r="K246" s="2"/>
      <c r="L246">
        <v>44380</v>
      </c>
    </row>
    <row r="247" spans="1:12" x14ac:dyDescent="0.25">
      <c r="A247">
        <v>572085</v>
      </c>
      <c r="B247" t="str">
        <f>IFERROR(INDEX(Table3[church_num],MATCH(ICCM_giving[[#This Row],[FamilyId]],Table3[dd_acct_id],0)),"")</f>
        <v/>
      </c>
      <c r="C247">
        <v>608887</v>
      </c>
      <c r="D247">
        <v>608887</v>
      </c>
      <c r="E247" s="2" t="s">
        <v>1328</v>
      </c>
      <c r="F247" s="2" t="s">
        <v>1329</v>
      </c>
      <c r="G247" s="2" t="s">
        <v>1330</v>
      </c>
      <c r="H247" s="2" t="s">
        <v>1331</v>
      </c>
      <c r="I247" s="2" t="s">
        <v>406</v>
      </c>
      <c r="J247">
        <v>56466</v>
      </c>
      <c r="K247" s="2" t="s">
        <v>1333</v>
      </c>
      <c r="L247">
        <v>592</v>
      </c>
    </row>
    <row r="248" spans="1:12" x14ac:dyDescent="0.25">
      <c r="A248">
        <v>572086</v>
      </c>
      <c r="B248" t="str">
        <f>IFERROR(INDEX(Table3[church_num],MATCH(ICCM_giving[[#This Row],[FamilyId]],Table3[dd_acct_id],0)),"")</f>
        <v/>
      </c>
      <c r="C248">
        <v>611703</v>
      </c>
      <c r="D248">
        <v>611703</v>
      </c>
      <c r="E248" s="2" t="s">
        <v>1334</v>
      </c>
      <c r="F248" s="2" t="s">
        <v>1335</v>
      </c>
      <c r="G248" s="2" t="s">
        <v>1336</v>
      </c>
      <c r="H248" s="2" t="s">
        <v>472</v>
      </c>
      <c r="I248" s="2" t="s">
        <v>466</v>
      </c>
      <c r="J248" t="s">
        <v>1337</v>
      </c>
      <c r="K248" s="2"/>
      <c r="L248">
        <v>492</v>
      </c>
    </row>
    <row r="249" spans="1:12" x14ac:dyDescent="0.25">
      <c r="A249">
        <v>572087</v>
      </c>
      <c r="B249">
        <f>IFERROR(INDEX(Table3[church_num],MATCH(ICCM_giving[[#This Row],[FamilyId]],Table3[dd_acct_id],0)),"")</f>
        <v>390030</v>
      </c>
      <c r="C249">
        <v>612200</v>
      </c>
      <c r="D249">
        <v>612200</v>
      </c>
      <c r="E249" s="2" t="s">
        <v>1339</v>
      </c>
      <c r="F249" s="2" t="s">
        <v>1340</v>
      </c>
      <c r="G249" s="2"/>
      <c r="H249" s="2" t="s">
        <v>1341</v>
      </c>
      <c r="I249" s="2" t="s">
        <v>1342</v>
      </c>
      <c r="J249" t="s">
        <v>1343</v>
      </c>
      <c r="K249" s="2" t="s">
        <v>1345</v>
      </c>
      <c r="L249">
        <v>360</v>
      </c>
    </row>
    <row r="250" spans="1:12" x14ac:dyDescent="0.25">
      <c r="A250">
        <v>572088</v>
      </c>
      <c r="B250">
        <f>IFERROR(INDEX(Table3[church_num],MATCH(ICCM_giving[[#This Row],[FamilyId]],Table3[dd_acct_id],0)),"")</f>
        <v>90320</v>
      </c>
      <c r="C250">
        <v>613955</v>
      </c>
      <c r="D250">
        <v>613955</v>
      </c>
      <c r="E250" s="2" t="s">
        <v>1346</v>
      </c>
      <c r="F250" s="2" t="s">
        <v>1347</v>
      </c>
      <c r="G250" s="2" t="s">
        <v>1348</v>
      </c>
      <c r="H250" s="2" t="s">
        <v>1349</v>
      </c>
      <c r="I250" s="2" t="s">
        <v>212</v>
      </c>
      <c r="J250" t="s">
        <v>1350</v>
      </c>
      <c r="K250" s="2" t="s">
        <v>1352</v>
      </c>
      <c r="L250">
        <v>1276.6400000000001</v>
      </c>
    </row>
    <row r="251" spans="1:12" x14ac:dyDescent="0.25">
      <c r="A251">
        <v>572089</v>
      </c>
      <c r="B251">
        <f>IFERROR(INDEX(Table3[church_num],MATCH(ICCM_giving[[#This Row],[FamilyId]],Table3[dd_acct_id],0)),"")</f>
        <v>90320</v>
      </c>
      <c r="C251">
        <v>613955</v>
      </c>
      <c r="D251">
        <v>613955</v>
      </c>
      <c r="E251" s="2" t="s">
        <v>1346</v>
      </c>
      <c r="F251" s="2" t="s">
        <v>1347</v>
      </c>
      <c r="G251" s="2" t="s">
        <v>1348</v>
      </c>
      <c r="H251" s="2" t="s">
        <v>1349</v>
      </c>
      <c r="I251" s="2" t="s">
        <v>212</v>
      </c>
      <c r="J251" t="s">
        <v>1350</v>
      </c>
      <c r="K251" s="2" t="s">
        <v>1352</v>
      </c>
      <c r="L251">
        <v>1276.6400000000001</v>
      </c>
    </row>
    <row r="252" spans="1:12" x14ac:dyDescent="0.25">
      <c r="A252">
        <v>572090</v>
      </c>
      <c r="B252">
        <f>IFERROR(INDEX(Table3[church_num],MATCH(ICCM_giving[[#This Row],[FamilyId]],Table3[dd_acct_id],0)),"")</f>
        <v>90320</v>
      </c>
      <c r="C252">
        <v>613955</v>
      </c>
      <c r="D252">
        <v>613955</v>
      </c>
      <c r="E252" s="2" t="s">
        <v>1346</v>
      </c>
      <c r="F252" s="2" t="s">
        <v>1347</v>
      </c>
      <c r="G252" s="2" t="s">
        <v>1348</v>
      </c>
      <c r="H252" s="2" t="s">
        <v>1349</v>
      </c>
      <c r="I252" s="2" t="s">
        <v>212</v>
      </c>
      <c r="J252" t="s">
        <v>1350</v>
      </c>
      <c r="K252" s="2" t="s">
        <v>1352</v>
      </c>
      <c r="L252">
        <v>1276.6400000000001</v>
      </c>
    </row>
    <row r="253" spans="1:12" x14ac:dyDescent="0.25">
      <c r="A253">
        <v>572091</v>
      </c>
      <c r="B253">
        <f>IFERROR(INDEX(Table3[church_num],MATCH(ICCM_giving[[#This Row],[FamilyId]],Table3[dd_acct_id],0)),"")</f>
        <v>390240</v>
      </c>
      <c r="C253">
        <v>614383</v>
      </c>
      <c r="D253">
        <v>614383</v>
      </c>
      <c r="E253" s="2" t="s">
        <v>1353</v>
      </c>
      <c r="F253" s="2" t="s">
        <v>1354</v>
      </c>
      <c r="G253" s="2" t="s">
        <v>1355</v>
      </c>
      <c r="H253" s="2" t="s">
        <v>1356</v>
      </c>
      <c r="I253" s="2" t="s">
        <v>192</v>
      </c>
      <c r="J253">
        <v>99209</v>
      </c>
      <c r="K253" s="2" t="s">
        <v>1358</v>
      </c>
      <c r="L253">
        <v>912</v>
      </c>
    </row>
    <row r="254" spans="1:12" x14ac:dyDescent="0.25">
      <c r="A254">
        <v>572092</v>
      </c>
      <c r="B254" t="str">
        <f>IFERROR(INDEX(Table3[church_num],MATCH(ICCM_giving[[#This Row],[FamilyId]],Table3[dd_acct_id],0)),"")</f>
        <v/>
      </c>
      <c r="C254">
        <v>618000</v>
      </c>
      <c r="D254">
        <v>618000</v>
      </c>
      <c r="E254" s="2" t="s">
        <v>1359</v>
      </c>
      <c r="F254" s="2" t="s">
        <v>1360</v>
      </c>
      <c r="G254" s="2" t="s">
        <v>1361</v>
      </c>
      <c r="H254" s="2" t="s">
        <v>1362</v>
      </c>
      <c r="I254" s="2"/>
      <c r="K254" s="2" t="s">
        <v>1366</v>
      </c>
      <c r="L254">
        <v>187846</v>
      </c>
    </row>
    <row r="255" spans="1:12" x14ac:dyDescent="0.25">
      <c r="A255">
        <v>572093</v>
      </c>
      <c r="B255">
        <f>IFERROR(INDEX(Table3[church_num],MATCH(ICCM_giving[[#This Row],[FamilyId]],Table3[dd_acct_id],0)),"")</f>
        <v>370310</v>
      </c>
      <c r="C255">
        <v>618977</v>
      </c>
      <c r="D255">
        <v>618977</v>
      </c>
      <c r="E255" s="2" t="s">
        <v>1367</v>
      </c>
      <c r="F255" s="2" t="s">
        <v>1368</v>
      </c>
      <c r="G255" s="2" t="s">
        <v>1369</v>
      </c>
      <c r="H255" s="2" t="s">
        <v>1370</v>
      </c>
      <c r="I255" s="2" t="s">
        <v>212</v>
      </c>
      <c r="J255">
        <v>49233</v>
      </c>
      <c r="K255" s="2" t="s">
        <v>1372</v>
      </c>
      <c r="L255">
        <v>2280</v>
      </c>
    </row>
    <row r="256" spans="1:12" x14ac:dyDescent="0.25">
      <c r="A256">
        <v>572094</v>
      </c>
      <c r="B256">
        <f>IFERROR(INDEX(Table3[church_num],MATCH(ICCM_giving[[#This Row],[FamilyId]],Table3[dd_acct_id],0)),"")</f>
        <v>390106</v>
      </c>
      <c r="C256">
        <v>620178</v>
      </c>
      <c r="D256">
        <v>620178</v>
      </c>
      <c r="E256" s="2" t="s">
        <v>1373</v>
      </c>
      <c r="F256" s="2" t="s">
        <v>1374</v>
      </c>
      <c r="G256" s="2"/>
      <c r="H256" s="2" t="s">
        <v>1375</v>
      </c>
      <c r="I256" s="2" t="s">
        <v>180</v>
      </c>
      <c r="J256" t="s">
        <v>1376</v>
      </c>
      <c r="K256" s="2" t="s">
        <v>1378</v>
      </c>
      <c r="L256">
        <v>390</v>
      </c>
    </row>
    <row r="257" spans="1:12" x14ac:dyDescent="0.25">
      <c r="A257">
        <v>572095</v>
      </c>
      <c r="B257">
        <f>IFERROR(INDEX(Table3[church_num],MATCH(ICCM_giving[[#This Row],[FamilyId]],Table3[dd_acct_id],0)),"")</f>
        <v>390106</v>
      </c>
      <c r="C257">
        <v>620178</v>
      </c>
      <c r="D257">
        <v>620178</v>
      </c>
      <c r="E257" s="2" t="s">
        <v>1373</v>
      </c>
      <c r="F257" s="2" t="s">
        <v>1374</v>
      </c>
      <c r="G257" s="2"/>
      <c r="H257" s="2" t="s">
        <v>1375</v>
      </c>
      <c r="I257" s="2" t="s">
        <v>180</v>
      </c>
      <c r="J257" t="s">
        <v>1376</v>
      </c>
      <c r="K257" s="2" t="s">
        <v>1378</v>
      </c>
      <c r="L257">
        <v>390</v>
      </c>
    </row>
    <row r="258" spans="1:12" x14ac:dyDescent="0.25">
      <c r="A258">
        <v>572096</v>
      </c>
      <c r="B258">
        <f>IFERROR(INDEX(Table3[church_num],MATCH(ICCM_giving[[#This Row],[FamilyId]],Table3[dd_acct_id],0)),"")</f>
        <v>370020</v>
      </c>
      <c r="C258">
        <v>624925</v>
      </c>
      <c r="D258">
        <v>624925</v>
      </c>
      <c r="E258" s="2" t="s">
        <v>1076</v>
      </c>
      <c r="F258" s="2" t="s">
        <v>1379</v>
      </c>
      <c r="G258" s="2" t="s">
        <v>1380</v>
      </c>
      <c r="H258" s="2" t="s">
        <v>1381</v>
      </c>
      <c r="I258" s="2" t="s">
        <v>212</v>
      </c>
      <c r="J258" t="s">
        <v>1382</v>
      </c>
      <c r="K258" s="2" t="s">
        <v>1384</v>
      </c>
      <c r="L258">
        <v>456</v>
      </c>
    </row>
    <row r="259" spans="1:12" x14ac:dyDescent="0.25">
      <c r="A259">
        <v>572097</v>
      </c>
      <c r="B259">
        <f>IFERROR(INDEX(Table3[church_num],MATCH(ICCM_giving[[#This Row],[FamilyId]],Table3[dd_acct_id],0)),"")</f>
        <v>340025</v>
      </c>
      <c r="C259">
        <v>624962</v>
      </c>
      <c r="D259">
        <v>624962</v>
      </c>
      <c r="E259" s="2" t="s">
        <v>1385</v>
      </c>
      <c r="F259" s="2" t="s">
        <v>1386</v>
      </c>
      <c r="G259" s="2" t="s">
        <v>1387</v>
      </c>
      <c r="H259" s="2" t="s">
        <v>1139</v>
      </c>
      <c r="I259" s="2" t="s">
        <v>1388</v>
      </c>
      <c r="J259" t="s">
        <v>1389</v>
      </c>
      <c r="K259" s="2" t="s">
        <v>1391</v>
      </c>
      <c r="L259">
        <v>380</v>
      </c>
    </row>
    <row r="260" spans="1:12" x14ac:dyDescent="0.25">
      <c r="A260">
        <v>572098</v>
      </c>
      <c r="B260">
        <f>IFERROR(INDEX(Table3[church_num],MATCH(ICCM_giving[[#This Row],[FamilyId]],Table3[dd_acct_id],0)),"")</f>
        <v>360070</v>
      </c>
      <c r="C260">
        <v>625142</v>
      </c>
      <c r="D260">
        <v>625142</v>
      </c>
      <c r="E260" s="2" t="s">
        <v>1392</v>
      </c>
      <c r="F260" s="2" t="s">
        <v>1393</v>
      </c>
      <c r="G260" s="2"/>
      <c r="H260" s="2" t="s">
        <v>1394</v>
      </c>
      <c r="I260" s="2" t="s">
        <v>105</v>
      </c>
      <c r="J260" t="s">
        <v>1395</v>
      </c>
      <c r="K260" s="2" t="s">
        <v>1397</v>
      </c>
      <c r="L260">
        <v>1000</v>
      </c>
    </row>
    <row r="261" spans="1:12" x14ac:dyDescent="0.25">
      <c r="A261">
        <v>572099</v>
      </c>
      <c r="B261" t="str">
        <f>IFERROR(INDEX(Table3[church_num],MATCH(ICCM_giving[[#This Row],[FamilyId]],Table3[dd_acct_id],0)),"")</f>
        <v/>
      </c>
      <c r="C261">
        <v>625336</v>
      </c>
      <c r="D261">
        <v>625336</v>
      </c>
      <c r="E261" s="2" t="s">
        <v>1398</v>
      </c>
      <c r="F261" s="2" t="s">
        <v>1399</v>
      </c>
      <c r="G261" s="2" t="s">
        <v>1400</v>
      </c>
      <c r="H261" s="2" t="s">
        <v>1401</v>
      </c>
      <c r="I261" s="2" t="s">
        <v>398</v>
      </c>
      <c r="J261" t="s">
        <v>1402</v>
      </c>
      <c r="K261" s="2" t="s">
        <v>1404</v>
      </c>
      <c r="L261">
        <v>570</v>
      </c>
    </row>
    <row r="262" spans="1:12" x14ac:dyDescent="0.25">
      <c r="A262">
        <v>572100</v>
      </c>
      <c r="B262">
        <f>IFERROR(INDEX(Table3[church_num],MATCH(ICCM_giving[[#This Row],[FamilyId]],Table3[dd_acct_id],0)),"")</f>
        <v>360220</v>
      </c>
      <c r="C262">
        <v>625401</v>
      </c>
      <c r="D262">
        <v>625401</v>
      </c>
      <c r="E262" s="2" t="s">
        <v>1405</v>
      </c>
      <c r="F262" s="2" t="s">
        <v>1406</v>
      </c>
      <c r="G262" s="2" t="s">
        <v>1407</v>
      </c>
      <c r="H262" s="2" t="s">
        <v>1408</v>
      </c>
      <c r="I262" s="2" t="s">
        <v>105</v>
      </c>
      <c r="J262" t="s">
        <v>1409</v>
      </c>
      <c r="K262" s="2" t="s">
        <v>1411</v>
      </c>
      <c r="L262">
        <v>456</v>
      </c>
    </row>
    <row r="263" spans="1:12" x14ac:dyDescent="0.25">
      <c r="A263">
        <v>572101</v>
      </c>
      <c r="B263" t="str">
        <f>IFERROR(INDEX(Table3[church_num],MATCH(ICCM_giving[[#This Row],[FamilyId]],Table3[dd_acct_id],0)),"")</f>
        <v/>
      </c>
      <c r="C263">
        <v>625599</v>
      </c>
      <c r="D263">
        <v>625599</v>
      </c>
      <c r="E263" s="2" t="s">
        <v>1412</v>
      </c>
      <c r="F263" s="2" t="s">
        <v>1413</v>
      </c>
      <c r="G263" s="2"/>
      <c r="H263" s="2" t="s">
        <v>1414</v>
      </c>
      <c r="I263" s="2" t="s">
        <v>212</v>
      </c>
      <c r="J263" t="s">
        <v>1415</v>
      </c>
      <c r="K263" s="2" t="s">
        <v>1417</v>
      </c>
      <c r="L263">
        <v>38</v>
      </c>
    </row>
    <row r="264" spans="1:12" x14ac:dyDescent="0.25">
      <c r="A264">
        <v>572102</v>
      </c>
      <c r="B264">
        <f>IFERROR(INDEX(Table3[church_num],MATCH(ICCM_giving[[#This Row],[FamilyId]],Table3[dd_acct_id],0)),"")</f>
        <v>150735</v>
      </c>
      <c r="C264">
        <v>625829</v>
      </c>
      <c r="D264">
        <v>625829</v>
      </c>
      <c r="E264" s="2" t="s">
        <v>1418</v>
      </c>
      <c r="F264" s="2" t="s">
        <v>1419</v>
      </c>
      <c r="G264" s="2" t="s">
        <v>1420</v>
      </c>
      <c r="H264" s="2" t="s">
        <v>1421</v>
      </c>
      <c r="I264" s="2" t="s">
        <v>406</v>
      </c>
      <c r="J264">
        <v>56308</v>
      </c>
      <c r="K264" s="2" t="s">
        <v>1423</v>
      </c>
      <c r="L264">
        <v>380</v>
      </c>
    </row>
    <row r="265" spans="1:12" x14ac:dyDescent="0.25">
      <c r="A265">
        <v>572103</v>
      </c>
      <c r="B265">
        <f>IFERROR(INDEX(Table3[church_num],MATCH(ICCM_giving[[#This Row],[FamilyId]],Table3[dd_acct_id],0)),"")</f>
        <v>240171</v>
      </c>
      <c r="C265">
        <v>625903</v>
      </c>
      <c r="D265">
        <v>625903</v>
      </c>
      <c r="E265" s="2" t="s">
        <v>1424</v>
      </c>
      <c r="F265" s="2" t="s">
        <v>1425</v>
      </c>
      <c r="G265" s="2" t="s">
        <v>1426</v>
      </c>
      <c r="H265" s="2" t="s">
        <v>1427</v>
      </c>
      <c r="I265" s="2" t="s">
        <v>698</v>
      </c>
      <c r="J265" t="s">
        <v>1428</v>
      </c>
      <c r="K265" s="2" t="s">
        <v>1430</v>
      </c>
      <c r="L265">
        <v>912</v>
      </c>
    </row>
    <row r="266" spans="1:12" x14ac:dyDescent="0.25">
      <c r="A266">
        <v>572104</v>
      </c>
      <c r="B266">
        <f>IFERROR(INDEX(Table3[church_num],MATCH(ICCM_giving[[#This Row],[FamilyId]],Table3[dd_acct_id],0)),"")</f>
        <v>150260</v>
      </c>
      <c r="C266">
        <v>626021</v>
      </c>
      <c r="D266">
        <v>626021</v>
      </c>
      <c r="E266" s="2" t="s">
        <v>1431</v>
      </c>
      <c r="F266" s="2" t="s">
        <v>1432</v>
      </c>
      <c r="G266" s="2" t="s">
        <v>1433</v>
      </c>
      <c r="H266" s="2" t="s">
        <v>1434</v>
      </c>
      <c r="I266" s="2" t="s">
        <v>451</v>
      </c>
      <c r="J266" t="s">
        <v>1435</v>
      </c>
      <c r="K266" s="2" t="s">
        <v>1437</v>
      </c>
      <c r="L266">
        <v>456</v>
      </c>
    </row>
    <row r="267" spans="1:12" x14ac:dyDescent="0.25">
      <c r="A267">
        <v>572105</v>
      </c>
      <c r="B267">
        <f>IFERROR(INDEX(Table3[church_num],MATCH(ICCM_giving[[#This Row],[FamilyId]],Table3[dd_acct_id],0)),"")</f>
        <v>190090</v>
      </c>
      <c r="C267">
        <v>626059</v>
      </c>
      <c r="D267">
        <v>626059</v>
      </c>
      <c r="E267" s="2" t="s">
        <v>1438</v>
      </c>
      <c r="F267" s="2" t="s">
        <v>1439</v>
      </c>
      <c r="G267" s="2"/>
      <c r="H267" s="2" t="s">
        <v>1440</v>
      </c>
      <c r="I267" s="2" t="s">
        <v>491</v>
      </c>
      <c r="J267" t="s">
        <v>1441</v>
      </c>
      <c r="K267" s="2" t="s">
        <v>1443</v>
      </c>
      <c r="L267">
        <v>456</v>
      </c>
    </row>
    <row r="268" spans="1:12" x14ac:dyDescent="0.25">
      <c r="A268">
        <v>572106</v>
      </c>
      <c r="B268" t="str">
        <f>IFERROR(INDEX(Table3[church_num],MATCH(ICCM_giving[[#This Row],[FamilyId]],Table3[dd_acct_id],0)),"")</f>
        <v/>
      </c>
      <c r="C268">
        <v>626392</v>
      </c>
      <c r="D268">
        <v>626392</v>
      </c>
      <c r="E268" s="2" t="s">
        <v>1444</v>
      </c>
      <c r="F268" s="2" t="s">
        <v>1445</v>
      </c>
      <c r="G268" s="2"/>
      <c r="H268" s="2" t="s">
        <v>1446</v>
      </c>
      <c r="I268" s="2" t="s">
        <v>192</v>
      </c>
      <c r="J268" t="s">
        <v>1447</v>
      </c>
      <c r="K268" s="2" t="s">
        <v>1449</v>
      </c>
      <c r="L268">
        <v>456</v>
      </c>
    </row>
    <row r="269" spans="1:12" x14ac:dyDescent="0.25">
      <c r="A269">
        <v>572107</v>
      </c>
      <c r="B269">
        <f>IFERROR(INDEX(Table3[church_num],MATCH(ICCM_giving[[#This Row],[FamilyId]],Table3[dd_acct_id],0)),"")</f>
        <v>90270</v>
      </c>
      <c r="C269">
        <v>626393</v>
      </c>
      <c r="D269">
        <v>626393</v>
      </c>
      <c r="E269" s="2" t="s">
        <v>1450</v>
      </c>
      <c r="F269" s="2" t="s">
        <v>1451</v>
      </c>
      <c r="G269" s="2"/>
      <c r="H269" s="2" t="s">
        <v>1452</v>
      </c>
      <c r="I269" s="2" t="s">
        <v>212</v>
      </c>
      <c r="J269" t="s">
        <v>1453</v>
      </c>
      <c r="K269" s="2" t="s">
        <v>1455</v>
      </c>
      <c r="L269">
        <v>836</v>
      </c>
    </row>
    <row r="270" spans="1:12" x14ac:dyDescent="0.25">
      <c r="A270">
        <v>572108</v>
      </c>
      <c r="B270">
        <f>IFERROR(INDEX(Table3[church_num],MATCH(ICCM_giving[[#This Row],[FamilyId]],Table3[dd_acct_id],0)),"")</f>
        <v>240070</v>
      </c>
      <c r="C270">
        <v>626659</v>
      </c>
      <c r="D270">
        <v>626659</v>
      </c>
      <c r="E270" s="2" t="s">
        <v>1456</v>
      </c>
      <c r="F270" s="2" t="s">
        <v>1457</v>
      </c>
      <c r="G270" s="2"/>
      <c r="H270" s="2" t="s">
        <v>1458</v>
      </c>
      <c r="I270" s="2" t="s">
        <v>579</v>
      </c>
      <c r="J270" t="s">
        <v>1459</v>
      </c>
      <c r="K270" s="2"/>
      <c r="L270">
        <v>1668</v>
      </c>
    </row>
    <row r="271" spans="1:12" x14ac:dyDescent="0.25">
      <c r="A271">
        <v>572109</v>
      </c>
      <c r="B271">
        <f>IFERROR(INDEX(Table3[church_num],MATCH(ICCM_giving[[#This Row],[FamilyId]],Table3[dd_acct_id],0)),"")</f>
        <v>270385</v>
      </c>
      <c r="C271">
        <v>626664</v>
      </c>
      <c r="D271">
        <v>626664</v>
      </c>
      <c r="E271" s="2" t="s">
        <v>1461</v>
      </c>
      <c r="F271" s="2" t="s">
        <v>1462</v>
      </c>
      <c r="G271" s="2"/>
      <c r="H271" s="2" t="s">
        <v>738</v>
      </c>
      <c r="I271" s="2" t="s">
        <v>579</v>
      </c>
      <c r="J271" t="s">
        <v>1463</v>
      </c>
      <c r="K271" s="2" t="s">
        <v>1465</v>
      </c>
      <c r="L271">
        <v>342</v>
      </c>
    </row>
    <row r="272" spans="1:12" x14ac:dyDescent="0.25">
      <c r="A272">
        <v>572110</v>
      </c>
      <c r="B272">
        <f>IFERROR(INDEX(Table3[church_num],MATCH(ICCM_giving[[#This Row],[FamilyId]],Table3[dd_acct_id],0)),"")</f>
        <v>330820</v>
      </c>
      <c r="C272">
        <v>626762</v>
      </c>
      <c r="D272">
        <v>626762</v>
      </c>
      <c r="E272" s="2" t="s">
        <v>1466</v>
      </c>
      <c r="F272" s="2" t="s">
        <v>1467</v>
      </c>
      <c r="G272" s="2"/>
      <c r="H272" s="2" t="s">
        <v>1468</v>
      </c>
      <c r="I272" s="2" t="s">
        <v>579</v>
      </c>
      <c r="J272" t="s">
        <v>1469</v>
      </c>
      <c r="K272" s="2" t="s">
        <v>1471</v>
      </c>
      <c r="L272">
        <v>756</v>
      </c>
    </row>
    <row r="273" spans="1:12" x14ac:dyDescent="0.25">
      <c r="A273">
        <v>572111</v>
      </c>
      <c r="B273">
        <f>IFERROR(INDEX(Table3[church_num],MATCH(ICCM_giving[[#This Row],[FamilyId]],Table3[dd_acct_id],0)),"")</f>
        <v>290030</v>
      </c>
      <c r="C273">
        <v>626787</v>
      </c>
      <c r="D273">
        <v>626787</v>
      </c>
      <c r="E273" s="2" t="s">
        <v>1472</v>
      </c>
      <c r="F273" s="2" t="s">
        <v>1473</v>
      </c>
      <c r="G273" s="2"/>
      <c r="H273" s="2" t="s">
        <v>1474</v>
      </c>
      <c r="I273" s="2" t="s">
        <v>809</v>
      </c>
      <c r="J273">
        <v>97123</v>
      </c>
      <c r="K273" s="2" t="s">
        <v>1476</v>
      </c>
      <c r="L273">
        <v>520.5</v>
      </c>
    </row>
    <row r="274" spans="1:12" x14ac:dyDescent="0.25">
      <c r="A274">
        <v>572112</v>
      </c>
      <c r="B274">
        <f>IFERROR(INDEX(Table3[church_num],MATCH(ICCM_giving[[#This Row],[FamilyId]],Table3[dd_acct_id],0)),"")</f>
        <v>290030</v>
      </c>
      <c r="C274">
        <v>626787</v>
      </c>
      <c r="D274">
        <v>626787</v>
      </c>
      <c r="E274" s="2" t="s">
        <v>1472</v>
      </c>
      <c r="F274" s="2" t="s">
        <v>1473</v>
      </c>
      <c r="G274" s="2"/>
      <c r="H274" s="2" t="s">
        <v>1474</v>
      </c>
      <c r="I274" s="2" t="s">
        <v>809</v>
      </c>
      <c r="J274">
        <v>97123</v>
      </c>
      <c r="K274" s="2" t="s">
        <v>1476</v>
      </c>
      <c r="L274">
        <v>520.5</v>
      </c>
    </row>
    <row r="275" spans="1:12" x14ac:dyDescent="0.25">
      <c r="A275">
        <v>572113</v>
      </c>
      <c r="B275">
        <f>IFERROR(INDEX(Table3[church_num],MATCH(ICCM_giving[[#This Row],[FamilyId]],Table3[dd_acct_id],0)),"")</f>
        <v>270270</v>
      </c>
      <c r="C275">
        <v>626812</v>
      </c>
      <c r="D275">
        <v>626812</v>
      </c>
      <c r="E275" s="2" t="s">
        <v>1477</v>
      </c>
      <c r="F275" s="2" t="s">
        <v>1478</v>
      </c>
      <c r="G275" s="2"/>
      <c r="H275" s="2" t="s">
        <v>1479</v>
      </c>
      <c r="I275" s="2" t="s">
        <v>579</v>
      </c>
      <c r="J275" t="s">
        <v>1480</v>
      </c>
      <c r="K275" s="2"/>
      <c r="L275">
        <v>1080</v>
      </c>
    </row>
    <row r="276" spans="1:12" x14ac:dyDescent="0.25">
      <c r="A276">
        <v>572114</v>
      </c>
      <c r="B276" t="str">
        <f>IFERROR(INDEX(Table3[church_num],MATCH(ICCM_giving[[#This Row],[FamilyId]],Table3[dd_acct_id],0)),"")</f>
        <v/>
      </c>
      <c r="C276">
        <v>626815</v>
      </c>
      <c r="D276">
        <v>626815</v>
      </c>
      <c r="E276" s="2" t="s">
        <v>1482</v>
      </c>
      <c r="F276" s="2" t="s">
        <v>1483</v>
      </c>
      <c r="G276" s="2"/>
      <c r="H276" s="2" t="s">
        <v>1484</v>
      </c>
      <c r="I276" s="2" t="s">
        <v>307</v>
      </c>
      <c r="J276" t="s">
        <v>1485</v>
      </c>
      <c r="K276" s="2"/>
      <c r="L276">
        <v>912</v>
      </c>
    </row>
    <row r="277" spans="1:12" x14ac:dyDescent="0.25">
      <c r="A277">
        <v>572115</v>
      </c>
      <c r="B277">
        <f>IFERROR(INDEX(Table3[church_num],MATCH(ICCM_giving[[#This Row],[FamilyId]],Table3[dd_acct_id],0)),"")</f>
        <v>290340</v>
      </c>
      <c r="C277">
        <v>626975</v>
      </c>
      <c r="D277">
        <v>626975</v>
      </c>
      <c r="E277" s="2" t="s">
        <v>1487</v>
      </c>
      <c r="F277" s="2" t="s">
        <v>1489</v>
      </c>
      <c r="G277" s="2"/>
      <c r="H277" s="2" t="s">
        <v>1490</v>
      </c>
      <c r="I277" s="2" t="s">
        <v>809</v>
      </c>
      <c r="J277" t="s">
        <v>1491</v>
      </c>
      <c r="K277" s="2" t="s">
        <v>1493</v>
      </c>
      <c r="L277">
        <v>360</v>
      </c>
    </row>
    <row r="278" spans="1:12" x14ac:dyDescent="0.25">
      <c r="A278">
        <v>572116</v>
      </c>
      <c r="B278" t="str">
        <f>IFERROR(INDEX(Table3[church_num],MATCH(ICCM_giving[[#This Row],[FamilyId]],Table3[dd_acct_id],0)),"")</f>
        <v/>
      </c>
      <c r="C278">
        <v>626987</v>
      </c>
      <c r="D278">
        <v>0</v>
      </c>
      <c r="E278" s="2"/>
      <c r="F278" s="2" t="s">
        <v>1496</v>
      </c>
      <c r="G278" s="2"/>
      <c r="H278" s="2" t="s">
        <v>1497</v>
      </c>
      <c r="I278" s="2" t="s">
        <v>809</v>
      </c>
      <c r="J278">
        <v>97741</v>
      </c>
      <c r="K278" s="2" t="s">
        <v>1500</v>
      </c>
      <c r="L278">
        <v>456</v>
      </c>
    </row>
    <row r="279" spans="1:12" x14ac:dyDescent="0.25">
      <c r="A279">
        <v>572117</v>
      </c>
      <c r="B279">
        <f>IFERROR(INDEX(Table3[church_num],MATCH(ICCM_giving[[#This Row],[FamilyId]],Table3[dd_acct_id],0)),"")</f>
        <v>90610</v>
      </c>
      <c r="C279">
        <v>627050</v>
      </c>
      <c r="D279">
        <v>627050</v>
      </c>
      <c r="E279" s="2" t="s">
        <v>1501</v>
      </c>
      <c r="F279" s="2" t="s">
        <v>1502</v>
      </c>
      <c r="G279" s="2"/>
      <c r="H279" s="2" t="s">
        <v>1503</v>
      </c>
      <c r="I279" s="2" t="s">
        <v>212</v>
      </c>
      <c r="J279" t="s">
        <v>1504</v>
      </c>
      <c r="K279" s="2" t="s">
        <v>1506</v>
      </c>
      <c r="L279">
        <v>1212</v>
      </c>
    </row>
    <row r="280" spans="1:12" x14ac:dyDescent="0.25">
      <c r="A280">
        <v>572118</v>
      </c>
      <c r="B280">
        <f>IFERROR(INDEX(Table3[church_num],MATCH(ICCM_giving[[#This Row],[FamilyId]],Table3[dd_acct_id],0)),"")</f>
        <v>90610</v>
      </c>
      <c r="C280">
        <v>627050</v>
      </c>
      <c r="D280">
        <v>627050</v>
      </c>
      <c r="E280" s="2" t="s">
        <v>1501</v>
      </c>
      <c r="F280" s="2" t="s">
        <v>1502</v>
      </c>
      <c r="G280" s="2"/>
      <c r="H280" s="2" t="s">
        <v>1503</v>
      </c>
      <c r="I280" s="2" t="s">
        <v>212</v>
      </c>
      <c r="J280" t="s">
        <v>1504</v>
      </c>
      <c r="K280" s="2" t="s">
        <v>1506</v>
      </c>
      <c r="L280">
        <v>1212</v>
      </c>
    </row>
    <row r="281" spans="1:12" x14ac:dyDescent="0.25">
      <c r="A281">
        <v>572119</v>
      </c>
      <c r="B281">
        <f>IFERROR(INDEX(Table3[church_num],MATCH(ICCM_giving[[#This Row],[FamilyId]],Table3[dd_acct_id],0)),"")</f>
        <v>90610</v>
      </c>
      <c r="C281">
        <v>627050</v>
      </c>
      <c r="D281">
        <v>627050</v>
      </c>
      <c r="E281" s="2" t="s">
        <v>1501</v>
      </c>
      <c r="F281" s="2" t="s">
        <v>1502</v>
      </c>
      <c r="G281" s="2"/>
      <c r="H281" s="2" t="s">
        <v>1503</v>
      </c>
      <c r="I281" s="2" t="s">
        <v>212</v>
      </c>
      <c r="J281" t="s">
        <v>1504</v>
      </c>
      <c r="K281" s="2" t="s">
        <v>1506</v>
      </c>
      <c r="L281">
        <v>1212</v>
      </c>
    </row>
    <row r="282" spans="1:12" x14ac:dyDescent="0.25">
      <c r="A282">
        <v>572120</v>
      </c>
      <c r="B282" t="str">
        <f>IFERROR(INDEX(Table3[church_num],MATCH(ICCM_giving[[#This Row],[FamilyId]],Table3[dd_acct_id],0)),"")</f>
        <v/>
      </c>
      <c r="C282">
        <v>627093</v>
      </c>
      <c r="D282">
        <v>627093</v>
      </c>
      <c r="E282" s="2" t="s">
        <v>1507</v>
      </c>
      <c r="F282" s="2" t="s">
        <v>1508</v>
      </c>
      <c r="G282" s="2"/>
      <c r="H282" s="2" t="s">
        <v>1509</v>
      </c>
      <c r="I282" s="2" t="s">
        <v>124</v>
      </c>
      <c r="J282">
        <v>14420</v>
      </c>
      <c r="K282" s="2" t="s">
        <v>1511</v>
      </c>
      <c r="L282">
        <v>456</v>
      </c>
    </row>
    <row r="283" spans="1:12" x14ac:dyDescent="0.25">
      <c r="A283">
        <v>572121</v>
      </c>
      <c r="B283">
        <f>IFERROR(INDEX(Table3[church_num],MATCH(ICCM_giving[[#This Row],[FamilyId]],Table3[dd_acct_id],0)),"")</f>
        <v>330090</v>
      </c>
      <c r="C283">
        <v>627105</v>
      </c>
      <c r="D283">
        <v>627105</v>
      </c>
      <c r="E283" s="2" t="s">
        <v>1512</v>
      </c>
      <c r="F283" s="2" t="s">
        <v>1513</v>
      </c>
      <c r="G283" s="2"/>
      <c r="H283" s="2" t="s">
        <v>1514</v>
      </c>
      <c r="I283" s="2" t="s">
        <v>579</v>
      </c>
      <c r="J283" t="s">
        <v>1515</v>
      </c>
      <c r="K283" s="2"/>
      <c r="L283">
        <v>1320</v>
      </c>
    </row>
    <row r="284" spans="1:12" x14ac:dyDescent="0.25">
      <c r="A284">
        <v>572122</v>
      </c>
      <c r="B284">
        <f>IFERROR(INDEX(Table3[church_num],MATCH(ICCM_giving[[#This Row],[FamilyId]],Table3[dd_acct_id],0)),"")</f>
        <v>330090</v>
      </c>
      <c r="C284">
        <v>627105</v>
      </c>
      <c r="D284">
        <v>627105</v>
      </c>
      <c r="E284" s="2" t="s">
        <v>1512</v>
      </c>
      <c r="F284" s="2" t="s">
        <v>1513</v>
      </c>
      <c r="G284" s="2"/>
      <c r="H284" s="2" t="s">
        <v>1514</v>
      </c>
      <c r="I284" s="2" t="s">
        <v>579</v>
      </c>
      <c r="J284" t="s">
        <v>1515</v>
      </c>
      <c r="K284" s="2"/>
      <c r="L284">
        <v>1320</v>
      </c>
    </row>
    <row r="285" spans="1:12" x14ac:dyDescent="0.25">
      <c r="A285">
        <v>572123</v>
      </c>
      <c r="B285">
        <f>IFERROR(INDEX(Table3[church_num],MATCH(ICCM_giving[[#This Row],[FamilyId]],Table3[dd_acct_id],0)),"")</f>
        <v>330090</v>
      </c>
      <c r="C285">
        <v>627105</v>
      </c>
      <c r="D285">
        <v>627105</v>
      </c>
      <c r="E285" s="2" t="s">
        <v>1512</v>
      </c>
      <c r="F285" s="2" t="s">
        <v>1513</v>
      </c>
      <c r="G285" s="2"/>
      <c r="H285" s="2" t="s">
        <v>1514</v>
      </c>
      <c r="I285" s="2" t="s">
        <v>579</v>
      </c>
      <c r="J285" t="s">
        <v>1515</v>
      </c>
      <c r="K285" s="2"/>
      <c r="L285">
        <v>1320</v>
      </c>
    </row>
    <row r="286" spans="1:12" x14ac:dyDescent="0.25">
      <c r="A286">
        <v>572124</v>
      </c>
      <c r="B286">
        <f>IFERROR(INDEX(Table3[church_num],MATCH(ICCM_giving[[#This Row],[FamilyId]],Table3[dd_acct_id],0)),"")</f>
        <v>150745</v>
      </c>
      <c r="C286">
        <v>627309</v>
      </c>
      <c r="D286">
        <v>627309</v>
      </c>
      <c r="E286" s="2" t="s">
        <v>1517</v>
      </c>
      <c r="F286" s="2" t="s">
        <v>1518</v>
      </c>
      <c r="G286" s="2"/>
      <c r="H286" s="2" t="s">
        <v>1519</v>
      </c>
      <c r="I286" s="2" t="s">
        <v>451</v>
      </c>
      <c r="J286" t="s">
        <v>1520</v>
      </c>
      <c r="K286" s="2" t="s">
        <v>1522</v>
      </c>
      <c r="L286">
        <v>456</v>
      </c>
    </row>
    <row r="287" spans="1:12" x14ac:dyDescent="0.25">
      <c r="A287">
        <v>572125</v>
      </c>
      <c r="B287">
        <f>IFERROR(INDEX(Table3[church_num],MATCH(ICCM_giving[[#This Row],[FamilyId]],Table3[dd_acct_id],0)),"")</f>
        <v>340090</v>
      </c>
      <c r="C287">
        <v>627320</v>
      </c>
      <c r="D287">
        <v>627320</v>
      </c>
      <c r="E287" s="2" t="s">
        <v>1523</v>
      </c>
      <c r="F287" s="2" t="s">
        <v>1524</v>
      </c>
      <c r="G287" s="2"/>
      <c r="H287" s="2" t="s">
        <v>1525</v>
      </c>
      <c r="I287" s="2" t="s">
        <v>307</v>
      </c>
      <c r="J287" t="s">
        <v>1526</v>
      </c>
      <c r="K287" s="2" t="s">
        <v>1528</v>
      </c>
      <c r="L287">
        <v>456</v>
      </c>
    </row>
    <row r="288" spans="1:12" x14ac:dyDescent="0.25">
      <c r="A288">
        <v>572126</v>
      </c>
      <c r="B288">
        <f>IFERROR(INDEX(Table3[church_num],MATCH(ICCM_giving[[#This Row],[FamilyId]],Table3[dd_acct_id],0)),"")</f>
        <v>340092</v>
      </c>
      <c r="C288">
        <v>627438</v>
      </c>
      <c r="D288">
        <v>627438</v>
      </c>
      <c r="E288" s="2" t="s">
        <v>1529</v>
      </c>
      <c r="F288" s="2" t="s">
        <v>1530</v>
      </c>
      <c r="G288" s="2"/>
      <c r="H288" s="2" t="s">
        <v>1531</v>
      </c>
      <c r="I288" s="2" t="s">
        <v>307</v>
      </c>
      <c r="J288" t="s">
        <v>1532</v>
      </c>
      <c r="K288" s="2" t="s">
        <v>1534</v>
      </c>
      <c r="L288">
        <v>912</v>
      </c>
    </row>
    <row r="289" spans="1:12" x14ac:dyDescent="0.25">
      <c r="A289">
        <v>572127</v>
      </c>
      <c r="B289">
        <f>IFERROR(INDEX(Table3[church_num],MATCH(ICCM_giving[[#This Row],[FamilyId]],Table3[dd_acct_id],0)),"")</f>
        <v>290372</v>
      </c>
      <c r="C289">
        <v>627907</v>
      </c>
      <c r="D289">
        <v>627907</v>
      </c>
      <c r="E289" s="2" t="s">
        <v>1535</v>
      </c>
      <c r="F289" s="2" t="s">
        <v>1536</v>
      </c>
      <c r="G289" s="2"/>
      <c r="H289" s="2" t="s">
        <v>1537</v>
      </c>
      <c r="I289" s="2" t="s">
        <v>809</v>
      </c>
      <c r="J289" t="s">
        <v>1538</v>
      </c>
      <c r="K289" s="2" t="s">
        <v>1540</v>
      </c>
      <c r="L289">
        <v>1500</v>
      </c>
    </row>
    <row r="290" spans="1:12" x14ac:dyDescent="0.25">
      <c r="A290">
        <v>572128</v>
      </c>
      <c r="B290" t="str">
        <f>IFERROR(INDEX(Table3[church_num],MATCH(ICCM_giving[[#This Row],[FamilyId]],Table3[dd_acct_id],0)),"")</f>
        <v/>
      </c>
      <c r="C290">
        <v>4000304</v>
      </c>
      <c r="D290">
        <v>4000304</v>
      </c>
      <c r="E290" s="2" t="s">
        <v>1541</v>
      </c>
      <c r="F290" s="2" t="s">
        <v>1542</v>
      </c>
      <c r="G290" s="2"/>
      <c r="H290" s="2" t="s">
        <v>1543</v>
      </c>
      <c r="I290" s="2" t="s">
        <v>124</v>
      </c>
      <c r="J290" t="s">
        <v>1544</v>
      </c>
      <c r="K290" s="2" t="s">
        <v>1546</v>
      </c>
      <c r="L290">
        <v>456</v>
      </c>
    </row>
    <row r="291" spans="1:12" x14ac:dyDescent="0.25">
      <c r="A291">
        <v>572129</v>
      </c>
      <c r="B291">
        <f>IFERROR(INDEX(Table3[church_num],MATCH(ICCM_giving[[#This Row],[FamilyId]],Table3[dd_acct_id],0)),"")</f>
        <v>330260</v>
      </c>
      <c r="C291">
        <v>4001046</v>
      </c>
      <c r="D291">
        <v>4001046</v>
      </c>
      <c r="E291" s="2" t="s">
        <v>1547</v>
      </c>
      <c r="F291" s="2" t="s">
        <v>1548</v>
      </c>
      <c r="G291" s="2"/>
      <c r="H291" s="2" t="s">
        <v>1549</v>
      </c>
      <c r="I291" s="2" t="s">
        <v>579</v>
      </c>
      <c r="J291">
        <v>15601</v>
      </c>
      <c r="K291" s="2" t="s">
        <v>1551</v>
      </c>
      <c r="L291">
        <v>456</v>
      </c>
    </row>
    <row r="292" spans="1:12" x14ac:dyDescent="0.25">
      <c r="A292">
        <v>572130</v>
      </c>
      <c r="B292" t="str">
        <f>IFERROR(INDEX(Table3[church_num],MATCH(ICCM_giving[[#This Row],[FamilyId]],Table3[dd_acct_id],0)),"")</f>
        <v/>
      </c>
      <c r="C292">
        <v>4001304</v>
      </c>
      <c r="D292">
        <v>4001304</v>
      </c>
      <c r="E292" s="2" t="s">
        <v>462</v>
      </c>
      <c r="F292" s="2" t="s">
        <v>1552</v>
      </c>
      <c r="G292" s="2"/>
      <c r="H292" s="2" t="s">
        <v>1553</v>
      </c>
      <c r="I292" s="2" t="s">
        <v>466</v>
      </c>
      <c r="J292">
        <v>66502</v>
      </c>
      <c r="K292" s="2" t="s">
        <v>1555</v>
      </c>
      <c r="L292">
        <v>660</v>
      </c>
    </row>
    <row r="293" spans="1:12" x14ac:dyDescent="0.25">
      <c r="A293">
        <v>572131</v>
      </c>
      <c r="B293" t="str">
        <f>IFERROR(INDEX(Table3[church_num],MATCH(ICCM_giving[[#This Row],[FamilyId]],Table3[dd_acct_id],0)),"")</f>
        <v/>
      </c>
      <c r="C293">
        <v>5006468</v>
      </c>
      <c r="D293">
        <v>0</v>
      </c>
      <c r="E293" s="2"/>
      <c r="F293" s="2" t="s">
        <v>1558</v>
      </c>
      <c r="G293" s="2"/>
      <c r="H293" s="2" t="s">
        <v>1559</v>
      </c>
      <c r="I293" s="2" t="s">
        <v>212</v>
      </c>
      <c r="J293" t="s">
        <v>1560</v>
      </c>
      <c r="K293" s="2" t="s">
        <v>1563</v>
      </c>
      <c r="L293">
        <v>456</v>
      </c>
    </row>
    <row r="294" spans="1:12" x14ac:dyDescent="0.25">
      <c r="A294">
        <v>572132</v>
      </c>
      <c r="B294" t="str">
        <f>IFERROR(INDEX(Table3[church_num],MATCH(ICCM_giving[[#This Row],[FamilyId]],Table3[dd_acct_id],0)),"")</f>
        <v/>
      </c>
      <c r="C294">
        <v>5022593</v>
      </c>
      <c r="D294">
        <v>5022593</v>
      </c>
      <c r="E294" s="2" t="s">
        <v>1564</v>
      </c>
      <c r="F294" s="2" t="s">
        <v>1565</v>
      </c>
      <c r="G294" s="2" t="s">
        <v>1566</v>
      </c>
      <c r="H294" s="2" t="s">
        <v>1567</v>
      </c>
      <c r="I294" s="2" t="s">
        <v>1058</v>
      </c>
      <c r="J294">
        <v>79601</v>
      </c>
      <c r="K294" s="2" t="s">
        <v>1569</v>
      </c>
      <c r="L294">
        <v>456</v>
      </c>
    </row>
    <row r="295" spans="1:12" x14ac:dyDescent="0.25">
      <c r="A295">
        <v>572133</v>
      </c>
      <c r="B295">
        <f>IFERROR(INDEX(Table3[church_num],MATCH(ICCM_giving[[#This Row],[FamilyId]],Table3[dd_acct_id],0)),"")</f>
        <v>420108</v>
      </c>
      <c r="C295">
        <v>5022657</v>
      </c>
      <c r="D295">
        <v>5022657</v>
      </c>
      <c r="E295" s="2" t="s">
        <v>1570</v>
      </c>
      <c r="F295" s="2" t="s">
        <v>1571</v>
      </c>
      <c r="G295" s="2"/>
      <c r="H295" s="2" t="s">
        <v>1572</v>
      </c>
      <c r="I295" s="2" t="s">
        <v>153</v>
      </c>
      <c r="J295">
        <v>61920</v>
      </c>
      <c r="K295" s="2" t="s">
        <v>1574</v>
      </c>
      <c r="L295">
        <v>456</v>
      </c>
    </row>
    <row r="296" spans="1:12" x14ac:dyDescent="0.25">
      <c r="A296">
        <v>572134</v>
      </c>
      <c r="B296">
        <f>IFERROR(INDEX(Table3[church_num],MATCH(ICCM_giving[[#This Row],[FamilyId]],Table3[dd_acct_id],0)),"")</f>
        <v>90790</v>
      </c>
      <c r="C296">
        <v>5023827</v>
      </c>
      <c r="D296">
        <v>5023827</v>
      </c>
      <c r="E296" s="2" t="s">
        <v>1575</v>
      </c>
      <c r="F296" s="2" t="s">
        <v>1576</v>
      </c>
      <c r="G296" s="2"/>
      <c r="H296" s="2" t="s">
        <v>1577</v>
      </c>
      <c r="I296" s="2" t="s">
        <v>212</v>
      </c>
      <c r="J296" t="s">
        <v>1578</v>
      </c>
      <c r="K296" s="2"/>
      <c r="L296">
        <v>456</v>
      </c>
    </row>
    <row r="297" spans="1:12" x14ac:dyDescent="0.25">
      <c r="A297">
        <v>572135</v>
      </c>
      <c r="B297" t="str">
        <f>IFERROR(INDEX(Table3[church_num],MATCH(ICCM_giving[[#This Row],[FamilyId]],Table3[dd_acct_id],0)),"")</f>
        <v/>
      </c>
      <c r="C297">
        <v>5023833</v>
      </c>
      <c r="D297">
        <v>5023833</v>
      </c>
      <c r="E297" s="2" t="s">
        <v>1580</v>
      </c>
      <c r="F297" s="2" t="s">
        <v>1581</v>
      </c>
      <c r="G297" s="2"/>
      <c r="H297" s="2" t="s">
        <v>174</v>
      </c>
      <c r="I297" s="2" t="s">
        <v>153</v>
      </c>
      <c r="J297">
        <v>62246</v>
      </c>
      <c r="K297" s="2" t="s">
        <v>1582</v>
      </c>
      <c r="L297">
        <v>700</v>
      </c>
    </row>
    <row r="298" spans="1:12" x14ac:dyDescent="0.25">
      <c r="A298">
        <v>572136</v>
      </c>
      <c r="B298">
        <f>IFERROR(INDEX(Table3[church_num],MATCH(ICCM_giving[[#This Row],[FamilyId]],Table3[dd_acct_id],0)),"")</f>
        <v>30190</v>
      </c>
      <c r="C298">
        <v>5024695</v>
      </c>
      <c r="D298">
        <v>5024695</v>
      </c>
      <c r="E298" s="2" t="s">
        <v>102</v>
      </c>
      <c r="F298" s="2" t="s">
        <v>1583</v>
      </c>
      <c r="G298" s="2" t="s">
        <v>103</v>
      </c>
      <c r="H298" s="2" t="s">
        <v>104</v>
      </c>
      <c r="I298" s="2" t="s">
        <v>105</v>
      </c>
      <c r="J298">
        <v>95966</v>
      </c>
      <c r="K298" s="2" t="s">
        <v>1584</v>
      </c>
      <c r="L298">
        <v>1368</v>
      </c>
    </row>
    <row r="299" spans="1:12" x14ac:dyDescent="0.25">
      <c r="A299">
        <v>572137</v>
      </c>
      <c r="B299" t="str">
        <f>IFERROR(INDEX(Table3[church_num],MATCH(ICCM_giving[[#This Row],[FamilyId]],Table3[dd_acct_id],0)),"")</f>
        <v/>
      </c>
      <c r="C299">
        <v>5025047</v>
      </c>
      <c r="D299">
        <v>5025047</v>
      </c>
      <c r="E299" s="2" t="s">
        <v>1585</v>
      </c>
      <c r="F299" s="2" t="s">
        <v>1586</v>
      </c>
      <c r="G299" s="2" t="s">
        <v>1587</v>
      </c>
      <c r="H299" s="2" t="s">
        <v>1588</v>
      </c>
      <c r="I299" s="2" t="s">
        <v>212</v>
      </c>
      <c r="J299">
        <v>48457</v>
      </c>
      <c r="K299" s="2"/>
      <c r="L299">
        <v>456</v>
      </c>
    </row>
    <row r="300" spans="1:12" x14ac:dyDescent="0.25">
      <c r="A300">
        <v>572138</v>
      </c>
      <c r="B300" t="str">
        <f>IFERROR(INDEX(Table3[church_num],MATCH(ICCM_giving[[#This Row],[FamilyId]],Table3[dd_acct_id],0)),"")</f>
        <v/>
      </c>
      <c r="C300">
        <v>5025631</v>
      </c>
      <c r="D300">
        <v>5025631</v>
      </c>
      <c r="E300" s="2" t="s">
        <v>1590</v>
      </c>
      <c r="F300" s="2" t="s">
        <v>1591</v>
      </c>
      <c r="G300" s="2"/>
      <c r="H300" s="2" t="s">
        <v>1592</v>
      </c>
      <c r="I300" s="2" t="s">
        <v>212</v>
      </c>
      <c r="J300">
        <v>49307</v>
      </c>
      <c r="K300" s="2" t="s">
        <v>1594</v>
      </c>
      <c r="L300">
        <v>356</v>
      </c>
    </row>
    <row r="301" spans="1:12" x14ac:dyDescent="0.25">
      <c r="A301">
        <v>572139</v>
      </c>
      <c r="B301" t="str">
        <f>IFERROR(INDEX(Table3[church_num],MATCH(ICCM_giving[[#This Row],[FamilyId]],Table3[dd_acct_id],0)),"")</f>
        <v/>
      </c>
      <c r="C301">
        <v>5025958</v>
      </c>
      <c r="D301">
        <v>5025958</v>
      </c>
      <c r="E301" s="2" t="s">
        <v>1595</v>
      </c>
      <c r="F301" s="2" t="s">
        <v>1596</v>
      </c>
      <c r="G301" s="2" t="s">
        <v>1597</v>
      </c>
      <c r="H301" s="2" t="s">
        <v>1599</v>
      </c>
      <c r="I301" s="2" t="s">
        <v>1086</v>
      </c>
      <c r="J301">
        <v>46241</v>
      </c>
      <c r="K301" s="2"/>
      <c r="L301">
        <v>664</v>
      </c>
    </row>
    <row r="302" spans="1:12" x14ac:dyDescent="0.25">
      <c r="A302">
        <v>572140</v>
      </c>
      <c r="B302" t="str">
        <f>IFERROR(INDEX(Table3[church_num],MATCH(ICCM_giving[[#This Row],[FamilyId]],Table3[dd_acct_id],0)),"")</f>
        <v/>
      </c>
      <c r="C302">
        <v>5026235</v>
      </c>
      <c r="D302">
        <v>5026235</v>
      </c>
      <c r="E302" s="2" t="s">
        <v>1601</v>
      </c>
      <c r="F302" s="2" t="s">
        <v>1602</v>
      </c>
      <c r="G302" s="2"/>
      <c r="H302" s="2" t="s">
        <v>1603</v>
      </c>
      <c r="I302" s="2" t="s">
        <v>579</v>
      </c>
      <c r="J302">
        <v>16364</v>
      </c>
      <c r="K302" s="2" t="s">
        <v>1605</v>
      </c>
      <c r="L302">
        <v>143</v>
      </c>
    </row>
    <row r="303" spans="1:12" x14ac:dyDescent="0.25">
      <c r="A303">
        <v>572141</v>
      </c>
      <c r="B303" t="str">
        <f>IFERROR(INDEX(Table3[church_num],MATCH(ICCM_giving[[#This Row],[FamilyId]],Table3[dd_acct_id],0)),"")</f>
        <v/>
      </c>
      <c r="C303">
        <v>5026237</v>
      </c>
      <c r="D303">
        <v>5026237</v>
      </c>
      <c r="E303" s="2" t="s">
        <v>1606</v>
      </c>
      <c r="F303" s="2" t="s">
        <v>1607</v>
      </c>
      <c r="G303" s="2"/>
      <c r="H303" s="2" t="s">
        <v>1608</v>
      </c>
      <c r="I303" s="2" t="s">
        <v>1609</v>
      </c>
      <c r="J303">
        <v>39367</v>
      </c>
      <c r="K303" s="2" t="s">
        <v>1611</v>
      </c>
      <c r="L303">
        <v>456</v>
      </c>
    </row>
    <row r="304" spans="1:12" x14ac:dyDescent="0.25">
      <c r="A304">
        <v>572142</v>
      </c>
      <c r="B304">
        <f>IFERROR(INDEX(Table3[church_num],MATCH(ICCM_giving[[#This Row],[FamilyId]],Table3[dd_acct_id],0)),"")</f>
        <v>120398</v>
      </c>
      <c r="C304">
        <v>5026364</v>
      </c>
      <c r="D304">
        <v>5026364</v>
      </c>
      <c r="E304" s="2" t="s">
        <v>1612</v>
      </c>
      <c r="F304" s="2" t="s">
        <v>1613</v>
      </c>
      <c r="G304" s="2"/>
      <c r="H304" s="2" t="s">
        <v>376</v>
      </c>
      <c r="I304" s="2" t="s">
        <v>124</v>
      </c>
      <c r="J304">
        <v>14620</v>
      </c>
      <c r="K304" s="2" t="s">
        <v>1615</v>
      </c>
      <c r="L304">
        <v>11565</v>
      </c>
    </row>
    <row r="305" spans="1:12" x14ac:dyDescent="0.25">
      <c r="A305">
        <v>572143</v>
      </c>
      <c r="B305" t="str">
        <f>IFERROR(INDEX(Table3[church_num],MATCH(ICCM_giving[[#This Row],[FamilyId]],Table3[dd_acct_id],0)),"")</f>
        <v/>
      </c>
      <c r="C305">
        <v>5026367</v>
      </c>
      <c r="D305">
        <v>5026367</v>
      </c>
      <c r="E305" s="2" t="s">
        <v>1616</v>
      </c>
      <c r="F305" s="2" t="s">
        <v>1617</v>
      </c>
      <c r="G305" s="2"/>
      <c r="H305" s="2" t="s">
        <v>1618</v>
      </c>
      <c r="I305" s="2" t="s">
        <v>1609</v>
      </c>
      <c r="J305">
        <v>39367</v>
      </c>
      <c r="K305" s="2" t="s">
        <v>1620</v>
      </c>
      <c r="L305">
        <v>456</v>
      </c>
    </row>
    <row r="306" spans="1:12" x14ac:dyDescent="0.25">
      <c r="A306">
        <v>572144</v>
      </c>
      <c r="B306">
        <f>IFERROR(INDEX(Table3[church_num],MATCH(ICCM_giving[[#This Row],[FamilyId]],Table3[dd_acct_id],0)),"")</f>
        <v>370220</v>
      </c>
      <c r="C306">
        <v>5026611</v>
      </c>
      <c r="D306">
        <v>5026611</v>
      </c>
      <c r="E306" s="2" t="s">
        <v>1621</v>
      </c>
      <c r="F306" s="2" t="s">
        <v>1622</v>
      </c>
      <c r="G306" s="2"/>
      <c r="H306" s="2" t="s">
        <v>1623</v>
      </c>
      <c r="I306" s="2" t="s">
        <v>212</v>
      </c>
      <c r="J306">
        <v>48160</v>
      </c>
      <c r="K306" s="2" t="s">
        <v>1625</v>
      </c>
      <c r="L306">
        <v>250</v>
      </c>
    </row>
    <row r="307" spans="1:12" x14ac:dyDescent="0.25">
      <c r="A307">
        <v>572145</v>
      </c>
      <c r="B307">
        <f>IFERROR(INDEX(Table3[church_num],MATCH(ICCM_giving[[#This Row],[FamilyId]],Table3[dd_acct_id],0)),"")</f>
        <v>340028</v>
      </c>
      <c r="C307">
        <v>5026688</v>
      </c>
      <c r="D307">
        <v>5026688</v>
      </c>
      <c r="E307" s="2" t="s">
        <v>1626</v>
      </c>
      <c r="F307" s="2" t="s">
        <v>1627</v>
      </c>
      <c r="G307" s="2"/>
      <c r="H307" s="2" t="s">
        <v>1628</v>
      </c>
      <c r="I307" s="2" t="s">
        <v>1629</v>
      </c>
      <c r="J307">
        <v>35055</v>
      </c>
      <c r="K307" s="2" t="s">
        <v>1631</v>
      </c>
      <c r="L307">
        <v>456</v>
      </c>
    </row>
    <row r="308" spans="1:12" x14ac:dyDescent="0.25">
      <c r="A308">
        <v>572146</v>
      </c>
      <c r="B308" t="str">
        <f>IFERROR(INDEX(Table3[church_num],MATCH(ICCM_giving[[#This Row],[FamilyId]],Table3[dd_acct_id],0)),"")</f>
        <v/>
      </c>
      <c r="C308">
        <v>5027075</v>
      </c>
      <c r="D308">
        <v>5027075</v>
      </c>
      <c r="E308" s="2" t="s">
        <v>1632</v>
      </c>
      <c r="F308" s="2" t="s">
        <v>1633</v>
      </c>
      <c r="G308" s="2" t="s">
        <v>1634</v>
      </c>
      <c r="H308" s="2" t="s">
        <v>1635</v>
      </c>
      <c r="I308" s="2"/>
      <c r="J308" t="s">
        <v>1636</v>
      </c>
      <c r="K308" s="2"/>
      <c r="L308">
        <v>456</v>
      </c>
    </row>
    <row r="309" spans="1:12" x14ac:dyDescent="0.25">
      <c r="A309">
        <v>572147</v>
      </c>
      <c r="B309">
        <f>IFERROR(INDEX(Table3[church_num],MATCH(ICCM_giving[[#This Row],[FamilyId]],Table3[dd_acct_id],0)),"")</f>
        <v>370080</v>
      </c>
      <c r="C309">
        <v>5027242</v>
      </c>
      <c r="D309">
        <v>5027242</v>
      </c>
      <c r="E309" s="2" t="s">
        <v>1638</v>
      </c>
      <c r="F309" s="2" t="s">
        <v>1639</v>
      </c>
      <c r="G309" s="2"/>
      <c r="H309" s="2" t="s">
        <v>1640</v>
      </c>
      <c r="I309" s="2" t="s">
        <v>212</v>
      </c>
      <c r="J309">
        <v>49036</v>
      </c>
      <c r="K309" s="2" t="s">
        <v>1642</v>
      </c>
      <c r="L309">
        <v>100</v>
      </c>
    </row>
    <row r="310" spans="1:12" x14ac:dyDescent="0.25">
      <c r="A310">
        <v>572148</v>
      </c>
      <c r="B310" t="str">
        <f>IFERROR(INDEX(Table3[church_num],MATCH(ICCM_giving[[#This Row],[FamilyId]],Table3[dd_acct_id],0)),"")</f>
        <v/>
      </c>
      <c r="C310">
        <v>5027258</v>
      </c>
      <c r="D310">
        <v>5027258</v>
      </c>
      <c r="E310" s="2" t="s">
        <v>1643</v>
      </c>
      <c r="F310" s="2" t="s">
        <v>1644</v>
      </c>
      <c r="G310" s="2"/>
      <c r="H310" s="2" t="s">
        <v>1645</v>
      </c>
      <c r="I310" s="2" t="s">
        <v>1086</v>
      </c>
      <c r="J310">
        <v>47401</v>
      </c>
      <c r="K310" s="2" t="s">
        <v>1647</v>
      </c>
      <c r="L310">
        <v>650</v>
      </c>
    </row>
    <row r="311" spans="1:12" x14ac:dyDescent="0.25">
      <c r="A311">
        <v>572149</v>
      </c>
      <c r="B311" t="str">
        <f>IFERROR(INDEX(Table3[church_num],MATCH(ICCM_giving[[#This Row],[FamilyId]],Table3[dd_acct_id],0)),"")</f>
        <v/>
      </c>
      <c r="C311">
        <v>5027510</v>
      </c>
      <c r="D311">
        <v>5027510</v>
      </c>
      <c r="E311" s="2" t="s">
        <v>1648</v>
      </c>
      <c r="F311" s="2" t="s">
        <v>1649</v>
      </c>
      <c r="G311" s="2"/>
      <c r="H311" s="2" t="s">
        <v>1650</v>
      </c>
      <c r="I311" s="2" t="s">
        <v>124</v>
      </c>
      <c r="J311">
        <v>12822</v>
      </c>
      <c r="K311" s="2" t="s">
        <v>1652</v>
      </c>
      <c r="L311">
        <v>456</v>
      </c>
    </row>
    <row r="312" spans="1:12" x14ac:dyDescent="0.25">
      <c r="A312">
        <v>572150</v>
      </c>
      <c r="B312">
        <f>IFERROR(INDEX(Table3[church_num],MATCH(ICCM_giving[[#This Row],[FamilyId]],Table3[dd_acct_id],0)),"")</f>
        <v>320630</v>
      </c>
      <c r="C312">
        <v>5027643</v>
      </c>
      <c r="D312">
        <v>5027643</v>
      </c>
      <c r="E312" s="2" t="s">
        <v>1653</v>
      </c>
      <c r="F312" s="2" t="s">
        <v>1654</v>
      </c>
      <c r="G312" s="2"/>
      <c r="H312" s="2" t="s">
        <v>1655</v>
      </c>
      <c r="I312" s="2" t="s">
        <v>192</v>
      </c>
      <c r="J312">
        <v>98908</v>
      </c>
      <c r="K312" s="2" t="s">
        <v>1657</v>
      </c>
      <c r="L312">
        <v>1025</v>
      </c>
    </row>
    <row r="313" spans="1:12" x14ac:dyDescent="0.25">
      <c r="A313">
        <v>572151</v>
      </c>
      <c r="B313" t="str">
        <f>IFERROR(INDEX(Table3[church_num],MATCH(ICCM_giving[[#This Row],[FamilyId]],Table3[dd_acct_id],0)),"")</f>
        <v/>
      </c>
      <c r="C313">
        <v>5027657</v>
      </c>
      <c r="D313">
        <v>5027657</v>
      </c>
      <c r="E313" s="2" t="s">
        <v>1658</v>
      </c>
      <c r="F313" s="2" t="s">
        <v>1659</v>
      </c>
      <c r="G313" s="2"/>
      <c r="H313" s="2" t="s">
        <v>1660</v>
      </c>
      <c r="I313" s="2" t="s">
        <v>1086</v>
      </c>
      <c r="J313">
        <v>47841</v>
      </c>
      <c r="K313" s="2" t="s">
        <v>1662</v>
      </c>
      <c r="L313">
        <v>418</v>
      </c>
    </row>
    <row r="314" spans="1:12" x14ac:dyDescent="0.25">
      <c r="A314">
        <v>572152</v>
      </c>
      <c r="B314" t="str">
        <f>IFERROR(INDEX(Table3[church_num],MATCH(ICCM_giving[[#This Row],[FamilyId]],Table3[dd_acct_id],0)),"")</f>
        <v/>
      </c>
      <c r="C314">
        <v>5027687</v>
      </c>
      <c r="D314">
        <v>5027687</v>
      </c>
      <c r="E314" s="2" t="s">
        <v>1663</v>
      </c>
      <c r="F314" s="2" t="s">
        <v>1664</v>
      </c>
      <c r="G314" s="2"/>
      <c r="H314" s="2" t="s">
        <v>1665</v>
      </c>
      <c r="I314" s="2" t="s">
        <v>451</v>
      </c>
      <c r="J314" t="s">
        <v>1666</v>
      </c>
      <c r="K314" s="2" t="s">
        <v>1668</v>
      </c>
      <c r="L314">
        <v>456</v>
      </c>
    </row>
    <row r="315" spans="1:12" x14ac:dyDescent="0.25">
      <c r="A315">
        <v>572153</v>
      </c>
      <c r="B315" t="str">
        <f>IFERROR(INDEX(Table3[church_num],MATCH(ICCM_giving[[#This Row],[FamilyId]],Table3[dd_acct_id],0)),"")</f>
        <v/>
      </c>
      <c r="C315">
        <v>5027762</v>
      </c>
      <c r="D315">
        <v>5027762</v>
      </c>
      <c r="E315" s="2" t="s">
        <v>1672</v>
      </c>
      <c r="F315" s="2" t="s">
        <v>1674</v>
      </c>
      <c r="G315" s="2"/>
      <c r="H315" s="2" t="s">
        <v>1675</v>
      </c>
      <c r="I315" s="2" t="s">
        <v>809</v>
      </c>
      <c r="J315">
        <v>97140</v>
      </c>
      <c r="K315" s="2"/>
      <c r="L315">
        <v>912</v>
      </c>
    </row>
    <row r="316" spans="1:12" x14ac:dyDescent="0.25">
      <c r="A316">
        <v>572154</v>
      </c>
      <c r="B316">
        <f>IFERROR(INDEX(Table3[church_num],MATCH(ICCM_giving[[#This Row],[FamilyId]],Table3[dd_acct_id],0)),"")</f>
        <v>60210</v>
      </c>
      <c r="C316">
        <v>5027779</v>
      </c>
      <c r="D316">
        <v>5027779</v>
      </c>
      <c r="E316" s="2" t="s">
        <v>1677</v>
      </c>
      <c r="F316" s="2" t="s">
        <v>1678</v>
      </c>
      <c r="G316" s="2"/>
      <c r="H316" s="2" t="s">
        <v>1474</v>
      </c>
      <c r="I316" s="2" t="s">
        <v>153</v>
      </c>
      <c r="J316">
        <v>62049</v>
      </c>
      <c r="K316" s="2"/>
      <c r="L316">
        <v>7209.28</v>
      </c>
    </row>
    <row r="317" spans="1:12" x14ac:dyDescent="0.25">
      <c r="A317">
        <v>572155</v>
      </c>
      <c r="B317" t="str">
        <f>IFERROR(INDEX(Table3[church_num],MATCH(ICCM_giving[[#This Row],[FamilyId]],Table3[dd_acct_id],0)),"")</f>
        <v/>
      </c>
      <c r="C317">
        <v>5027809</v>
      </c>
      <c r="D317">
        <v>5027809</v>
      </c>
      <c r="E317" s="2" t="s">
        <v>1680</v>
      </c>
      <c r="F317" s="2" t="s">
        <v>1681</v>
      </c>
      <c r="G317" s="2"/>
      <c r="H317" s="2" t="s">
        <v>1682</v>
      </c>
      <c r="I317" s="2" t="s">
        <v>153</v>
      </c>
      <c r="J317">
        <v>62417</v>
      </c>
      <c r="K317" s="2" t="s">
        <v>1684</v>
      </c>
      <c r="L317">
        <v>500</v>
      </c>
    </row>
    <row r="318" spans="1:12" x14ac:dyDescent="0.25">
      <c r="A318">
        <v>572156</v>
      </c>
      <c r="B318" t="str">
        <f>IFERROR(INDEX(Table3[church_num],MATCH(ICCM_giving[[#This Row],[FamilyId]],Table3[dd_acct_id],0)),"")</f>
        <v/>
      </c>
      <c r="C318">
        <v>5027899</v>
      </c>
      <c r="D318">
        <v>5027899</v>
      </c>
      <c r="E318" s="2" t="s">
        <v>1685</v>
      </c>
      <c r="F318" s="2" t="s">
        <v>1686</v>
      </c>
      <c r="G318" s="2"/>
      <c r="H318" s="2" t="s">
        <v>1687</v>
      </c>
      <c r="I318" s="2" t="s">
        <v>466</v>
      </c>
      <c r="J318">
        <v>66047</v>
      </c>
      <c r="K318" s="2" t="s">
        <v>1689</v>
      </c>
      <c r="L318">
        <v>380</v>
      </c>
    </row>
    <row r="319" spans="1:12" x14ac:dyDescent="0.25">
      <c r="A319">
        <v>572157</v>
      </c>
      <c r="B319">
        <f>IFERROR(INDEX(Table3[church_num],MATCH(ICCM_giving[[#This Row],[FamilyId]],Table3[dd_acct_id],0)),"")</f>
        <v>30150</v>
      </c>
      <c r="C319">
        <v>5027975</v>
      </c>
      <c r="D319">
        <v>5027975</v>
      </c>
      <c r="E319" s="2" t="s">
        <v>1690</v>
      </c>
      <c r="F319" s="2" t="s">
        <v>1691</v>
      </c>
      <c r="G319" s="2"/>
      <c r="H319" s="2" t="s">
        <v>1692</v>
      </c>
      <c r="I319" s="2" t="s">
        <v>105</v>
      </c>
      <c r="J319">
        <v>95355</v>
      </c>
      <c r="K319" s="2" t="s">
        <v>1694</v>
      </c>
      <c r="L319">
        <v>1051.4100000000001</v>
      </c>
    </row>
    <row r="320" spans="1:12" x14ac:dyDescent="0.25">
      <c r="A320">
        <v>572158</v>
      </c>
      <c r="B320" t="str">
        <f>IFERROR(INDEX(Table3[church_num],MATCH(ICCM_giving[[#This Row],[FamilyId]],Table3[dd_acct_id],0)),"")</f>
        <v/>
      </c>
      <c r="C320">
        <v>5028020</v>
      </c>
      <c r="D320">
        <v>5028020</v>
      </c>
      <c r="E320" s="2" t="s">
        <v>1695</v>
      </c>
      <c r="F320" s="2" t="s">
        <v>1696</v>
      </c>
      <c r="G320" s="2"/>
      <c r="H320" s="2" t="s">
        <v>1697</v>
      </c>
      <c r="I320" s="2" t="s">
        <v>698</v>
      </c>
      <c r="J320">
        <v>45404</v>
      </c>
      <c r="K320" s="2" t="s">
        <v>1699</v>
      </c>
      <c r="L320">
        <v>564</v>
      </c>
    </row>
    <row r="321" spans="1:12" x14ac:dyDescent="0.25">
      <c r="A321">
        <v>572159</v>
      </c>
      <c r="B321" t="str">
        <f>IFERROR(INDEX(Table3[church_num],MATCH(ICCM_giving[[#This Row],[FamilyId]],Table3[dd_acct_id],0)),"")</f>
        <v/>
      </c>
      <c r="C321">
        <v>5028054</v>
      </c>
      <c r="D321">
        <v>5028054</v>
      </c>
      <c r="E321" s="2" t="s">
        <v>1700</v>
      </c>
      <c r="F321" s="2" t="s">
        <v>1701</v>
      </c>
      <c r="G321" s="2" t="s">
        <v>1702</v>
      </c>
      <c r="H321" s="2" t="s">
        <v>1703</v>
      </c>
      <c r="I321" s="2" t="s">
        <v>153</v>
      </c>
      <c r="J321">
        <v>61050</v>
      </c>
      <c r="K321" s="2" t="s">
        <v>1705</v>
      </c>
      <c r="L321">
        <v>912</v>
      </c>
    </row>
    <row r="322" spans="1:12" x14ac:dyDescent="0.25">
      <c r="A322">
        <v>572160</v>
      </c>
      <c r="B322" t="str">
        <f>IFERROR(INDEX(Table3[church_num],MATCH(ICCM_giving[[#This Row],[FamilyId]],Table3[dd_acct_id],0)),"")</f>
        <v/>
      </c>
      <c r="C322">
        <v>5028060</v>
      </c>
      <c r="D322">
        <v>5028060</v>
      </c>
      <c r="E322" s="2" t="s">
        <v>1706</v>
      </c>
      <c r="F322" s="2" t="s">
        <v>1707</v>
      </c>
      <c r="G322" s="2"/>
      <c r="H322" s="2" t="s">
        <v>1708</v>
      </c>
      <c r="I322" s="2" t="s">
        <v>212</v>
      </c>
      <c r="J322">
        <v>48197</v>
      </c>
      <c r="K322" s="2" t="s">
        <v>1710</v>
      </c>
      <c r="L322">
        <v>140</v>
      </c>
    </row>
    <row r="323" spans="1:12" x14ac:dyDescent="0.25">
      <c r="A323">
        <v>572161</v>
      </c>
      <c r="B323" t="str">
        <f>IFERROR(INDEX(Table3[church_num],MATCH(ICCM_giving[[#This Row],[FamilyId]],Table3[dd_acct_id],0)),"")</f>
        <v/>
      </c>
      <c r="C323">
        <v>5028135</v>
      </c>
      <c r="D323">
        <v>5028135</v>
      </c>
      <c r="E323" s="2" t="s">
        <v>1711</v>
      </c>
      <c r="F323" s="2" t="s">
        <v>1712</v>
      </c>
      <c r="G323" s="2"/>
      <c r="H323" s="2" t="s">
        <v>1713</v>
      </c>
      <c r="I323" s="2" t="s">
        <v>959</v>
      </c>
      <c r="J323" t="s">
        <v>1714</v>
      </c>
      <c r="K323" s="2" t="s">
        <v>1716</v>
      </c>
      <c r="L323">
        <v>480</v>
      </c>
    </row>
    <row r="324" spans="1:12" x14ac:dyDescent="0.25">
      <c r="A324">
        <v>572162</v>
      </c>
      <c r="B324" t="str">
        <f>IFERROR(INDEX(Table3[church_num],MATCH(ICCM_giving[[#This Row],[FamilyId]],Table3[dd_acct_id],0)),"")</f>
        <v/>
      </c>
      <c r="C324">
        <v>5028142</v>
      </c>
      <c r="D324">
        <v>5028142</v>
      </c>
      <c r="E324" s="2" t="s">
        <v>1717</v>
      </c>
      <c r="F324" s="2" t="s">
        <v>1718</v>
      </c>
      <c r="G324" s="2" t="s">
        <v>1719</v>
      </c>
      <c r="H324" s="2" t="s">
        <v>1720</v>
      </c>
      <c r="I324" s="2" t="s">
        <v>579</v>
      </c>
      <c r="J324">
        <v>15050</v>
      </c>
      <c r="K324" s="2"/>
      <c r="L324">
        <v>160</v>
      </c>
    </row>
    <row r="325" spans="1:12" x14ac:dyDescent="0.25">
      <c r="A325">
        <v>572163</v>
      </c>
      <c r="B325" t="str">
        <f>IFERROR(INDEX(Table3[church_num],MATCH(ICCM_giving[[#This Row],[FamilyId]],Table3[dd_acct_id],0)),"")</f>
        <v/>
      </c>
      <c r="C325">
        <v>5028187</v>
      </c>
      <c r="D325">
        <v>5028187</v>
      </c>
      <c r="E325" s="2" t="s">
        <v>1722</v>
      </c>
      <c r="F325" s="2" t="s">
        <v>1723</v>
      </c>
      <c r="G325" s="2"/>
      <c r="H325" s="2" t="s">
        <v>1724</v>
      </c>
      <c r="I325" s="2" t="s">
        <v>698</v>
      </c>
      <c r="J325" t="s">
        <v>1725</v>
      </c>
      <c r="K325" s="2"/>
      <c r="L325">
        <v>400</v>
      </c>
    </row>
    <row r="326" spans="1:12" x14ac:dyDescent="0.25">
      <c r="A326">
        <v>572164</v>
      </c>
      <c r="B326" t="str">
        <f>IFERROR(INDEX(Table3[church_num],MATCH(ICCM_giving[[#This Row],[FamilyId]],Table3[dd_acct_id],0)),"")</f>
        <v/>
      </c>
      <c r="C326">
        <v>5028283</v>
      </c>
      <c r="D326">
        <v>5028283</v>
      </c>
      <c r="E326" s="2" t="s">
        <v>1727</v>
      </c>
      <c r="F326" s="2" t="s">
        <v>1728</v>
      </c>
      <c r="G326" s="2"/>
      <c r="H326" s="2" t="s">
        <v>1729</v>
      </c>
      <c r="I326" s="2" t="s">
        <v>124</v>
      </c>
      <c r="J326">
        <v>14534</v>
      </c>
      <c r="K326" s="2" t="s">
        <v>1731</v>
      </c>
      <c r="L326">
        <v>375</v>
      </c>
    </row>
    <row r="327" spans="1:12" x14ac:dyDescent="0.25">
      <c r="A327">
        <v>572165</v>
      </c>
      <c r="B327" t="str">
        <f>IFERROR(INDEX(Table3[church_num],MATCH(ICCM_giving[[#This Row],[FamilyId]],Table3[dd_acct_id],0)),"")</f>
        <v/>
      </c>
      <c r="C327">
        <v>5028297</v>
      </c>
      <c r="D327">
        <v>5028297</v>
      </c>
      <c r="E327" s="2" t="s">
        <v>1732</v>
      </c>
      <c r="F327" s="2" t="s">
        <v>1733</v>
      </c>
      <c r="G327" s="2"/>
      <c r="H327" s="2" t="s">
        <v>1734</v>
      </c>
      <c r="I327" s="2" t="s">
        <v>307</v>
      </c>
      <c r="J327">
        <v>32176</v>
      </c>
      <c r="K327" s="2" t="s">
        <v>1736</v>
      </c>
      <c r="L327">
        <v>3300</v>
      </c>
    </row>
    <row r="328" spans="1:12" x14ac:dyDescent="0.25">
      <c r="A328">
        <v>572166</v>
      </c>
      <c r="B328" t="str">
        <f>IFERROR(INDEX(Table3[church_num],MATCH(ICCM_giving[[#This Row],[FamilyId]],Table3[dd_acct_id],0)),"")</f>
        <v/>
      </c>
      <c r="C328">
        <v>5028370</v>
      </c>
      <c r="D328">
        <v>0</v>
      </c>
      <c r="E328" s="2"/>
      <c r="F328" s="2" t="s">
        <v>1654</v>
      </c>
      <c r="G328" s="2"/>
      <c r="H328" s="2" t="s">
        <v>1739</v>
      </c>
      <c r="I328" s="2" t="s">
        <v>192</v>
      </c>
      <c r="J328">
        <v>98908</v>
      </c>
      <c r="K328" s="2"/>
      <c r="L328">
        <v>525</v>
      </c>
    </row>
    <row r="329" spans="1:12" x14ac:dyDescent="0.25">
      <c r="A329">
        <v>572167</v>
      </c>
      <c r="B329" t="str">
        <f>IFERROR(INDEX(Table3[church_num],MATCH(ICCM_giving[[#This Row],[FamilyId]],Table3[dd_acct_id],0)),"")</f>
        <v/>
      </c>
      <c r="C329">
        <v>5028386</v>
      </c>
      <c r="D329">
        <v>5028386</v>
      </c>
      <c r="E329" s="2" t="s">
        <v>1741</v>
      </c>
      <c r="F329" s="2" t="s">
        <v>1742</v>
      </c>
      <c r="G329" s="2"/>
      <c r="H329" s="2" t="s">
        <v>1743</v>
      </c>
      <c r="I329" s="2" t="s">
        <v>153</v>
      </c>
      <c r="J329">
        <v>61914</v>
      </c>
      <c r="K329" s="2" t="s">
        <v>1745</v>
      </c>
      <c r="L329">
        <v>152</v>
      </c>
    </row>
    <row r="330" spans="1:12" x14ac:dyDescent="0.25">
      <c r="A330">
        <v>572168</v>
      </c>
      <c r="B330" t="str">
        <f>IFERROR(INDEX(Table3[church_num],MATCH(ICCM_giving[[#This Row],[FamilyId]],Table3[dd_acct_id],0)),"")</f>
        <v/>
      </c>
      <c r="C330">
        <v>5028421</v>
      </c>
      <c r="D330">
        <v>5028421</v>
      </c>
      <c r="E330" s="2" t="s">
        <v>1746</v>
      </c>
      <c r="F330" s="2" t="s">
        <v>1747</v>
      </c>
      <c r="G330" s="2" t="s">
        <v>1748</v>
      </c>
      <c r="H330" s="2" t="s">
        <v>1749</v>
      </c>
      <c r="I330" s="2" t="s">
        <v>124</v>
      </c>
      <c r="J330">
        <v>14716</v>
      </c>
      <c r="K330" s="2" t="s">
        <v>1751</v>
      </c>
      <c r="L330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1AD4-DFCB-4F05-94EF-F193CCBB9433}">
  <dimension ref="A1:B300"/>
  <sheetViews>
    <sheetView topLeftCell="A255" workbookViewId="0">
      <selection activeCell="A301" sqref="A301"/>
    </sheetView>
  </sheetViews>
  <sheetFormatPr defaultRowHeight="15" x14ac:dyDescent="0.25"/>
  <cols>
    <col min="1" max="1" width="14.140625" customWidth="1"/>
    <col min="2" max="2" width="12.5703125" customWidth="1"/>
  </cols>
  <sheetData>
    <row r="1" spans="1:2" x14ac:dyDescent="0.25">
      <c r="A1" t="s">
        <v>1752</v>
      </c>
      <c r="B1" t="s">
        <v>1753</v>
      </c>
    </row>
    <row r="2" spans="1:2" x14ac:dyDescent="0.25">
      <c r="A2">
        <v>30100</v>
      </c>
      <c r="B2">
        <v>30101</v>
      </c>
    </row>
    <row r="3" spans="1:2" x14ac:dyDescent="0.25">
      <c r="A3">
        <v>30190</v>
      </c>
      <c r="B3">
        <v>30190</v>
      </c>
    </row>
    <row r="4" spans="1:2" x14ac:dyDescent="0.25">
      <c r="A4">
        <v>30196</v>
      </c>
      <c r="B4">
        <v>30300</v>
      </c>
    </row>
    <row r="5" spans="1:2" x14ac:dyDescent="0.25">
      <c r="A5">
        <v>30230</v>
      </c>
      <c r="B5">
        <v>30236</v>
      </c>
    </row>
    <row r="6" spans="1:2" x14ac:dyDescent="0.25">
      <c r="A6">
        <v>30300</v>
      </c>
      <c r="B6">
        <v>30300</v>
      </c>
    </row>
    <row r="7" spans="1:2" x14ac:dyDescent="0.25">
      <c r="A7">
        <v>60015</v>
      </c>
      <c r="B7">
        <v>60015</v>
      </c>
    </row>
    <row r="8" spans="1:2" x14ac:dyDescent="0.25">
      <c r="A8">
        <v>60070</v>
      </c>
      <c r="B8">
        <v>60070</v>
      </c>
    </row>
    <row r="9" spans="1:2" x14ac:dyDescent="0.25">
      <c r="A9">
        <v>60090</v>
      </c>
      <c r="B9">
        <v>60094</v>
      </c>
    </row>
    <row r="10" spans="1:2" x14ac:dyDescent="0.25">
      <c r="A10">
        <v>60160</v>
      </c>
      <c r="B10">
        <v>60160</v>
      </c>
    </row>
    <row r="11" spans="1:2" x14ac:dyDescent="0.25">
      <c r="A11">
        <v>60180</v>
      </c>
      <c r="B11">
        <v>60180</v>
      </c>
    </row>
    <row r="12" spans="1:2" x14ac:dyDescent="0.25">
      <c r="A12">
        <v>60210</v>
      </c>
      <c r="B12">
        <v>60213</v>
      </c>
    </row>
    <row r="13" spans="1:2" x14ac:dyDescent="0.25">
      <c r="A13">
        <v>60210</v>
      </c>
      <c r="B13">
        <v>5027779</v>
      </c>
    </row>
    <row r="14" spans="1:2" x14ac:dyDescent="0.25">
      <c r="A14">
        <v>80160</v>
      </c>
      <c r="B14">
        <v>280160</v>
      </c>
    </row>
    <row r="15" spans="1:2" x14ac:dyDescent="0.25">
      <c r="A15">
        <v>80180</v>
      </c>
      <c r="B15">
        <v>180186</v>
      </c>
    </row>
    <row r="16" spans="1:2" x14ac:dyDescent="0.25">
      <c r="A16">
        <v>80210</v>
      </c>
      <c r="B16">
        <v>180211</v>
      </c>
    </row>
    <row r="17" spans="1:2" x14ac:dyDescent="0.25">
      <c r="A17">
        <v>80360</v>
      </c>
      <c r="B17">
        <v>280360</v>
      </c>
    </row>
    <row r="18" spans="1:2" x14ac:dyDescent="0.25">
      <c r="A18">
        <v>90030</v>
      </c>
      <c r="B18">
        <v>5024645</v>
      </c>
    </row>
    <row r="19" spans="1:2" x14ac:dyDescent="0.25">
      <c r="A19">
        <v>90160</v>
      </c>
      <c r="B19">
        <v>90166</v>
      </c>
    </row>
    <row r="20" spans="1:2" x14ac:dyDescent="0.25">
      <c r="A20">
        <v>90180</v>
      </c>
      <c r="B20">
        <v>90181</v>
      </c>
    </row>
    <row r="21" spans="1:2" x14ac:dyDescent="0.25">
      <c r="A21">
        <v>90270</v>
      </c>
      <c r="B21">
        <v>626393</v>
      </c>
    </row>
    <row r="22" spans="1:2" x14ac:dyDescent="0.25">
      <c r="A22">
        <v>90300</v>
      </c>
      <c r="B22">
        <v>90301</v>
      </c>
    </row>
    <row r="23" spans="1:2" x14ac:dyDescent="0.25">
      <c r="A23">
        <v>90310</v>
      </c>
      <c r="B23">
        <v>90310</v>
      </c>
    </row>
    <row r="24" spans="1:2" x14ac:dyDescent="0.25">
      <c r="A24">
        <v>90320</v>
      </c>
      <c r="B24">
        <v>613955</v>
      </c>
    </row>
    <row r="25" spans="1:2" x14ac:dyDescent="0.25">
      <c r="A25">
        <v>90340</v>
      </c>
      <c r="B25">
        <v>90345</v>
      </c>
    </row>
    <row r="26" spans="1:2" x14ac:dyDescent="0.25">
      <c r="A26">
        <v>90430</v>
      </c>
      <c r="B26">
        <v>90430</v>
      </c>
    </row>
    <row r="27" spans="1:2" x14ac:dyDescent="0.25">
      <c r="A27">
        <v>90460</v>
      </c>
      <c r="B27">
        <v>90469</v>
      </c>
    </row>
    <row r="28" spans="1:2" x14ac:dyDescent="0.25">
      <c r="A28">
        <v>90490</v>
      </c>
      <c r="B28">
        <v>90670</v>
      </c>
    </row>
    <row r="29" spans="1:2" x14ac:dyDescent="0.25">
      <c r="A29">
        <v>90520</v>
      </c>
      <c r="B29">
        <v>90526</v>
      </c>
    </row>
    <row r="30" spans="1:2" x14ac:dyDescent="0.25">
      <c r="A30">
        <v>90540</v>
      </c>
      <c r="B30">
        <v>90540</v>
      </c>
    </row>
    <row r="31" spans="1:2" x14ac:dyDescent="0.25">
      <c r="A31">
        <v>90550</v>
      </c>
      <c r="B31">
        <v>90126</v>
      </c>
    </row>
    <row r="32" spans="1:2" x14ac:dyDescent="0.25">
      <c r="A32">
        <v>90550</v>
      </c>
      <c r="B32">
        <v>5025361</v>
      </c>
    </row>
    <row r="33" spans="1:2" x14ac:dyDescent="0.25">
      <c r="A33">
        <v>90560</v>
      </c>
      <c r="B33">
        <v>90560</v>
      </c>
    </row>
    <row r="34" spans="1:2" x14ac:dyDescent="0.25">
      <c r="A34">
        <v>90610</v>
      </c>
      <c r="B34">
        <v>627050</v>
      </c>
    </row>
    <row r="35" spans="1:2" x14ac:dyDescent="0.25">
      <c r="A35">
        <v>90640</v>
      </c>
      <c r="B35">
        <v>90640</v>
      </c>
    </row>
    <row r="36" spans="1:2" x14ac:dyDescent="0.25">
      <c r="A36">
        <v>90680</v>
      </c>
      <c r="B36">
        <v>90681</v>
      </c>
    </row>
    <row r="37" spans="1:2" x14ac:dyDescent="0.25">
      <c r="A37">
        <v>90720</v>
      </c>
      <c r="B37">
        <v>90723</v>
      </c>
    </row>
    <row r="38" spans="1:2" x14ac:dyDescent="0.25">
      <c r="A38">
        <v>90730</v>
      </c>
      <c r="B38">
        <v>90731</v>
      </c>
    </row>
    <row r="39" spans="1:2" x14ac:dyDescent="0.25">
      <c r="A39">
        <v>90790</v>
      </c>
      <c r="B39">
        <v>5023827</v>
      </c>
    </row>
    <row r="40" spans="1:2" x14ac:dyDescent="0.25">
      <c r="A40">
        <v>90830</v>
      </c>
      <c r="B40">
        <v>90831</v>
      </c>
    </row>
    <row r="41" spans="1:2" x14ac:dyDescent="0.25">
      <c r="A41">
        <v>90850</v>
      </c>
      <c r="B41">
        <v>90850</v>
      </c>
    </row>
    <row r="42" spans="1:2" x14ac:dyDescent="0.25">
      <c r="A42">
        <v>120010</v>
      </c>
      <c r="B42">
        <v>120010</v>
      </c>
    </row>
    <row r="43" spans="1:2" x14ac:dyDescent="0.25">
      <c r="A43">
        <v>120020</v>
      </c>
      <c r="B43">
        <v>120020</v>
      </c>
    </row>
    <row r="44" spans="1:2" x14ac:dyDescent="0.25">
      <c r="A44">
        <v>120035</v>
      </c>
      <c r="B44">
        <v>380020</v>
      </c>
    </row>
    <row r="45" spans="1:2" x14ac:dyDescent="0.25">
      <c r="A45">
        <v>120040</v>
      </c>
      <c r="B45">
        <v>120043</v>
      </c>
    </row>
    <row r="46" spans="1:2" x14ac:dyDescent="0.25">
      <c r="A46">
        <v>120050</v>
      </c>
      <c r="B46">
        <v>120050</v>
      </c>
    </row>
    <row r="47" spans="1:2" x14ac:dyDescent="0.25">
      <c r="A47">
        <v>120055</v>
      </c>
      <c r="B47">
        <v>380030</v>
      </c>
    </row>
    <row r="48" spans="1:2" x14ac:dyDescent="0.25">
      <c r="A48">
        <v>120120</v>
      </c>
      <c r="B48">
        <v>120128</v>
      </c>
    </row>
    <row r="49" spans="1:2" x14ac:dyDescent="0.25">
      <c r="A49">
        <v>120150</v>
      </c>
      <c r="B49">
        <v>120150</v>
      </c>
    </row>
    <row r="50" spans="1:2" x14ac:dyDescent="0.25">
      <c r="A50">
        <v>120190</v>
      </c>
      <c r="B50">
        <v>120190</v>
      </c>
    </row>
    <row r="51" spans="1:2" x14ac:dyDescent="0.25">
      <c r="A51">
        <v>120210</v>
      </c>
      <c r="B51">
        <v>120210</v>
      </c>
    </row>
    <row r="52" spans="1:2" x14ac:dyDescent="0.25">
      <c r="A52">
        <v>120290</v>
      </c>
      <c r="B52">
        <v>120298</v>
      </c>
    </row>
    <row r="53" spans="1:2" x14ac:dyDescent="0.25">
      <c r="A53">
        <v>120300</v>
      </c>
      <c r="B53">
        <v>120301</v>
      </c>
    </row>
    <row r="54" spans="1:2" x14ac:dyDescent="0.25">
      <c r="A54">
        <v>120310</v>
      </c>
      <c r="B54">
        <v>120310</v>
      </c>
    </row>
    <row r="55" spans="1:2" x14ac:dyDescent="0.25">
      <c r="A55">
        <v>120325</v>
      </c>
      <c r="B55">
        <v>380210</v>
      </c>
    </row>
    <row r="56" spans="1:2" x14ac:dyDescent="0.25">
      <c r="A56">
        <v>120335</v>
      </c>
      <c r="B56">
        <v>4001252</v>
      </c>
    </row>
    <row r="57" spans="1:2" x14ac:dyDescent="0.25">
      <c r="A57">
        <v>120340</v>
      </c>
      <c r="B57">
        <v>120390</v>
      </c>
    </row>
    <row r="58" spans="1:2" x14ac:dyDescent="0.25">
      <c r="A58">
        <v>120398</v>
      </c>
      <c r="B58">
        <v>5026364</v>
      </c>
    </row>
    <row r="59" spans="1:2" x14ac:dyDescent="0.25">
      <c r="A59">
        <v>120400</v>
      </c>
      <c r="B59">
        <v>120400</v>
      </c>
    </row>
    <row r="60" spans="1:2" x14ac:dyDescent="0.25">
      <c r="A60">
        <v>120400</v>
      </c>
      <c r="B60">
        <v>120407</v>
      </c>
    </row>
    <row r="61" spans="1:2" x14ac:dyDescent="0.25">
      <c r="A61">
        <v>120405</v>
      </c>
      <c r="B61">
        <v>120405</v>
      </c>
    </row>
    <row r="62" spans="1:2" x14ac:dyDescent="0.25">
      <c r="A62">
        <v>120410</v>
      </c>
      <c r="B62">
        <v>120410</v>
      </c>
    </row>
    <row r="63" spans="1:2" x14ac:dyDescent="0.25">
      <c r="A63">
        <v>120420</v>
      </c>
      <c r="B63">
        <v>380271</v>
      </c>
    </row>
    <row r="64" spans="1:2" x14ac:dyDescent="0.25">
      <c r="A64">
        <v>120440</v>
      </c>
      <c r="B64">
        <v>120440</v>
      </c>
    </row>
    <row r="65" spans="1:2" x14ac:dyDescent="0.25">
      <c r="A65">
        <v>120450</v>
      </c>
      <c r="B65">
        <v>120450</v>
      </c>
    </row>
    <row r="66" spans="1:2" x14ac:dyDescent="0.25">
      <c r="A66">
        <v>120480</v>
      </c>
      <c r="B66">
        <v>120480</v>
      </c>
    </row>
    <row r="67" spans="1:2" x14ac:dyDescent="0.25">
      <c r="A67">
        <v>120490</v>
      </c>
      <c r="B67">
        <v>380356</v>
      </c>
    </row>
    <row r="68" spans="1:2" x14ac:dyDescent="0.25">
      <c r="A68">
        <v>150040</v>
      </c>
      <c r="B68">
        <v>150046</v>
      </c>
    </row>
    <row r="69" spans="1:2" x14ac:dyDescent="0.25">
      <c r="A69">
        <v>150052</v>
      </c>
      <c r="B69">
        <v>220051</v>
      </c>
    </row>
    <row r="70" spans="1:2" x14ac:dyDescent="0.25">
      <c r="A70">
        <v>150065</v>
      </c>
      <c r="B70">
        <v>300040</v>
      </c>
    </row>
    <row r="71" spans="1:2" x14ac:dyDescent="0.25">
      <c r="A71">
        <v>150080</v>
      </c>
      <c r="B71">
        <v>150080</v>
      </c>
    </row>
    <row r="72" spans="1:2" x14ac:dyDescent="0.25">
      <c r="A72">
        <v>150085</v>
      </c>
      <c r="B72">
        <v>160110</v>
      </c>
    </row>
    <row r="73" spans="1:2" x14ac:dyDescent="0.25">
      <c r="A73">
        <v>150102</v>
      </c>
      <c r="B73">
        <v>626977</v>
      </c>
    </row>
    <row r="74" spans="1:2" x14ac:dyDescent="0.25">
      <c r="A74">
        <v>150120</v>
      </c>
      <c r="B74">
        <v>160141</v>
      </c>
    </row>
    <row r="75" spans="1:2" x14ac:dyDescent="0.25">
      <c r="A75">
        <v>150127</v>
      </c>
      <c r="B75">
        <v>220111</v>
      </c>
    </row>
    <row r="76" spans="1:2" x14ac:dyDescent="0.25">
      <c r="A76">
        <v>150145</v>
      </c>
      <c r="B76">
        <v>150145</v>
      </c>
    </row>
    <row r="77" spans="1:2" x14ac:dyDescent="0.25">
      <c r="A77">
        <v>150210</v>
      </c>
      <c r="B77">
        <v>150211</v>
      </c>
    </row>
    <row r="78" spans="1:2" x14ac:dyDescent="0.25">
      <c r="A78">
        <v>150260</v>
      </c>
      <c r="B78">
        <v>626021</v>
      </c>
    </row>
    <row r="79" spans="1:2" x14ac:dyDescent="0.25">
      <c r="A79">
        <v>150270</v>
      </c>
      <c r="B79">
        <v>150271</v>
      </c>
    </row>
    <row r="80" spans="1:2" x14ac:dyDescent="0.25">
      <c r="A80">
        <v>150280</v>
      </c>
      <c r="B80">
        <v>150280</v>
      </c>
    </row>
    <row r="81" spans="1:2" x14ac:dyDescent="0.25">
      <c r="A81">
        <v>150310</v>
      </c>
      <c r="B81">
        <v>150310</v>
      </c>
    </row>
    <row r="82" spans="1:2" x14ac:dyDescent="0.25">
      <c r="A82">
        <v>150330</v>
      </c>
      <c r="B82">
        <v>150330</v>
      </c>
    </row>
    <row r="83" spans="1:2" x14ac:dyDescent="0.25">
      <c r="A83">
        <v>150335</v>
      </c>
      <c r="B83">
        <v>220291</v>
      </c>
    </row>
    <row r="84" spans="1:2" x14ac:dyDescent="0.25">
      <c r="A84">
        <v>150340</v>
      </c>
      <c r="B84">
        <v>5026760</v>
      </c>
    </row>
    <row r="85" spans="1:2" x14ac:dyDescent="0.25">
      <c r="A85">
        <v>150350</v>
      </c>
      <c r="B85">
        <v>150352</v>
      </c>
    </row>
    <row r="86" spans="1:2" x14ac:dyDescent="0.25">
      <c r="A86">
        <v>150430</v>
      </c>
      <c r="B86">
        <v>150430</v>
      </c>
    </row>
    <row r="87" spans="1:2" x14ac:dyDescent="0.25">
      <c r="A87">
        <v>150440</v>
      </c>
      <c r="B87">
        <v>150441</v>
      </c>
    </row>
    <row r="88" spans="1:2" x14ac:dyDescent="0.25">
      <c r="A88">
        <v>150735</v>
      </c>
      <c r="B88">
        <v>625829</v>
      </c>
    </row>
    <row r="89" spans="1:2" x14ac:dyDescent="0.25">
      <c r="A89">
        <v>150745</v>
      </c>
      <c r="B89">
        <v>627309</v>
      </c>
    </row>
    <row r="90" spans="1:2" x14ac:dyDescent="0.25">
      <c r="A90">
        <v>150750</v>
      </c>
      <c r="B90">
        <v>220211</v>
      </c>
    </row>
    <row r="91" spans="1:2" x14ac:dyDescent="0.25">
      <c r="A91">
        <v>150755</v>
      </c>
      <c r="B91">
        <v>150755</v>
      </c>
    </row>
    <row r="92" spans="1:2" x14ac:dyDescent="0.25">
      <c r="A92">
        <v>180180</v>
      </c>
      <c r="B92">
        <v>180186</v>
      </c>
    </row>
    <row r="93" spans="1:2" x14ac:dyDescent="0.25">
      <c r="A93">
        <v>180190</v>
      </c>
      <c r="B93">
        <v>180197</v>
      </c>
    </row>
    <row r="94" spans="1:2" x14ac:dyDescent="0.25">
      <c r="A94">
        <v>180210</v>
      </c>
      <c r="B94">
        <v>180211</v>
      </c>
    </row>
    <row r="95" spans="1:2" x14ac:dyDescent="0.25">
      <c r="A95">
        <v>180330</v>
      </c>
      <c r="B95">
        <v>180333</v>
      </c>
    </row>
    <row r="96" spans="1:2" x14ac:dyDescent="0.25">
      <c r="A96">
        <v>190070</v>
      </c>
      <c r="B96">
        <v>190070</v>
      </c>
    </row>
    <row r="97" spans="1:2" x14ac:dyDescent="0.25">
      <c r="A97">
        <v>190090</v>
      </c>
      <c r="B97">
        <v>626059</v>
      </c>
    </row>
    <row r="98" spans="1:2" x14ac:dyDescent="0.25">
      <c r="A98">
        <v>190145</v>
      </c>
      <c r="B98">
        <v>190141</v>
      </c>
    </row>
    <row r="99" spans="1:2" x14ac:dyDescent="0.25">
      <c r="A99">
        <v>190270</v>
      </c>
      <c r="B99">
        <v>190270</v>
      </c>
    </row>
    <row r="100" spans="1:2" x14ac:dyDescent="0.25">
      <c r="A100">
        <v>190280</v>
      </c>
      <c r="B100">
        <v>190280</v>
      </c>
    </row>
    <row r="101" spans="1:2" x14ac:dyDescent="0.25">
      <c r="A101">
        <v>240020</v>
      </c>
      <c r="B101">
        <v>240020</v>
      </c>
    </row>
    <row r="102" spans="1:2" x14ac:dyDescent="0.25">
      <c r="A102">
        <v>240040</v>
      </c>
      <c r="B102">
        <v>210049</v>
      </c>
    </row>
    <row r="103" spans="1:2" x14ac:dyDescent="0.25">
      <c r="A103">
        <v>240045</v>
      </c>
      <c r="B103">
        <v>210056</v>
      </c>
    </row>
    <row r="104" spans="1:2" x14ac:dyDescent="0.25">
      <c r="A104">
        <v>240060</v>
      </c>
      <c r="B104">
        <v>240061</v>
      </c>
    </row>
    <row r="105" spans="1:2" x14ac:dyDescent="0.25">
      <c r="A105">
        <v>240070</v>
      </c>
      <c r="B105">
        <v>626659</v>
      </c>
    </row>
    <row r="106" spans="1:2" x14ac:dyDescent="0.25">
      <c r="A106">
        <v>240070</v>
      </c>
      <c r="B106">
        <v>240071</v>
      </c>
    </row>
    <row r="107" spans="1:2" x14ac:dyDescent="0.25">
      <c r="A107">
        <v>240114</v>
      </c>
      <c r="B107">
        <v>210060</v>
      </c>
    </row>
    <row r="108" spans="1:2" x14ac:dyDescent="0.25">
      <c r="A108">
        <v>240118</v>
      </c>
      <c r="B108">
        <v>50050</v>
      </c>
    </row>
    <row r="109" spans="1:2" x14ac:dyDescent="0.25">
      <c r="A109">
        <v>240120</v>
      </c>
      <c r="B109">
        <v>240121</v>
      </c>
    </row>
    <row r="110" spans="1:2" x14ac:dyDescent="0.25">
      <c r="A110">
        <v>240148</v>
      </c>
      <c r="B110">
        <v>210281</v>
      </c>
    </row>
    <row r="111" spans="1:2" x14ac:dyDescent="0.25">
      <c r="A111">
        <v>240157</v>
      </c>
      <c r="B111">
        <v>50111</v>
      </c>
    </row>
    <row r="112" spans="1:2" x14ac:dyDescent="0.25">
      <c r="A112">
        <v>240171</v>
      </c>
      <c r="B112">
        <v>625903</v>
      </c>
    </row>
    <row r="113" spans="1:2" x14ac:dyDescent="0.25">
      <c r="A113">
        <v>240183</v>
      </c>
      <c r="B113">
        <v>50120</v>
      </c>
    </row>
    <row r="114" spans="1:2" x14ac:dyDescent="0.25">
      <c r="A114">
        <v>240260</v>
      </c>
      <c r="B114">
        <v>240260</v>
      </c>
    </row>
    <row r="115" spans="1:2" x14ac:dyDescent="0.25">
      <c r="A115">
        <v>240350</v>
      </c>
      <c r="B115">
        <v>240351</v>
      </c>
    </row>
    <row r="116" spans="1:2" x14ac:dyDescent="0.25">
      <c r="A116">
        <v>240351</v>
      </c>
      <c r="B116">
        <v>210241</v>
      </c>
    </row>
    <row r="117" spans="1:2" x14ac:dyDescent="0.25">
      <c r="A117">
        <v>240352</v>
      </c>
      <c r="B117">
        <v>50250</v>
      </c>
    </row>
    <row r="118" spans="1:2" x14ac:dyDescent="0.25">
      <c r="A118">
        <v>240390</v>
      </c>
      <c r="B118">
        <v>240396</v>
      </c>
    </row>
    <row r="119" spans="1:2" x14ac:dyDescent="0.25">
      <c r="A119">
        <v>240391</v>
      </c>
      <c r="B119">
        <v>50308</v>
      </c>
    </row>
    <row r="120" spans="1:2" x14ac:dyDescent="0.25">
      <c r="A120">
        <v>240400</v>
      </c>
      <c r="B120">
        <v>240409</v>
      </c>
    </row>
    <row r="121" spans="1:2" x14ac:dyDescent="0.25">
      <c r="A121">
        <v>240401</v>
      </c>
      <c r="B121">
        <v>210301</v>
      </c>
    </row>
    <row r="122" spans="1:2" x14ac:dyDescent="0.25">
      <c r="A122">
        <v>250015</v>
      </c>
      <c r="B122">
        <v>5025174</v>
      </c>
    </row>
    <row r="123" spans="1:2" x14ac:dyDescent="0.25">
      <c r="A123">
        <v>250020</v>
      </c>
      <c r="B123">
        <v>250026</v>
      </c>
    </row>
    <row r="124" spans="1:2" x14ac:dyDescent="0.25">
      <c r="A124">
        <v>250070</v>
      </c>
      <c r="B124">
        <v>250076</v>
      </c>
    </row>
    <row r="125" spans="1:2" x14ac:dyDescent="0.25">
      <c r="A125">
        <v>250090</v>
      </c>
      <c r="B125">
        <v>250095</v>
      </c>
    </row>
    <row r="126" spans="1:2" x14ac:dyDescent="0.25">
      <c r="A126">
        <v>250230</v>
      </c>
      <c r="B126">
        <v>250236</v>
      </c>
    </row>
    <row r="127" spans="1:2" x14ac:dyDescent="0.25">
      <c r="A127">
        <v>250260</v>
      </c>
      <c r="B127">
        <v>5023589</v>
      </c>
    </row>
    <row r="128" spans="1:2" x14ac:dyDescent="0.25">
      <c r="A128">
        <v>250330</v>
      </c>
      <c r="B128">
        <v>250332</v>
      </c>
    </row>
    <row r="129" spans="1:2" x14ac:dyDescent="0.25">
      <c r="A129">
        <v>250350</v>
      </c>
      <c r="B129">
        <v>250350</v>
      </c>
    </row>
    <row r="130" spans="1:2" x14ac:dyDescent="0.25">
      <c r="A130">
        <v>250370</v>
      </c>
      <c r="B130">
        <v>5024005</v>
      </c>
    </row>
    <row r="131" spans="1:2" x14ac:dyDescent="0.25">
      <c r="A131">
        <v>250410</v>
      </c>
      <c r="B131">
        <v>250411</v>
      </c>
    </row>
    <row r="132" spans="1:2" x14ac:dyDescent="0.25">
      <c r="A132">
        <v>250420</v>
      </c>
      <c r="B132">
        <v>250420</v>
      </c>
    </row>
    <row r="133" spans="1:2" x14ac:dyDescent="0.25">
      <c r="A133">
        <v>250430</v>
      </c>
      <c r="B133">
        <v>250430</v>
      </c>
    </row>
    <row r="134" spans="1:2" x14ac:dyDescent="0.25">
      <c r="A134">
        <v>250480</v>
      </c>
      <c r="B134">
        <v>250489</v>
      </c>
    </row>
    <row r="135" spans="1:2" x14ac:dyDescent="0.25">
      <c r="A135">
        <v>250510</v>
      </c>
      <c r="B135">
        <v>250510</v>
      </c>
    </row>
    <row r="136" spans="1:2" x14ac:dyDescent="0.25">
      <c r="A136">
        <v>250540</v>
      </c>
      <c r="B136">
        <v>250541</v>
      </c>
    </row>
    <row r="137" spans="1:2" x14ac:dyDescent="0.25">
      <c r="A137">
        <v>250600</v>
      </c>
      <c r="B137">
        <v>250601</v>
      </c>
    </row>
    <row r="138" spans="1:2" x14ac:dyDescent="0.25">
      <c r="A138">
        <v>260070</v>
      </c>
      <c r="B138">
        <v>260071</v>
      </c>
    </row>
    <row r="139" spans="1:2" x14ac:dyDescent="0.25">
      <c r="A139">
        <v>260080</v>
      </c>
      <c r="B139">
        <v>625903</v>
      </c>
    </row>
    <row r="140" spans="1:2" x14ac:dyDescent="0.25">
      <c r="A140">
        <v>260110</v>
      </c>
      <c r="B140">
        <v>260117</v>
      </c>
    </row>
    <row r="141" spans="1:2" x14ac:dyDescent="0.25">
      <c r="A141">
        <v>260130</v>
      </c>
      <c r="B141">
        <v>260131</v>
      </c>
    </row>
    <row r="142" spans="1:2" x14ac:dyDescent="0.25">
      <c r="A142">
        <v>260190</v>
      </c>
      <c r="B142">
        <v>260190</v>
      </c>
    </row>
    <row r="143" spans="1:2" x14ac:dyDescent="0.25">
      <c r="A143">
        <v>260200</v>
      </c>
      <c r="B143">
        <v>260200</v>
      </c>
    </row>
    <row r="144" spans="1:2" x14ac:dyDescent="0.25">
      <c r="A144">
        <v>260230</v>
      </c>
      <c r="B144">
        <v>260230</v>
      </c>
    </row>
    <row r="145" spans="1:2" x14ac:dyDescent="0.25">
      <c r="A145">
        <v>260250</v>
      </c>
      <c r="B145">
        <v>260259</v>
      </c>
    </row>
    <row r="146" spans="1:2" x14ac:dyDescent="0.25">
      <c r="A146">
        <v>260310</v>
      </c>
      <c r="B146">
        <v>260316</v>
      </c>
    </row>
    <row r="147" spans="1:2" x14ac:dyDescent="0.25">
      <c r="A147">
        <v>260360</v>
      </c>
      <c r="B147">
        <v>260361</v>
      </c>
    </row>
    <row r="148" spans="1:2" x14ac:dyDescent="0.25">
      <c r="A148">
        <v>260540</v>
      </c>
      <c r="B148">
        <v>260008</v>
      </c>
    </row>
    <row r="149" spans="1:2" x14ac:dyDescent="0.25">
      <c r="A149">
        <v>270040</v>
      </c>
      <c r="B149">
        <v>270043</v>
      </c>
    </row>
    <row r="150" spans="1:2" x14ac:dyDescent="0.25">
      <c r="A150">
        <v>270090</v>
      </c>
      <c r="B150">
        <v>270091</v>
      </c>
    </row>
    <row r="151" spans="1:2" x14ac:dyDescent="0.25">
      <c r="A151">
        <v>270100</v>
      </c>
      <c r="B151">
        <v>270101</v>
      </c>
    </row>
    <row r="152" spans="1:2" x14ac:dyDescent="0.25">
      <c r="A152">
        <v>270150</v>
      </c>
      <c r="B152">
        <v>270156</v>
      </c>
    </row>
    <row r="153" spans="1:2" x14ac:dyDescent="0.25">
      <c r="A153">
        <v>270170</v>
      </c>
      <c r="B153">
        <v>270171</v>
      </c>
    </row>
    <row r="154" spans="1:2" x14ac:dyDescent="0.25">
      <c r="A154">
        <v>270260</v>
      </c>
      <c r="B154">
        <v>270260</v>
      </c>
    </row>
    <row r="155" spans="1:2" x14ac:dyDescent="0.25">
      <c r="A155">
        <v>270380</v>
      </c>
      <c r="B155">
        <v>270381</v>
      </c>
    </row>
    <row r="156" spans="1:2" x14ac:dyDescent="0.25">
      <c r="A156">
        <v>270385</v>
      </c>
      <c r="B156">
        <v>626664</v>
      </c>
    </row>
    <row r="157" spans="1:2" x14ac:dyDescent="0.25">
      <c r="A157">
        <v>270400</v>
      </c>
      <c r="B157">
        <v>270401</v>
      </c>
    </row>
    <row r="158" spans="1:2" x14ac:dyDescent="0.25">
      <c r="A158">
        <v>270550</v>
      </c>
      <c r="B158">
        <v>270550</v>
      </c>
    </row>
    <row r="159" spans="1:2" x14ac:dyDescent="0.25">
      <c r="A159">
        <v>270610</v>
      </c>
      <c r="B159">
        <v>5025188</v>
      </c>
    </row>
    <row r="160" spans="1:2" x14ac:dyDescent="0.25">
      <c r="A160">
        <v>270750</v>
      </c>
      <c r="B160">
        <v>270750</v>
      </c>
    </row>
    <row r="161" spans="1:2" x14ac:dyDescent="0.25">
      <c r="A161">
        <v>270890</v>
      </c>
      <c r="B161">
        <v>270893</v>
      </c>
    </row>
    <row r="162" spans="1:2" x14ac:dyDescent="0.25">
      <c r="A162">
        <v>280160</v>
      </c>
      <c r="B162">
        <v>280160</v>
      </c>
    </row>
    <row r="163" spans="1:2" x14ac:dyDescent="0.25">
      <c r="A163">
        <v>280360</v>
      </c>
      <c r="B163">
        <v>280360</v>
      </c>
    </row>
    <row r="164" spans="1:2" x14ac:dyDescent="0.25">
      <c r="A164">
        <v>290030</v>
      </c>
      <c r="B164">
        <v>626787</v>
      </c>
    </row>
    <row r="165" spans="1:2" x14ac:dyDescent="0.25">
      <c r="A165">
        <v>290120</v>
      </c>
      <c r="B165">
        <v>290120</v>
      </c>
    </row>
    <row r="166" spans="1:2" x14ac:dyDescent="0.25">
      <c r="A166">
        <v>290340</v>
      </c>
      <c r="B166">
        <v>626975</v>
      </c>
    </row>
    <row r="167" spans="1:2" x14ac:dyDescent="0.25">
      <c r="A167">
        <v>290370</v>
      </c>
      <c r="B167">
        <v>290370</v>
      </c>
    </row>
    <row r="168" spans="1:2" x14ac:dyDescent="0.25">
      <c r="A168">
        <v>290372</v>
      </c>
      <c r="B168">
        <v>627907</v>
      </c>
    </row>
    <row r="169" spans="1:2" x14ac:dyDescent="0.25">
      <c r="A169">
        <v>290380</v>
      </c>
      <c r="B169">
        <v>290381</v>
      </c>
    </row>
    <row r="170" spans="1:2" x14ac:dyDescent="0.25">
      <c r="A170">
        <v>290390</v>
      </c>
      <c r="B170">
        <v>290399</v>
      </c>
    </row>
    <row r="171" spans="1:2" x14ac:dyDescent="0.25">
      <c r="A171">
        <v>290400</v>
      </c>
      <c r="B171">
        <v>4000857</v>
      </c>
    </row>
    <row r="172" spans="1:2" x14ac:dyDescent="0.25">
      <c r="A172">
        <v>290440</v>
      </c>
      <c r="B172">
        <v>290443</v>
      </c>
    </row>
    <row r="173" spans="1:2" x14ac:dyDescent="0.25">
      <c r="A173">
        <v>310150</v>
      </c>
      <c r="B173">
        <v>310001</v>
      </c>
    </row>
    <row r="174" spans="1:2" x14ac:dyDescent="0.25">
      <c r="A174">
        <v>310260</v>
      </c>
      <c r="B174">
        <v>310260</v>
      </c>
    </row>
    <row r="175" spans="1:2" x14ac:dyDescent="0.25">
      <c r="A175">
        <v>320030</v>
      </c>
      <c r="B175">
        <v>320033</v>
      </c>
    </row>
    <row r="176" spans="1:2" x14ac:dyDescent="0.25">
      <c r="A176">
        <v>320135</v>
      </c>
      <c r="B176">
        <v>320130</v>
      </c>
    </row>
    <row r="177" spans="1:2" x14ac:dyDescent="0.25">
      <c r="A177">
        <v>320180</v>
      </c>
      <c r="B177">
        <v>320181</v>
      </c>
    </row>
    <row r="178" spans="1:2" x14ac:dyDescent="0.25">
      <c r="A178">
        <v>320290</v>
      </c>
      <c r="B178">
        <v>320290</v>
      </c>
    </row>
    <row r="179" spans="1:2" x14ac:dyDescent="0.25">
      <c r="A179">
        <v>320320</v>
      </c>
      <c r="B179">
        <v>320326</v>
      </c>
    </row>
    <row r="180" spans="1:2" x14ac:dyDescent="0.25">
      <c r="A180">
        <v>320420</v>
      </c>
      <c r="B180">
        <v>320420</v>
      </c>
    </row>
    <row r="181" spans="1:2" x14ac:dyDescent="0.25">
      <c r="A181">
        <v>320440</v>
      </c>
      <c r="B181">
        <v>320440</v>
      </c>
    </row>
    <row r="182" spans="1:2" x14ac:dyDescent="0.25">
      <c r="A182">
        <v>320460</v>
      </c>
      <c r="B182">
        <v>625433</v>
      </c>
    </row>
    <row r="183" spans="1:2" x14ac:dyDescent="0.25">
      <c r="A183">
        <v>320530</v>
      </c>
      <c r="B183">
        <v>627341</v>
      </c>
    </row>
    <row r="184" spans="1:2" x14ac:dyDescent="0.25">
      <c r="A184">
        <v>320630</v>
      </c>
      <c r="B184">
        <v>5027643</v>
      </c>
    </row>
    <row r="185" spans="1:2" x14ac:dyDescent="0.25">
      <c r="A185">
        <v>330000</v>
      </c>
      <c r="B185">
        <v>330000</v>
      </c>
    </row>
    <row r="186" spans="1:2" x14ac:dyDescent="0.25">
      <c r="A186">
        <v>330090</v>
      </c>
      <c r="B186">
        <v>627105</v>
      </c>
    </row>
    <row r="187" spans="1:2" x14ac:dyDescent="0.25">
      <c r="A187">
        <v>330110</v>
      </c>
      <c r="B187">
        <v>330111</v>
      </c>
    </row>
    <row r="188" spans="1:2" x14ac:dyDescent="0.25">
      <c r="A188">
        <v>330130</v>
      </c>
      <c r="B188">
        <v>330133</v>
      </c>
    </row>
    <row r="189" spans="1:2" x14ac:dyDescent="0.25">
      <c r="A189">
        <v>330170</v>
      </c>
      <c r="B189">
        <v>330176</v>
      </c>
    </row>
    <row r="190" spans="1:2" x14ac:dyDescent="0.25">
      <c r="A190">
        <v>330175</v>
      </c>
      <c r="B190">
        <v>550224</v>
      </c>
    </row>
    <row r="191" spans="1:2" x14ac:dyDescent="0.25">
      <c r="A191">
        <v>330177</v>
      </c>
      <c r="B191">
        <v>550221</v>
      </c>
    </row>
    <row r="192" spans="1:2" x14ac:dyDescent="0.25">
      <c r="A192">
        <v>330178</v>
      </c>
      <c r="B192">
        <v>550680</v>
      </c>
    </row>
    <row r="193" spans="1:2" x14ac:dyDescent="0.25">
      <c r="A193">
        <v>330240</v>
      </c>
      <c r="B193">
        <v>550280</v>
      </c>
    </row>
    <row r="194" spans="1:2" x14ac:dyDescent="0.25">
      <c r="A194">
        <v>330260</v>
      </c>
      <c r="B194">
        <v>4001046</v>
      </c>
    </row>
    <row r="195" spans="1:2" x14ac:dyDescent="0.25">
      <c r="A195">
        <v>330270</v>
      </c>
      <c r="B195">
        <v>550271</v>
      </c>
    </row>
    <row r="196" spans="1:2" x14ac:dyDescent="0.25">
      <c r="A196">
        <v>330320</v>
      </c>
      <c r="B196">
        <v>330320</v>
      </c>
    </row>
    <row r="197" spans="1:2" x14ac:dyDescent="0.25">
      <c r="A197">
        <v>330400</v>
      </c>
      <c r="B197">
        <v>330406</v>
      </c>
    </row>
    <row r="198" spans="1:2" x14ac:dyDescent="0.25">
      <c r="A198">
        <v>330435</v>
      </c>
      <c r="B198">
        <v>550340</v>
      </c>
    </row>
    <row r="199" spans="1:2" x14ac:dyDescent="0.25">
      <c r="A199">
        <v>330450</v>
      </c>
      <c r="B199">
        <v>330450</v>
      </c>
    </row>
    <row r="200" spans="1:2" x14ac:dyDescent="0.25">
      <c r="A200">
        <v>330470</v>
      </c>
      <c r="B200">
        <v>330470</v>
      </c>
    </row>
    <row r="201" spans="1:2" x14ac:dyDescent="0.25">
      <c r="A201">
        <v>330560</v>
      </c>
      <c r="B201">
        <v>330561</v>
      </c>
    </row>
    <row r="202" spans="1:2" x14ac:dyDescent="0.25">
      <c r="A202">
        <v>330670</v>
      </c>
      <c r="B202">
        <v>330674</v>
      </c>
    </row>
    <row r="203" spans="1:2" x14ac:dyDescent="0.25">
      <c r="A203">
        <v>330690</v>
      </c>
      <c r="B203">
        <v>330691</v>
      </c>
    </row>
    <row r="204" spans="1:2" x14ac:dyDescent="0.25">
      <c r="A204">
        <v>330720</v>
      </c>
      <c r="B204">
        <v>330720</v>
      </c>
    </row>
    <row r="205" spans="1:2" x14ac:dyDescent="0.25">
      <c r="A205">
        <v>330760</v>
      </c>
      <c r="B205">
        <v>330760</v>
      </c>
    </row>
    <row r="206" spans="1:2" x14ac:dyDescent="0.25">
      <c r="A206">
        <v>330800</v>
      </c>
      <c r="B206">
        <v>330800</v>
      </c>
    </row>
    <row r="207" spans="1:2" x14ac:dyDescent="0.25">
      <c r="A207">
        <v>330820</v>
      </c>
      <c r="B207">
        <v>626762</v>
      </c>
    </row>
    <row r="208" spans="1:2" x14ac:dyDescent="0.25">
      <c r="A208">
        <v>340025</v>
      </c>
      <c r="B208">
        <v>624962</v>
      </c>
    </row>
    <row r="209" spans="1:2" x14ac:dyDescent="0.25">
      <c r="A209">
        <v>340028</v>
      </c>
      <c r="B209">
        <v>5026688</v>
      </c>
    </row>
    <row r="210" spans="1:2" x14ac:dyDescent="0.25">
      <c r="A210">
        <v>340060</v>
      </c>
      <c r="B210">
        <v>110062</v>
      </c>
    </row>
    <row r="211" spans="1:2" x14ac:dyDescent="0.25">
      <c r="A211">
        <v>340060</v>
      </c>
      <c r="B211">
        <v>110060</v>
      </c>
    </row>
    <row r="212" spans="1:2" x14ac:dyDescent="0.25">
      <c r="A212">
        <v>340090</v>
      </c>
      <c r="B212">
        <v>627320</v>
      </c>
    </row>
    <row r="213" spans="1:2" x14ac:dyDescent="0.25">
      <c r="A213">
        <v>340092</v>
      </c>
      <c r="B213">
        <v>627438</v>
      </c>
    </row>
    <row r="214" spans="1:2" x14ac:dyDescent="0.25">
      <c r="A214">
        <v>340182</v>
      </c>
      <c r="B214">
        <v>200180</v>
      </c>
    </row>
    <row r="215" spans="1:2" x14ac:dyDescent="0.25">
      <c r="A215">
        <v>340225</v>
      </c>
      <c r="B215">
        <v>200225</v>
      </c>
    </row>
    <row r="216" spans="1:2" x14ac:dyDescent="0.25">
      <c r="A216">
        <v>340230</v>
      </c>
      <c r="B216">
        <v>200230</v>
      </c>
    </row>
    <row r="217" spans="1:2" x14ac:dyDescent="0.25">
      <c r="A217">
        <v>340240</v>
      </c>
      <c r="B217">
        <v>110242</v>
      </c>
    </row>
    <row r="218" spans="1:2" x14ac:dyDescent="0.25">
      <c r="A218">
        <v>340290</v>
      </c>
      <c r="B218">
        <v>110071</v>
      </c>
    </row>
    <row r="219" spans="1:2" x14ac:dyDescent="0.25">
      <c r="A219">
        <v>340335</v>
      </c>
      <c r="B219">
        <v>130180</v>
      </c>
    </row>
    <row r="220" spans="1:2" x14ac:dyDescent="0.25">
      <c r="A220">
        <v>360050</v>
      </c>
      <c r="B220">
        <v>360050</v>
      </c>
    </row>
    <row r="221" spans="1:2" x14ac:dyDescent="0.25">
      <c r="A221">
        <v>360070</v>
      </c>
      <c r="B221">
        <v>625142</v>
      </c>
    </row>
    <row r="222" spans="1:2" x14ac:dyDescent="0.25">
      <c r="A222">
        <v>360220</v>
      </c>
      <c r="B222">
        <v>625401</v>
      </c>
    </row>
    <row r="223" spans="1:2" x14ac:dyDescent="0.25">
      <c r="A223">
        <v>360345</v>
      </c>
      <c r="B223">
        <v>360341</v>
      </c>
    </row>
    <row r="224" spans="1:2" x14ac:dyDescent="0.25">
      <c r="A224">
        <v>360360</v>
      </c>
      <c r="B224">
        <v>360360</v>
      </c>
    </row>
    <row r="225" spans="1:2" x14ac:dyDescent="0.25">
      <c r="A225">
        <v>360400</v>
      </c>
      <c r="B225">
        <v>360403</v>
      </c>
    </row>
    <row r="226" spans="1:2" x14ac:dyDescent="0.25">
      <c r="A226">
        <v>370020</v>
      </c>
      <c r="B226">
        <v>624925</v>
      </c>
    </row>
    <row r="227" spans="1:2" x14ac:dyDescent="0.25">
      <c r="A227">
        <v>370040</v>
      </c>
      <c r="B227">
        <v>370041</v>
      </c>
    </row>
    <row r="228" spans="1:2" x14ac:dyDescent="0.25">
      <c r="A228">
        <v>370050</v>
      </c>
      <c r="B228">
        <v>370050</v>
      </c>
    </row>
    <row r="229" spans="1:2" x14ac:dyDescent="0.25">
      <c r="A229">
        <v>370071</v>
      </c>
      <c r="B229">
        <v>370070</v>
      </c>
    </row>
    <row r="230" spans="1:2" x14ac:dyDescent="0.25">
      <c r="A230">
        <v>370080</v>
      </c>
      <c r="B230">
        <v>5027242</v>
      </c>
    </row>
    <row r="231" spans="1:2" x14ac:dyDescent="0.25">
      <c r="A231">
        <v>370140</v>
      </c>
      <c r="B231">
        <v>370146</v>
      </c>
    </row>
    <row r="232" spans="1:2" x14ac:dyDescent="0.25">
      <c r="A232">
        <v>370170</v>
      </c>
      <c r="B232">
        <v>370177</v>
      </c>
    </row>
    <row r="233" spans="1:2" x14ac:dyDescent="0.25">
      <c r="A233">
        <v>370190</v>
      </c>
      <c r="B233">
        <v>370190</v>
      </c>
    </row>
    <row r="234" spans="1:2" x14ac:dyDescent="0.25">
      <c r="A234">
        <v>370220</v>
      </c>
      <c r="B234">
        <v>5026611</v>
      </c>
    </row>
    <row r="235" spans="1:2" x14ac:dyDescent="0.25">
      <c r="A235">
        <v>370270</v>
      </c>
      <c r="B235">
        <v>370270</v>
      </c>
    </row>
    <row r="236" spans="1:2" x14ac:dyDescent="0.25">
      <c r="A236">
        <v>370310</v>
      </c>
      <c r="B236">
        <v>618977</v>
      </c>
    </row>
    <row r="237" spans="1:2" x14ac:dyDescent="0.25">
      <c r="A237">
        <v>370320</v>
      </c>
      <c r="B237">
        <v>370326</v>
      </c>
    </row>
    <row r="238" spans="1:2" x14ac:dyDescent="0.25">
      <c r="A238">
        <v>370380</v>
      </c>
      <c r="B238">
        <v>370380</v>
      </c>
    </row>
    <row r="239" spans="1:2" x14ac:dyDescent="0.25">
      <c r="A239">
        <v>370400</v>
      </c>
      <c r="B239">
        <v>370414</v>
      </c>
    </row>
    <row r="240" spans="1:2" x14ac:dyDescent="0.25">
      <c r="A240">
        <v>390030</v>
      </c>
      <c r="B240">
        <v>612200</v>
      </c>
    </row>
    <row r="241" spans="1:2" x14ac:dyDescent="0.25">
      <c r="A241">
        <v>390033</v>
      </c>
      <c r="B241">
        <v>70026</v>
      </c>
    </row>
    <row r="242" spans="1:2" x14ac:dyDescent="0.25">
      <c r="A242">
        <v>390034</v>
      </c>
      <c r="B242">
        <v>70039</v>
      </c>
    </row>
    <row r="243" spans="1:2" x14ac:dyDescent="0.25">
      <c r="A243">
        <v>390037</v>
      </c>
      <c r="B243">
        <v>5026999</v>
      </c>
    </row>
    <row r="244" spans="1:2" x14ac:dyDescent="0.25">
      <c r="A244">
        <v>390039</v>
      </c>
      <c r="B244">
        <v>627702</v>
      </c>
    </row>
    <row r="245" spans="1:2" x14ac:dyDescent="0.25">
      <c r="A245">
        <v>390042</v>
      </c>
      <c r="B245">
        <v>70064</v>
      </c>
    </row>
    <row r="246" spans="1:2" x14ac:dyDescent="0.25">
      <c r="A246">
        <v>390045</v>
      </c>
      <c r="B246">
        <v>390045</v>
      </c>
    </row>
    <row r="247" spans="1:2" x14ac:dyDescent="0.25">
      <c r="A247">
        <v>390070</v>
      </c>
      <c r="B247">
        <v>70077</v>
      </c>
    </row>
    <row r="248" spans="1:2" x14ac:dyDescent="0.25">
      <c r="A248">
        <v>390106</v>
      </c>
      <c r="B248">
        <v>620178</v>
      </c>
    </row>
    <row r="249" spans="1:2" x14ac:dyDescent="0.25">
      <c r="A249">
        <v>390152</v>
      </c>
      <c r="B249">
        <v>70160</v>
      </c>
    </row>
    <row r="250" spans="1:2" x14ac:dyDescent="0.25">
      <c r="A250">
        <v>390180</v>
      </c>
      <c r="B250">
        <v>390180</v>
      </c>
    </row>
    <row r="251" spans="1:2" x14ac:dyDescent="0.25">
      <c r="A251">
        <v>390209</v>
      </c>
      <c r="B251">
        <v>10294</v>
      </c>
    </row>
    <row r="252" spans="1:2" x14ac:dyDescent="0.25">
      <c r="A252">
        <v>390240</v>
      </c>
      <c r="B252">
        <v>614383</v>
      </c>
    </row>
    <row r="253" spans="1:2" x14ac:dyDescent="0.25">
      <c r="A253">
        <v>390250</v>
      </c>
      <c r="B253">
        <v>390254</v>
      </c>
    </row>
    <row r="254" spans="1:2" x14ac:dyDescent="0.25">
      <c r="A254">
        <v>390265</v>
      </c>
      <c r="B254">
        <v>5026460</v>
      </c>
    </row>
    <row r="255" spans="1:2" x14ac:dyDescent="0.25">
      <c r="A255">
        <v>390330</v>
      </c>
      <c r="B255">
        <v>10330</v>
      </c>
    </row>
    <row r="256" spans="1:2" x14ac:dyDescent="0.25">
      <c r="A256">
        <v>400600</v>
      </c>
      <c r="B256">
        <v>320600</v>
      </c>
    </row>
    <row r="257" spans="1:2" x14ac:dyDescent="0.25">
      <c r="A257">
        <v>420010</v>
      </c>
      <c r="B257">
        <v>420014</v>
      </c>
    </row>
    <row r="258" spans="1:2" x14ac:dyDescent="0.25">
      <c r="A258">
        <v>420025</v>
      </c>
      <c r="B258">
        <v>420023</v>
      </c>
    </row>
    <row r="259" spans="1:2" x14ac:dyDescent="0.25">
      <c r="A259">
        <v>420030</v>
      </c>
      <c r="B259">
        <v>420031</v>
      </c>
    </row>
    <row r="260" spans="1:2" x14ac:dyDescent="0.25">
      <c r="A260">
        <v>420040</v>
      </c>
      <c r="B260">
        <v>420044</v>
      </c>
    </row>
    <row r="261" spans="1:2" x14ac:dyDescent="0.25">
      <c r="A261">
        <v>420050</v>
      </c>
      <c r="B261">
        <v>420052</v>
      </c>
    </row>
    <row r="262" spans="1:2" x14ac:dyDescent="0.25">
      <c r="A262">
        <v>420070</v>
      </c>
      <c r="B262">
        <v>420076</v>
      </c>
    </row>
    <row r="263" spans="1:2" x14ac:dyDescent="0.25">
      <c r="A263">
        <v>420080</v>
      </c>
      <c r="B263">
        <v>420088</v>
      </c>
    </row>
    <row r="264" spans="1:2" x14ac:dyDescent="0.25">
      <c r="A264">
        <v>420090</v>
      </c>
      <c r="B264">
        <v>420090</v>
      </c>
    </row>
    <row r="265" spans="1:2" x14ac:dyDescent="0.25">
      <c r="A265">
        <v>420100</v>
      </c>
      <c r="B265">
        <v>420106</v>
      </c>
    </row>
    <row r="266" spans="1:2" x14ac:dyDescent="0.25">
      <c r="A266">
        <v>420108</v>
      </c>
      <c r="B266">
        <v>5022657</v>
      </c>
    </row>
    <row r="267" spans="1:2" x14ac:dyDescent="0.25">
      <c r="A267">
        <v>420110</v>
      </c>
      <c r="B267">
        <v>420116</v>
      </c>
    </row>
    <row r="268" spans="1:2" x14ac:dyDescent="0.25">
      <c r="A268">
        <v>420135</v>
      </c>
      <c r="B268">
        <v>420134</v>
      </c>
    </row>
    <row r="269" spans="1:2" x14ac:dyDescent="0.25">
      <c r="A269">
        <v>420140</v>
      </c>
      <c r="B269">
        <v>420146</v>
      </c>
    </row>
    <row r="270" spans="1:2" x14ac:dyDescent="0.25">
      <c r="A270">
        <v>420180</v>
      </c>
      <c r="B270">
        <v>420180</v>
      </c>
    </row>
    <row r="271" spans="1:2" x14ac:dyDescent="0.25">
      <c r="A271">
        <v>420190</v>
      </c>
      <c r="B271">
        <v>420191</v>
      </c>
    </row>
    <row r="272" spans="1:2" x14ac:dyDescent="0.25">
      <c r="A272">
        <v>420200</v>
      </c>
      <c r="B272">
        <v>420200</v>
      </c>
    </row>
    <row r="273" spans="1:2" x14ac:dyDescent="0.25">
      <c r="A273">
        <v>420250</v>
      </c>
      <c r="B273">
        <v>420256</v>
      </c>
    </row>
    <row r="274" spans="1:2" x14ac:dyDescent="0.25">
      <c r="A274">
        <v>420252</v>
      </c>
      <c r="B274">
        <v>420252</v>
      </c>
    </row>
    <row r="275" spans="1:2" x14ac:dyDescent="0.25">
      <c r="A275">
        <v>420270</v>
      </c>
      <c r="B275">
        <v>420273</v>
      </c>
    </row>
    <row r="276" spans="1:2" x14ac:dyDescent="0.25">
      <c r="A276">
        <v>420275</v>
      </c>
      <c r="B276">
        <v>627088</v>
      </c>
    </row>
    <row r="277" spans="1:2" x14ac:dyDescent="0.25">
      <c r="A277">
        <v>420300</v>
      </c>
      <c r="B277">
        <v>420300</v>
      </c>
    </row>
    <row r="278" spans="1:2" x14ac:dyDescent="0.25">
      <c r="A278">
        <v>420360</v>
      </c>
      <c r="B278">
        <v>420361</v>
      </c>
    </row>
    <row r="279" spans="1:2" x14ac:dyDescent="0.25">
      <c r="A279">
        <v>420365</v>
      </c>
      <c r="B279">
        <v>420365</v>
      </c>
    </row>
    <row r="280" spans="1:2" x14ac:dyDescent="0.25">
      <c r="A280">
        <v>420390</v>
      </c>
      <c r="B280">
        <v>420391</v>
      </c>
    </row>
    <row r="281" spans="1:2" x14ac:dyDescent="0.25">
      <c r="A281">
        <v>420440</v>
      </c>
      <c r="B281">
        <v>420442</v>
      </c>
    </row>
    <row r="282" spans="1:2" x14ac:dyDescent="0.25">
      <c r="A282">
        <v>420450</v>
      </c>
      <c r="B282">
        <v>420459</v>
      </c>
    </row>
    <row r="283" spans="1:2" x14ac:dyDescent="0.25">
      <c r="A283">
        <v>420510</v>
      </c>
      <c r="B283">
        <v>420516</v>
      </c>
    </row>
    <row r="284" spans="1:2" x14ac:dyDescent="0.25">
      <c r="A284">
        <v>420520</v>
      </c>
      <c r="B284">
        <v>420520</v>
      </c>
    </row>
    <row r="285" spans="1:2" x14ac:dyDescent="0.25">
      <c r="A285">
        <v>420560</v>
      </c>
      <c r="B285">
        <v>420560</v>
      </c>
    </row>
    <row r="286" spans="1:2" x14ac:dyDescent="0.25">
      <c r="A286">
        <v>420580</v>
      </c>
      <c r="B286">
        <v>420585</v>
      </c>
    </row>
    <row r="287" spans="1:2" x14ac:dyDescent="0.25">
      <c r="A287">
        <v>420610</v>
      </c>
      <c r="B287">
        <v>420611</v>
      </c>
    </row>
    <row r="288" spans="1:2" x14ac:dyDescent="0.25">
      <c r="A288">
        <v>420630</v>
      </c>
      <c r="B288">
        <v>420636</v>
      </c>
    </row>
    <row r="289" spans="1:2" x14ac:dyDescent="0.25">
      <c r="A289">
        <v>420650</v>
      </c>
      <c r="B289">
        <v>420650</v>
      </c>
    </row>
    <row r="290" spans="1:2" x14ac:dyDescent="0.25">
      <c r="A290">
        <v>420660</v>
      </c>
      <c r="B290">
        <v>420669</v>
      </c>
    </row>
    <row r="291" spans="1:2" x14ac:dyDescent="0.25">
      <c r="A291">
        <v>420670</v>
      </c>
      <c r="B291">
        <v>420671</v>
      </c>
    </row>
    <row r="292" spans="1:2" x14ac:dyDescent="0.25">
      <c r="A292">
        <v>420690</v>
      </c>
      <c r="B292">
        <v>420692</v>
      </c>
    </row>
    <row r="293" spans="1:2" x14ac:dyDescent="0.25">
      <c r="A293">
        <v>420710</v>
      </c>
      <c r="B293">
        <v>420706</v>
      </c>
    </row>
    <row r="294" spans="1:2" x14ac:dyDescent="0.25">
      <c r="A294">
        <v>30190</v>
      </c>
      <c r="B294">
        <v>5024695</v>
      </c>
    </row>
    <row r="295" spans="1:2" x14ac:dyDescent="0.25">
      <c r="A295">
        <v>330020</v>
      </c>
      <c r="B295">
        <v>330020</v>
      </c>
    </row>
    <row r="296" spans="1:2" x14ac:dyDescent="0.25">
      <c r="A296">
        <v>420180</v>
      </c>
      <c r="B296">
        <v>601365</v>
      </c>
    </row>
    <row r="297" spans="1:2" x14ac:dyDescent="0.25">
      <c r="A297">
        <v>270270</v>
      </c>
      <c r="B297">
        <v>626812</v>
      </c>
    </row>
    <row r="298" spans="1:2" x14ac:dyDescent="0.25">
      <c r="A298">
        <v>30190</v>
      </c>
      <c r="B298">
        <v>30191</v>
      </c>
    </row>
    <row r="299" spans="1:2" x14ac:dyDescent="0.25">
      <c r="A299">
        <v>30150</v>
      </c>
      <c r="B299">
        <v>5027975</v>
      </c>
    </row>
    <row r="300" spans="1:2" x14ac:dyDescent="0.25">
      <c r="A300">
        <v>370320</v>
      </c>
      <c r="B300">
        <v>370321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E75CC-3965-4FD9-A17B-248002D559FF}">
  <dimension ref="A1:CL330"/>
  <sheetViews>
    <sheetView workbookViewId="0"/>
  </sheetViews>
  <sheetFormatPr defaultRowHeight="15" x14ac:dyDescent="0.25"/>
  <cols>
    <col min="1" max="1" width="11.42578125" bestFit="1" customWidth="1"/>
    <col min="2" max="2" width="8.5703125" bestFit="1" customWidth="1"/>
    <col min="3" max="3" width="12" bestFit="1" customWidth="1"/>
    <col min="4" max="4" width="14.85546875" bestFit="1" customWidth="1"/>
    <col min="5" max="5" width="22.7109375" bestFit="1" customWidth="1"/>
    <col min="6" max="6" width="18" bestFit="1" customWidth="1"/>
    <col min="7" max="7" width="10.85546875" bestFit="1" customWidth="1"/>
    <col min="8" max="8" width="14.85546875" bestFit="1" customWidth="1"/>
    <col min="9" max="9" width="7.28515625" bestFit="1" customWidth="1"/>
    <col min="10" max="10" width="13.42578125" bestFit="1" customWidth="1"/>
    <col min="11" max="11" width="14.7109375" bestFit="1" customWidth="1"/>
    <col min="12" max="12" width="17.85546875" bestFit="1" customWidth="1"/>
    <col min="13" max="13" width="8.5703125" bestFit="1" customWidth="1"/>
    <col min="14" max="14" width="44.5703125" bestFit="1" customWidth="1"/>
    <col min="15" max="15" width="12.28515625" bestFit="1" customWidth="1"/>
    <col min="16" max="16" width="18.140625" bestFit="1" customWidth="1"/>
    <col min="17" max="17" width="7.5703125" bestFit="1" customWidth="1"/>
    <col min="18" max="18" width="39.5703125" bestFit="1" customWidth="1"/>
    <col min="19" max="19" width="29.42578125" bestFit="1" customWidth="1"/>
    <col min="20" max="20" width="20.5703125" bestFit="1" customWidth="1"/>
    <col min="21" max="21" width="15.5703125" bestFit="1" customWidth="1"/>
    <col min="22" max="22" width="19.7109375" bestFit="1" customWidth="1"/>
    <col min="23" max="23" width="8" bestFit="1" customWidth="1"/>
    <col min="24" max="24" width="11.5703125" bestFit="1" customWidth="1"/>
    <col min="25" max="25" width="10.5703125" bestFit="1" customWidth="1"/>
    <col min="26" max="26" width="18.140625" bestFit="1" customWidth="1"/>
    <col min="27" max="27" width="44.5703125" bestFit="1" customWidth="1"/>
    <col min="28" max="28" width="39.5703125" bestFit="1" customWidth="1"/>
    <col min="29" max="29" width="29.42578125" bestFit="1" customWidth="1"/>
    <col min="30" max="30" width="29.85546875" bestFit="1" customWidth="1"/>
    <col min="31" max="33" width="25.140625" bestFit="1" customWidth="1"/>
    <col min="34" max="34" width="40.140625" bestFit="1" customWidth="1"/>
    <col min="35" max="36" width="12.7109375" bestFit="1" customWidth="1"/>
    <col min="37" max="37" width="12.28515625" bestFit="1" customWidth="1"/>
    <col min="38" max="38" width="20.28515625" bestFit="1" customWidth="1"/>
    <col min="39" max="39" width="23" bestFit="1" customWidth="1"/>
    <col min="40" max="40" width="22.28515625" bestFit="1" customWidth="1"/>
    <col min="41" max="41" width="20" bestFit="1" customWidth="1"/>
    <col min="42" max="42" width="20.28515625" bestFit="1" customWidth="1"/>
    <col min="43" max="43" width="23" bestFit="1" customWidth="1"/>
    <col min="44" max="44" width="22.28515625" bestFit="1" customWidth="1"/>
    <col min="45" max="45" width="20" bestFit="1" customWidth="1"/>
    <col min="46" max="46" width="20.28515625" bestFit="1" customWidth="1"/>
    <col min="47" max="47" width="23" bestFit="1" customWidth="1"/>
    <col min="48" max="48" width="22.28515625" bestFit="1" customWidth="1"/>
    <col min="49" max="49" width="20" bestFit="1" customWidth="1"/>
    <col min="50" max="50" width="20.28515625" bestFit="1" customWidth="1"/>
    <col min="51" max="51" width="23" bestFit="1" customWidth="1"/>
    <col min="52" max="52" width="22.28515625" bestFit="1" customWidth="1"/>
    <col min="53" max="53" width="20" bestFit="1" customWidth="1"/>
    <col min="54" max="54" width="20.28515625" bestFit="1" customWidth="1"/>
    <col min="55" max="55" width="23" bestFit="1" customWidth="1"/>
    <col min="56" max="56" width="22.28515625" bestFit="1" customWidth="1"/>
    <col min="57" max="57" width="20" bestFit="1" customWidth="1"/>
    <col min="58" max="58" width="20.28515625" bestFit="1" customWidth="1"/>
    <col min="59" max="59" width="23" bestFit="1" customWidth="1"/>
    <col min="60" max="60" width="22.28515625" bestFit="1" customWidth="1"/>
    <col min="61" max="61" width="20" bestFit="1" customWidth="1"/>
    <col min="62" max="62" width="20.28515625" bestFit="1" customWidth="1"/>
    <col min="63" max="63" width="23" bestFit="1" customWidth="1"/>
    <col min="64" max="64" width="22.28515625" bestFit="1" customWidth="1"/>
    <col min="65" max="65" width="20" bestFit="1" customWidth="1"/>
    <col min="66" max="66" width="20.28515625" bestFit="1" customWidth="1"/>
    <col min="67" max="67" width="23" bestFit="1" customWidth="1"/>
    <col min="68" max="68" width="22.28515625" bestFit="1" customWidth="1"/>
    <col min="69" max="69" width="20" bestFit="1" customWidth="1"/>
    <col min="70" max="70" width="20.28515625" bestFit="1" customWidth="1"/>
    <col min="71" max="71" width="23" bestFit="1" customWidth="1"/>
    <col min="72" max="72" width="22.28515625" bestFit="1" customWidth="1"/>
    <col min="73" max="73" width="20" bestFit="1" customWidth="1"/>
    <col min="74" max="74" width="20.28515625" bestFit="1" customWidth="1"/>
    <col min="75" max="75" width="23" bestFit="1" customWidth="1"/>
    <col min="76" max="76" width="22.28515625" bestFit="1" customWidth="1"/>
    <col min="77" max="77" width="20" bestFit="1" customWidth="1"/>
    <col min="78" max="78" width="20.28515625" bestFit="1" customWidth="1"/>
    <col min="79" max="79" width="23" bestFit="1" customWidth="1"/>
    <col min="80" max="80" width="22.28515625" bestFit="1" customWidth="1"/>
    <col min="81" max="81" width="20" bestFit="1" customWidth="1"/>
    <col min="82" max="82" width="20.28515625" bestFit="1" customWidth="1"/>
    <col min="83" max="83" width="23" bestFit="1" customWidth="1"/>
    <col min="84" max="84" width="22.28515625" bestFit="1" customWidth="1"/>
    <col min="85" max="85" width="20" bestFit="1" customWidth="1"/>
    <col min="86" max="86" width="15.140625" bestFit="1" customWidth="1"/>
    <col min="87" max="87" width="28" bestFit="1" customWidth="1"/>
    <col min="88" max="88" width="17.7109375" bestFit="1" customWidth="1"/>
    <col min="89" max="89" width="24" bestFit="1" customWidth="1"/>
    <col min="90" max="90" width="14.28515625" bestFit="1" customWidth="1"/>
  </cols>
  <sheetData>
    <row r="1" spans="1:9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  <row r="2" spans="1:90" x14ac:dyDescent="0.25">
      <c r="A2">
        <v>571840</v>
      </c>
      <c r="B2">
        <v>102</v>
      </c>
      <c r="C2">
        <v>300910</v>
      </c>
      <c r="D2">
        <v>1</v>
      </c>
      <c r="E2">
        <v>1</v>
      </c>
      <c r="F2">
        <v>10294</v>
      </c>
      <c r="G2">
        <v>10294</v>
      </c>
      <c r="H2" t="s">
        <v>90</v>
      </c>
      <c r="N2" t="s">
        <v>91</v>
      </c>
      <c r="O2">
        <v>4007036</v>
      </c>
      <c r="P2" t="s">
        <v>92</v>
      </c>
      <c r="Q2" t="s">
        <v>93</v>
      </c>
      <c r="R2" t="s">
        <v>94</v>
      </c>
      <c r="S2" t="s">
        <v>95</v>
      </c>
      <c r="V2" t="s">
        <v>96</v>
      </c>
      <c r="W2" t="s">
        <v>97</v>
      </c>
      <c r="X2" t="s">
        <v>98</v>
      </c>
      <c r="Y2" t="s">
        <v>99</v>
      </c>
      <c r="AA2" t="s">
        <v>91</v>
      </c>
      <c r="AB2" t="s">
        <v>94</v>
      </c>
      <c r="AC2" t="s">
        <v>95</v>
      </c>
      <c r="AD2" t="s">
        <v>100</v>
      </c>
      <c r="AH2" t="s">
        <v>101</v>
      </c>
      <c r="AI2">
        <v>456</v>
      </c>
      <c r="AK2">
        <v>0</v>
      </c>
      <c r="AL2" s="1">
        <v>45721</v>
      </c>
      <c r="AM2">
        <v>228</v>
      </c>
      <c r="AN2">
        <v>1869812</v>
      </c>
      <c r="AP2" s="1">
        <v>45819</v>
      </c>
      <c r="AQ2">
        <v>228</v>
      </c>
      <c r="AR2">
        <v>1885194</v>
      </c>
      <c r="CH2">
        <v>850534503</v>
      </c>
    </row>
    <row r="3" spans="1:90" x14ac:dyDescent="0.25">
      <c r="A3">
        <v>571841</v>
      </c>
      <c r="B3">
        <v>102</v>
      </c>
      <c r="C3">
        <v>300911</v>
      </c>
      <c r="D3">
        <v>1</v>
      </c>
      <c r="E3">
        <v>1</v>
      </c>
      <c r="F3">
        <v>30190</v>
      </c>
      <c r="G3">
        <v>30190</v>
      </c>
      <c r="H3" t="s">
        <v>90</v>
      </c>
      <c r="N3" t="s">
        <v>102</v>
      </c>
      <c r="O3">
        <v>30190</v>
      </c>
      <c r="P3" t="s">
        <v>92</v>
      </c>
      <c r="Q3" t="s">
        <v>93</v>
      </c>
      <c r="R3" t="s">
        <v>103</v>
      </c>
      <c r="V3" t="s">
        <v>104</v>
      </c>
      <c r="W3" t="s">
        <v>105</v>
      </c>
      <c r="X3">
        <v>95966</v>
      </c>
      <c r="Y3" t="s">
        <v>99</v>
      </c>
      <c r="AA3" t="s">
        <v>102</v>
      </c>
      <c r="AB3" t="s">
        <v>103</v>
      </c>
      <c r="AC3" t="s">
        <v>106</v>
      </c>
      <c r="AI3">
        <v>5913.85</v>
      </c>
      <c r="AK3">
        <v>0</v>
      </c>
      <c r="AL3" s="1">
        <v>45681</v>
      </c>
      <c r="AM3">
        <v>5556</v>
      </c>
      <c r="AN3">
        <v>1862591</v>
      </c>
      <c r="AP3" s="1">
        <v>45847</v>
      </c>
      <c r="AQ3">
        <v>357.85</v>
      </c>
      <c r="AR3">
        <v>1890199</v>
      </c>
      <c r="CH3">
        <v>95966</v>
      </c>
    </row>
    <row r="4" spans="1:90" x14ac:dyDescent="0.25">
      <c r="A4">
        <v>571842</v>
      </c>
      <c r="B4">
        <v>102</v>
      </c>
      <c r="C4">
        <v>300912</v>
      </c>
      <c r="D4">
        <v>1</v>
      </c>
      <c r="E4">
        <v>1</v>
      </c>
      <c r="F4">
        <v>30191</v>
      </c>
      <c r="G4">
        <v>30191</v>
      </c>
      <c r="H4" t="s">
        <v>90</v>
      </c>
      <c r="N4" t="s">
        <v>107</v>
      </c>
      <c r="O4">
        <v>4010423</v>
      </c>
      <c r="P4" t="s">
        <v>92</v>
      </c>
      <c r="Q4" t="s">
        <v>93</v>
      </c>
      <c r="R4" t="s">
        <v>108</v>
      </c>
      <c r="S4" t="s">
        <v>109</v>
      </c>
      <c r="V4" t="s">
        <v>110</v>
      </c>
      <c r="W4" t="s">
        <v>105</v>
      </c>
      <c r="X4" t="s">
        <v>111</v>
      </c>
      <c r="Y4" t="s">
        <v>99</v>
      </c>
      <c r="AA4" t="s">
        <v>107</v>
      </c>
      <c r="AB4" t="s">
        <v>108</v>
      </c>
      <c r="AC4" t="s">
        <v>109</v>
      </c>
      <c r="AD4" t="s">
        <v>112</v>
      </c>
      <c r="AH4" t="s">
        <v>113</v>
      </c>
      <c r="AI4">
        <v>1062</v>
      </c>
      <c r="AK4">
        <v>0</v>
      </c>
      <c r="AL4" s="1">
        <v>45684</v>
      </c>
      <c r="AM4">
        <v>0</v>
      </c>
      <c r="AN4">
        <v>1862688</v>
      </c>
      <c r="AO4">
        <v>0</v>
      </c>
      <c r="AP4" s="1">
        <v>45818</v>
      </c>
      <c r="AQ4">
        <v>1062</v>
      </c>
      <c r="AR4">
        <v>1884295</v>
      </c>
      <c r="CH4">
        <v>959666313</v>
      </c>
    </row>
    <row r="5" spans="1:90" x14ac:dyDescent="0.25">
      <c r="A5">
        <v>571843</v>
      </c>
      <c r="B5">
        <v>102</v>
      </c>
      <c r="C5">
        <v>300913</v>
      </c>
      <c r="D5">
        <v>1</v>
      </c>
      <c r="E5">
        <v>1</v>
      </c>
      <c r="F5">
        <v>30236</v>
      </c>
      <c r="G5">
        <v>30236</v>
      </c>
      <c r="H5" t="s">
        <v>90</v>
      </c>
      <c r="N5" t="s">
        <v>114</v>
      </c>
      <c r="O5">
        <v>4004062</v>
      </c>
      <c r="P5" t="s">
        <v>92</v>
      </c>
      <c r="Q5" t="s">
        <v>93</v>
      </c>
      <c r="R5" t="s">
        <v>115</v>
      </c>
      <c r="S5" t="s">
        <v>116</v>
      </c>
      <c r="V5" t="s">
        <v>117</v>
      </c>
      <c r="W5" t="s">
        <v>105</v>
      </c>
      <c r="X5" t="s">
        <v>118</v>
      </c>
      <c r="Y5" t="s">
        <v>99</v>
      </c>
      <c r="AA5" t="s">
        <v>114</v>
      </c>
      <c r="AB5" t="s">
        <v>115</v>
      </c>
      <c r="AC5" t="s">
        <v>116</v>
      </c>
      <c r="AD5" t="s">
        <v>119</v>
      </c>
      <c r="AI5">
        <v>456</v>
      </c>
      <c r="AK5">
        <v>0</v>
      </c>
      <c r="AL5" s="1">
        <v>45667</v>
      </c>
      <c r="AM5">
        <v>152</v>
      </c>
      <c r="AN5">
        <v>1859798</v>
      </c>
      <c r="AP5" s="1">
        <v>45740</v>
      </c>
      <c r="AQ5">
        <v>38</v>
      </c>
      <c r="AR5">
        <v>1871484</v>
      </c>
      <c r="AT5" s="1">
        <v>45825</v>
      </c>
      <c r="AU5">
        <v>152</v>
      </c>
      <c r="AV5">
        <v>1885398</v>
      </c>
      <c r="AX5" s="1">
        <v>45915</v>
      </c>
      <c r="AY5">
        <v>114</v>
      </c>
      <c r="AZ5">
        <v>1898988</v>
      </c>
      <c r="CH5">
        <v>953662422</v>
      </c>
    </row>
    <row r="6" spans="1:90" x14ac:dyDescent="0.25">
      <c r="A6">
        <v>571844</v>
      </c>
      <c r="B6">
        <v>102</v>
      </c>
      <c r="C6">
        <v>300914</v>
      </c>
      <c r="D6">
        <v>1</v>
      </c>
      <c r="E6">
        <v>1</v>
      </c>
      <c r="F6">
        <v>50111</v>
      </c>
      <c r="G6">
        <v>50111</v>
      </c>
      <c r="H6" t="s">
        <v>90</v>
      </c>
      <c r="N6" t="s">
        <v>120</v>
      </c>
      <c r="O6">
        <v>4004066</v>
      </c>
      <c r="P6" t="s">
        <v>92</v>
      </c>
      <c r="Q6" t="s">
        <v>93</v>
      </c>
      <c r="R6" t="s">
        <v>121</v>
      </c>
      <c r="S6" t="s">
        <v>122</v>
      </c>
      <c r="V6" t="s">
        <v>123</v>
      </c>
      <c r="W6" t="s">
        <v>124</v>
      </c>
      <c r="X6" t="s">
        <v>125</v>
      </c>
      <c r="Y6" t="s">
        <v>99</v>
      </c>
      <c r="AA6" t="s">
        <v>120</v>
      </c>
      <c r="AB6" t="s">
        <v>121</v>
      </c>
      <c r="AC6" t="s">
        <v>122</v>
      </c>
      <c r="AD6" t="s">
        <v>126</v>
      </c>
      <c r="AH6" t="s">
        <v>127</v>
      </c>
      <c r="AI6">
        <v>456</v>
      </c>
      <c r="AK6">
        <v>0</v>
      </c>
      <c r="AL6" s="1">
        <v>45812</v>
      </c>
      <c r="AM6">
        <v>456</v>
      </c>
      <c r="AN6">
        <v>1883856</v>
      </c>
      <c r="CH6">
        <v>120782909</v>
      </c>
    </row>
    <row r="7" spans="1:90" x14ac:dyDescent="0.25">
      <c r="A7">
        <v>571845</v>
      </c>
      <c r="B7">
        <v>102</v>
      </c>
      <c r="C7">
        <v>300915</v>
      </c>
      <c r="D7">
        <v>1</v>
      </c>
      <c r="E7">
        <v>1</v>
      </c>
      <c r="F7">
        <v>50120</v>
      </c>
      <c r="G7">
        <v>50120</v>
      </c>
      <c r="H7" t="s">
        <v>90</v>
      </c>
      <c r="N7" t="s">
        <v>128</v>
      </c>
      <c r="O7">
        <v>50120</v>
      </c>
      <c r="P7" t="s">
        <v>92</v>
      </c>
      <c r="Q7" t="s">
        <v>93</v>
      </c>
      <c r="R7" t="s">
        <v>129</v>
      </c>
      <c r="V7" t="s">
        <v>130</v>
      </c>
      <c r="W7" t="s">
        <v>124</v>
      </c>
      <c r="X7">
        <v>13350</v>
      </c>
      <c r="Y7" t="s">
        <v>99</v>
      </c>
      <c r="AA7" t="s">
        <v>128</v>
      </c>
      <c r="AB7" t="s">
        <v>129</v>
      </c>
      <c r="AC7" t="s">
        <v>131</v>
      </c>
      <c r="AI7">
        <v>1818</v>
      </c>
      <c r="AK7">
        <v>0</v>
      </c>
      <c r="AL7" s="1">
        <v>45721</v>
      </c>
      <c r="AM7">
        <v>1818</v>
      </c>
      <c r="AN7">
        <v>1869802</v>
      </c>
      <c r="CH7">
        <v>13350</v>
      </c>
    </row>
    <row r="8" spans="1:90" x14ac:dyDescent="0.25">
      <c r="A8">
        <v>571846</v>
      </c>
      <c r="B8">
        <v>102</v>
      </c>
      <c r="C8">
        <v>300916</v>
      </c>
      <c r="D8">
        <v>1</v>
      </c>
      <c r="E8">
        <v>1</v>
      </c>
      <c r="F8">
        <v>50240</v>
      </c>
      <c r="G8">
        <v>50240</v>
      </c>
      <c r="H8" t="s">
        <v>90</v>
      </c>
      <c r="N8" t="s">
        <v>132</v>
      </c>
      <c r="O8">
        <v>4004069</v>
      </c>
      <c r="P8" t="s">
        <v>92</v>
      </c>
      <c r="Q8" t="s">
        <v>93</v>
      </c>
      <c r="R8" t="s">
        <v>133</v>
      </c>
      <c r="S8" t="s">
        <v>134</v>
      </c>
      <c r="V8" t="s">
        <v>135</v>
      </c>
      <c r="W8" t="s">
        <v>124</v>
      </c>
      <c r="X8" t="s">
        <v>136</v>
      </c>
      <c r="Y8" t="s">
        <v>99</v>
      </c>
      <c r="AA8" t="s">
        <v>132</v>
      </c>
      <c r="AB8" t="s">
        <v>133</v>
      </c>
      <c r="AC8" t="s">
        <v>134</v>
      </c>
      <c r="AD8" t="s">
        <v>137</v>
      </c>
      <c r="AI8">
        <v>200</v>
      </c>
      <c r="AK8">
        <v>0</v>
      </c>
      <c r="AL8" s="1">
        <v>45861</v>
      </c>
      <c r="AM8">
        <v>200</v>
      </c>
      <c r="AN8">
        <v>1890909</v>
      </c>
      <c r="CH8">
        <v>128665942</v>
      </c>
    </row>
    <row r="9" spans="1:90" x14ac:dyDescent="0.25">
      <c r="A9">
        <v>571847</v>
      </c>
      <c r="B9">
        <v>102</v>
      </c>
      <c r="C9">
        <v>300917</v>
      </c>
      <c r="D9">
        <v>1</v>
      </c>
      <c r="E9">
        <v>1</v>
      </c>
      <c r="F9">
        <v>50250</v>
      </c>
      <c r="G9">
        <v>50250</v>
      </c>
      <c r="H9" t="s">
        <v>90</v>
      </c>
      <c r="N9" t="s">
        <v>138</v>
      </c>
      <c r="O9">
        <v>4006174</v>
      </c>
      <c r="P9" t="s">
        <v>92</v>
      </c>
      <c r="Q9" t="s">
        <v>93</v>
      </c>
      <c r="R9" t="s">
        <v>139</v>
      </c>
      <c r="S9" t="s">
        <v>140</v>
      </c>
      <c r="V9" t="s">
        <v>141</v>
      </c>
      <c r="W9" t="s">
        <v>124</v>
      </c>
      <c r="X9">
        <v>13329</v>
      </c>
      <c r="Y9" t="s">
        <v>99</v>
      </c>
      <c r="AA9" t="s">
        <v>138</v>
      </c>
      <c r="AB9" t="s">
        <v>139</v>
      </c>
      <c r="AC9" t="s">
        <v>140</v>
      </c>
      <c r="AD9" t="s">
        <v>142</v>
      </c>
      <c r="AI9">
        <v>912</v>
      </c>
      <c r="AK9">
        <v>0</v>
      </c>
      <c r="AL9" s="1">
        <v>45674</v>
      </c>
      <c r="AM9">
        <v>912</v>
      </c>
      <c r="AN9">
        <v>1861977</v>
      </c>
      <c r="CH9">
        <v>13329</v>
      </c>
    </row>
    <row r="10" spans="1:90" x14ac:dyDescent="0.25">
      <c r="A10">
        <v>571848</v>
      </c>
      <c r="B10">
        <v>102</v>
      </c>
      <c r="C10">
        <v>300918</v>
      </c>
      <c r="D10">
        <v>1</v>
      </c>
      <c r="E10">
        <v>1</v>
      </c>
      <c r="F10">
        <v>60015</v>
      </c>
      <c r="G10">
        <v>60015</v>
      </c>
      <c r="H10" t="s">
        <v>90</v>
      </c>
      <c r="N10" t="s">
        <v>143</v>
      </c>
      <c r="O10">
        <v>60015</v>
      </c>
      <c r="P10" t="s">
        <v>92</v>
      </c>
      <c r="Q10" t="s">
        <v>93</v>
      </c>
      <c r="R10" t="s">
        <v>144</v>
      </c>
      <c r="V10" t="s">
        <v>145</v>
      </c>
      <c r="W10" t="s">
        <v>146</v>
      </c>
      <c r="X10" t="s">
        <v>147</v>
      </c>
      <c r="Y10" t="s">
        <v>99</v>
      </c>
      <c r="AA10" t="s">
        <v>143</v>
      </c>
      <c r="AB10" t="s">
        <v>144</v>
      </c>
      <c r="AC10" t="s">
        <v>148</v>
      </c>
      <c r="AI10">
        <v>500</v>
      </c>
      <c r="AK10">
        <v>0</v>
      </c>
      <c r="AL10" s="1">
        <v>45958</v>
      </c>
      <c r="AM10">
        <v>500</v>
      </c>
      <c r="AN10">
        <v>1906668</v>
      </c>
      <c r="CH10">
        <v>634332010</v>
      </c>
    </row>
    <row r="11" spans="1:90" x14ac:dyDescent="0.25">
      <c r="A11">
        <v>571849</v>
      </c>
      <c r="B11">
        <v>102</v>
      </c>
      <c r="C11">
        <v>300919</v>
      </c>
      <c r="D11">
        <v>1</v>
      </c>
      <c r="E11">
        <v>1</v>
      </c>
      <c r="F11">
        <v>60070</v>
      </c>
      <c r="G11">
        <v>60070</v>
      </c>
      <c r="H11" t="s">
        <v>90</v>
      </c>
      <c r="N11" t="s">
        <v>149</v>
      </c>
      <c r="O11">
        <v>4004072</v>
      </c>
      <c r="P11" t="s">
        <v>92</v>
      </c>
      <c r="Q11" t="s">
        <v>93</v>
      </c>
      <c r="R11" t="s">
        <v>150</v>
      </c>
      <c r="S11" t="s">
        <v>151</v>
      </c>
      <c r="V11" t="s">
        <v>152</v>
      </c>
      <c r="W11" t="s">
        <v>153</v>
      </c>
      <c r="X11" t="s">
        <v>154</v>
      </c>
      <c r="Y11" t="s">
        <v>99</v>
      </c>
      <c r="AA11" t="s">
        <v>149</v>
      </c>
      <c r="AB11" t="s">
        <v>150</v>
      </c>
      <c r="AC11" t="s">
        <v>151</v>
      </c>
      <c r="AD11" t="s">
        <v>155</v>
      </c>
      <c r="AH11" t="s">
        <v>156</v>
      </c>
      <c r="AI11">
        <v>456</v>
      </c>
      <c r="AK11">
        <v>0</v>
      </c>
      <c r="AL11" s="1">
        <v>45684</v>
      </c>
      <c r="AM11">
        <v>228</v>
      </c>
      <c r="AN11">
        <v>1862718</v>
      </c>
      <c r="AP11" s="1">
        <v>45835</v>
      </c>
      <c r="AQ11">
        <v>228</v>
      </c>
      <c r="AR11">
        <v>1887991</v>
      </c>
      <c r="CH11">
        <v>620171136</v>
      </c>
    </row>
    <row r="12" spans="1:90" x14ac:dyDescent="0.25">
      <c r="A12">
        <v>571850</v>
      </c>
      <c r="B12">
        <v>102</v>
      </c>
      <c r="C12">
        <v>300920</v>
      </c>
      <c r="D12">
        <v>1</v>
      </c>
      <c r="E12">
        <v>1</v>
      </c>
      <c r="F12">
        <v>60094</v>
      </c>
      <c r="G12">
        <v>60094</v>
      </c>
      <c r="H12" t="s">
        <v>90</v>
      </c>
      <c r="N12" t="s">
        <v>157</v>
      </c>
      <c r="O12">
        <v>4004073</v>
      </c>
      <c r="P12" t="s">
        <v>92</v>
      </c>
      <c r="Q12" t="s">
        <v>93</v>
      </c>
      <c r="R12" t="s">
        <v>158</v>
      </c>
      <c r="S12" t="s">
        <v>159</v>
      </c>
      <c r="V12" t="s">
        <v>160</v>
      </c>
      <c r="W12" t="s">
        <v>153</v>
      </c>
      <c r="X12" t="s">
        <v>161</v>
      </c>
      <c r="Y12" t="s">
        <v>99</v>
      </c>
      <c r="AA12" t="s">
        <v>162</v>
      </c>
      <c r="AB12" t="s">
        <v>158</v>
      </c>
      <c r="AC12" t="s">
        <v>159</v>
      </c>
      <c r="AD12" t="s">
        <v>163</v>
      </c>
      <c r="AH12" t="s">
        <v>164</v>
      </c>
      <c r="AI12">
        <v>456</v>
      </c>
      <c r="AK12">
        <v>0</v>
      </c>
      <c r="AL12" s="1">
        <v>45951</v>
      </c>
      <c r="AM12">
        <v>456</v>
      </c>
      <c r="AN12">
        <v>1905196</v>
      </c>
      <c r="CH12">
        <v>624224006</v>
      </c>
    </row>
    <row r="13" spans="1:90" x14ac:dyDescent="0.25">
      <c r="A13">
        <v>571851</v>
      </c>
      <c r="B13">
        <v>102</v>
      </c>
      <c r="C13">
        <v>300921</v>
      </c>
      <c r="D13">
        <v>1</v>
      </c>
      <c r="E13">
        <v>1</v>
      </c>
      <c r="F13">
        <v>60160</v>
      </c>
      <c r="G13">
        <v>60160</v>
      </c>
      <c r="H13" t="s">
        <v>90</v>
      </c>
      <c r="N13" t="s">
        <v>165</v>
      </c>
      <c r="O13">
        <v>4004075</v>
      </c>
      <c r="P13" t="s">
        <v>92</v>
      </c>
      <c r="Q13" t="s">
        <v>93</v>
      </c>
      <c r="R13" t="s">
        <v>166</v>
      </c>
      <c r="S13" t="s">
        <v>167</v>
      </c>
      <c r="V13" t="s">
        <v>168</v>
      </c>
      <c r="W13" t="s">
        <v>153</v>
      </c>
      <c r="X13" t="s">
        <v>169</v>
      </c>
      <c r="Y13" t="s">
        <v>99</v>
      </c>
      <c r="AA13" t="s">
        <v>165</v>
      </c>
      <c r="AB13" t="s">
        <v>166</v>
      </c>
      <c r="AC13" t="s">
        <v>167</v>
      </c>
      <c r="AD13" t="s">
        <v>170</v>
      </c>
      <c r="AH13" t="s">
        <v>171</v>
      </c>
      <c r="AI13">
        <v>228</v>
      </c>
      <c r="AK13">
        <v>0</v>
      </c>
      <c r="AL13" s="1">
        <v>45672</v>
      </c>
      <c r="AM13">
        <v>38</v>
      </c>
      <c r="AN13">
        <v>1860540</v>
      </c>
      <c r="AP13" s="1">
        <v>45703</v>
      </c>
      <c r="AQ13">
        <v>38</v>
      </c>
      <c r="AR13">
        <v>1865630</v>
      </c>
      <c r="AT13" s="1">
        <v>45731</v>
      </c>
      <c r="AU13">
        <v>38</v>
      </c>
      <c r="AV13">
        <v>1870320</v>
      </c>
      <c r="AX13" s="1">
        <v>45762</v>
      </c>
      <c r="AY13">
        <v>38</v>
      </c>
      <c r="AZ13">
        <v>1875108</v>
      </c>
      <c r="BB13" s="1">
        <v>45792</v>
      </c>
      <c r="BC13">
        <v>38</v>
      </c>
      <c r="BD13">
        <v>1880219</v>
      </c>
      <c r="BF13" s="1">
        <v>45823</v>
      </c>
      <c r="BG13">
        <v>38</v>
      </c>
      <c r="BH13">
        <v>1884882</v>
      </c>
      <c r="CH13">
        <v>629598240</v>
      </c>
    </row>
    <row r="14" spans="1:90" x14ac:dyDescent="0.25">
      <c r="A14">
        <v>571852</v>
      </c>
      <c r="B14">
        <v>102</v>
      </c>
      <c r="C14">
        <v>300922</v>
      </c>
      <c r="D14">
        <v>1</v>
      </c>
      <c r="E14">
        <v>3</v>
      </c>
      <c r="F14">
        <v>60180</v>
      </c>
      <c r="G14">
        <v>60180</v>
      </c>
      <c r="H14" t="s">
        <v>90</v>
      </c>
      <c r="N14" t="s">
        <v>172</v>
      </c>
      <c r="O14">
        <v>60180</v>
      </c>
      <c r="P14" t="s">
        <v>92</v>
      </c>
      <c r="Q14" t="s">
        <v>93</v>
      </c>
      <c r="R14" t="s">
        <v>173</v>
      </c>
      <c r="V14" t="s">
        <v>174</v>
      </c>
      <c r="W14" t="s">
        <v>153</v>
      </c>
      <c r="X14">
        <v>62246</v>
      </c>
      <c r="Y14" t="s">
        <v>99</v>
      </c>
      <c r="AA14" t="s">
        <v>172</v>
      </c>
      <c r="AB14" t="s">
        <v>173</v>
      </c>
      <c r="AC14" t="s">
        <v>175</v>
      </c>
      <c r="AH14" t="s">
        <v>176</v>
      </c>
      <c r="AI14">
        <v>2280</v>
      </c>
      <c r="AK14">
        <v>0</v>
      </c>
      <c r="AL14" s="1">
        <v>45675</v>
      </c>
      <c r="AM14">
        <v>38</v>
      </c>
      <c r="AN14">
        <v>1861274</v>
      </c>
      <c r="AP14" s="1">
        <v>45675</v>
      </c>
      <c r="AQ14">
        <v>76</v>
      </c>
      <c r="AR14">
        <v>1861275</v>
      </c>
      <c r="AT14" s="1">
        <v>45706</v>
      </c>
      <c r="AU14">
        <v>38</v>
      </c>
      <c r="AV14">
        <v>1866155</v>
      </c>
      <c r="AX14" s="1">
        <v>45706</v>
      </c>
      <c r="AY14">
        <v>76</v>
      </c>
      <c r="AZ14">
        <v>1866156</v>
      </c>
      <c r="BB14" s="1">
        <v>45734</v>
      </c>
      <c r="BC14">
        <v>38</v>
      </c>
      <c r="BD14">
        <v>1870867</v>
      </c>
      <c r="BF14" s="1">
        <v>45734</v>
      </c>
      <c r="BG14">
        <v>76</v>
      </c>
      <c r="BH14">
        <v>1870868</v>
      </c>
      <c r="BJ14" s="1">
        <v>45765</v>
      </c>
      <c r="BK14">
        <v>38</v>
      </c>
      <c r="BL14">
        <v>1875905</v>
      </c>
      <c r="BN14" s="1">
        <v>45765</v>
      </c>
      <c r="BO14">
        <v>76</v>
      </c>
      <c r="BP14">
        <v>1875906</v>
      </c>
      <c r="BR14" s="1">
        <v>45775</v>
      </c>
      <c r="BS14">
        <v>912</v>
      </c>
      <c r="BT14">
        <v>1878624</v>
      </c>
      <c r="BV14" s="1">
        <v>45795</v>
      </c>
      <c r="BW14">
        <v>38</v>
      </c>
      <c r="BX14">
        <v>1880939</v>
      </c>
      <c r="BZ14" s="1">
        <v>45795</v>
      </c>
      <c r="CA14">
        <v>76</v>
      </c>
      <c r="CB14">
        <v>1880940</v>
      </c>
      <c r="CD14" s="1">
        <v>45826</v>
      </c>
      <c r="CE14">
        <v>38</v>
      </c>
      <c r="CF14">
        <v>1885625</v>
      </c>
      <c r="CH14">
        <v>62246</v>
      </c>
    </row>
    <row r="15" spans="1:90" x14ac:dyDescent="0.25">
      <c r="A15">
        <v>571853</v>
      </c>
      <c r="B15">
        <v>102</v>
      </c>
      <c r="C15">
        <v>300922</v>
      </c>
      <c r="D15">
        <v>2</v>
      </c>
      <c r="E15">
        <v>3</v>
      </c>
      <c r="F15">
        <v>60180</v>
      </c>
      <c r="G15">
        <v>60180</v>
      </c>
      <c r="H15" t="s">
        <v>90</v>
      </c>
      <c r="N15" t="s">
        <v>172</v>
      </c>
      <c r="O15">
        <v>60180</v>
      </c>
      <c r="P15" t="s">
        <v>92</v>
      </c>
      <c r="Q15" t="s">
        <v>93</v>
      </c>
      <c r="R15" t="s">
        <v>173</v>
      </c>
      <c r="V15" t="s">
        <v>174</v>
      </c>
      <c r="W15" t="s">
        <v>153</v>
      </c>
      <c r="X15">
        <v>62246</v>
      </c>
      <c r="Y15" t="s">
        <v>99</v>
      </c>
      <c r="AA15" t="s">
        <v>172</v>
      </c>
      <c r="AB15" t="s">
        <v>173</v>
      </c>
      <c r="AC15" t="s">
        <v>175</v>
      </c>
      <c r="AH15" t="s">
        <v>176</v>
      </c>
      <c r="AI15">
        <v>2280</v>
      </c>
      <c r="AK15">
        <v>0</v>
      </c>
      <c r="AL15" s="1">
        <v>45826</v>
      </c>
      <c r="AM15">
        <v>76</v>
      </c>
      <c r="AN15">
        <v>1885626</v>
      </c>
      <c r="AP15" s="1">
        <v>45856</v>
      </c>
      <c r="AQ15">
        <v>38</v>
      </c>
      <c r="AR15">
        <v>1890169</v>
      </c>
      <c r="AT15" s="1">
        <v>45856</v>
      </c>
      <c r="AU15">
        <v>76</v>
      </c>
      <c r="AV15">
        <v>1890170</v>
      </c>
      <c r="AX15" s="1">
        <v>45887</v>
      </c>
      <c r="AY15">
        <v>38</v>
      </c>
      <c r="AZ15">
        <v>1894974</v>
      </c>
      <c r="BB15" s="1">
        <v>45887</v>
      </c>
      <c r="BC15">
        <v>76</v>
      </c>
      <c r="BD15">
        <v>1894975</v>
      </c>
      <c r="BF15" s="1">
        <v>45918</v>
      </c>
      <c r="BG15">
        <v>38</v>
      </c>
      <c r="BH15">
        <v>1899522</v>
      </c>
      <c r="BJ15" s="1">
        <v>45918</v>
      </c>
      <c r="BK15">
        <v>76</v>
      </c>
      <c r="BL15">
        <v>1899523</v>
      </c>
      <c r="BN15" s="1">
        <v>45948</v>
      </c>
      <c r="BO15">
        <v>76</v>
      </c>
      <c r="BP15">
        <v>1904026</v>
      </c>
      <c r="BR15" s="1">
        <v>45948</v>
      </c>
      <c r="BS15">
        <v>38</v>
      </c>
      <c r="BT15">
        <v>1904034</v>
      </c>
      <c r="BV15" s="1">
        <v>45979</v>
      </c>
      <c r="BW15">
        <v>38</v>
      </c>
      <c r="BX15">
        <v>1908656</v>
      </c>
      <c r="BZ15" s="1">
        <v>45979</v>
      </c>
      <c r="CA15">
        <v>76</v>
      </c>
      <c r="CB15">
        <v>1908657</v>
      </c>
      <c r="CD15" s="1">
        <v>46009</v>
      </c>
      <c r="CE15">
        <v>38</v>
      </c>
      <c r="CF15">
        <v>1913586</v>
      </c>
      <c r="CH15">
        <v>62246</v>
      </c>
    </row>
    <row r="16" spans="1:90" x14ac:dyDescent="0.25">
      <c r="A16">
        <v>571854</v>
      </c>
      <c r="B16">
        <v>102</v>
      </c>
      <c r="C16">
        <v>300922</v>
      </c>
      <c r="D16">
        <v>3</v>
      </c>
      <c r="E16">
        <v>3</v>
      </c>
      <c r="F16">
        <v>60180</v>
      </c>
      <c r="G16">
        <v>60180</v>
      </c>
      <c r="H16" t="s">
        <v>90</v>
      </c>
      <c r="N16" t="s">
        <v>172</v>
      </c>
      <c r="O16">
        <v>60180</v>
      </c>
      <c r="P16" t="s">
        <v>92</v>
      </c>
      <c r="Q16" t="s">
        <v>93</v>
      </c>
      <c r="R16" t="s">
        <v>173</v>
      </c>
      <c r="V16" t="s">
        <v>174</v>
      </c>
      <c r="W16" t="s">
        <v>153</v>
      </c>
      <c r="X16">
        <v>62246</v>
      </c>
      <c r="Y16" t="s">
        <v>99</v>
      </c>
      <c r="AA16" t="s">
        <v>172</v>
      </c>
      <c r="AB16" t="s">
        <v>173</v>
      </c>
      <c r="AC16" t="s">
        <v>175</v>
      </c>
      <c r="AH16" t="s">
        <v>176</v>
      </c>
      <c r="AI16">
        <v>2280</v>
      </c>
      <c r="AK16">
        <v>0</v>
      </c>
      <c r="AL16" s="1">
        <v>46009</v>
      </c>
      <c r="AM16">
        <v>76</v>
      </c>
      <c r="AN16">
        <v>1913587</v>
      </c>
      <c r="CH16">
        <v>62246</v>
      </c>
    </row>
    <row r="17" spans="1:86" x14ac:dyDescent="0.25">
      <c r="A17">
        <v>571855</v>
      </c>
      <c r="B17">
        <v>102</v>
      </c>
      <c r="C17">
        <v>300923</v>
      </c>
      <c r="D17">
        <v>1</v>
      </c>
      <c r="E17">
        <v>1</v>
      </c>
      <c r="F17">
        <v>70026</v>
      </c>
      <c r="G17">
        <v>70026</v>
      </c>
      <c r="H17" t="s">
        <v>90</v>
      </c>
      <c r="N17" t="s">
        <v>177</v>
      </c>
      <c r="O17">
        <v>4009659</v>
      </c>
      <c r="P17" t="s">
        <v>92</v>
      </c>
      <c r="Q17" t="s">
        <v>93</v>
      </c>
      <c r="R17" t="s">
        <v>178</v>
      </c>
      <c r="V17" t="s">
        <v>179</v>
      </c>
      <c r="W17" t="s">
        <v>180</v>
      </c>
      <c r="X17">
        <v>83805</v>
      </c>
      <c r="Y17" t="s">
        <v>99</v>
      </c>
      <c r="AA17" t="s">
        <v>177</v>
      </c>
      <c r="AB17" t="s">
        <v>178</v>
      </c>
      <c r="AC17" t="s">
        <v>181</v>
      </c>
      <c r="AH17" t="s">
        <v>182</v>
      </c>
      <c r="AI17">
        <v>456</v>
      </c>
      <c r="AK17">
        <v>0</v>
      </c>
      <c r="AL17" s="1">
        <v>45659</v>
      </c>
      <c r="AM17">
        <v>38</v>
      </c>
      <c r="AN17">
        <v>1858702</v>
      </c>
      <c r="AP17" s="1">
        <v>45690</v>
      </c>
      <c r="AQ17">
        <v>38</v>
      </c>
      <c r="AR17">
        <v>1863869</v>
      </c>
      <c r="AT17" s="1">
        <v>45718</v>
      </c>
      <c r="AU17">
        <v>38</v>
      </c>
      <c r="AV17">
        <v>1868656</v>
      </c>
      <c r="AX17" s="1">
        <v>45749</v>
      </c>
      <c r="AY17">
        <v>38</v>
      </c>
      <c r="AZ17">
        <v>1873494</v>
      </c>
      <c r="BB17" s="1">
        <v>45779</v>
      </c>
      <c r="BC17">
        <v>38</v>
      </c>
      <c r="BD17">
        <v>1878688</v>
      </c>
      <c r="BF17" s="1">
        <v>45810</v>
      </c>
      <c r="BG17">
        <v>38</v>
      </c>
      <c r="BH17">
        <v>1883219</v>
      </c>
      <c r="BJ17" s="1">
        <v>45840</v>
      </c>
      <c r="BK17">
        <v>38</v>
      </c>
      <c r="BL17">
        <v>1887844</v>
      </c>
      <c r="BN17" s="1">
        <v>45871</v>
      </c>
      <c r="BO17">
        <v>38</v>
      </c>
      <c r="BP17">
        <v>1892684</v>
      </c>
      <c r="BR17" s="1">
        <v>45902</v>
      </c>
      <c r="BS17">
        <v>38</v>
      </c>
      <c r="BT17">
        <v>1897186</v>
      </c>
      <c r="BV17" s="1">
        <v>45932</v>
      </c>
      <c r="BW17">
        <v>38</v>
      </c>
      <c r="BX17">
        <v>1901790</v>
      </c>
      <c r="BZ17" s="1">
        <v>45963</v>
      </c>
      <c r="CA17">
        <v>38</v>
      </c>
      <c r="CB17">
        <v>1906343</v>
      </c>
      <c r="CD17" s="1">
        <v>45993</v>
      </c>
      <c r="CE17">
        <v>38</v>
      </c>
      <c r="CF17">
        <v>1911039</v>
      </c>
      <c r="CH17">
        <v>83805</v>
      </c>
    </row>
    <row r="18" spans="1:86" x14ac:dyDescent="0.25">
      <c r="A18">
        <v>571856</v>
      </c>
      <c r="B18">
        <v>102</v>
      </c>
      <c r="C18">
        <v>300924</v>
      </c>
      <c r="D18">
        <v>1</v>
      </c>
      <c r="E18">
        <v>1</v>
      </c>
      <c r="F18">
        <v>70030</v>
      </c>
      <c r="G18">
        <v>70030</v>
      </c>
      <c r="H18" t="s">
        <v>90</v>
      </c>
      <c r="N18" t="s">
        <v>183</v>
      </c>
      <c r="O18">
        <v>70030</v>
      </c>
      <c r="P18" t="s">
        <v>92</v>
      </c>
      <c r="Q18" t="s">
        <v>93</v>
      </c>
      <c r="R18" t="s">
        <v>184</v>
      </c>
      <c r="V18" t="s">
        <v>185</v>
      </c>
      <c r="W18" t="s">
        <v>180</v>
      </c>
      <c r="X18" t="s">
        <v>186</v>
      </c>
      <c r="Y18" t="s">
        <v>99</v>
      </c>
      <c r="AA18" t="s">
        <v>183</v>
      </c>
      <c r="AB18" t="s">
        <v>184</v>
      </c>
      <c r="AC18" t="s">
        <v>187</v>
      </c>
      <c r="AH18" t="s">
        <v>188</v>
      </c>
      <c r="AI18">
        <v>912</v>
      </c>
      <c r="AK18">
        <v>0</v>
      </c>
      <c r="AL18" s="1">
        <v>45670</v>
      </c>
      <c r="AM18">
        <v>456</v>
      </c>
      <c r="AN18">
        <v>1861527</v>
      </c>
      <c r="AP18" s="1">
        <v>45670</v>
      </c>
      <c r="AQ18">
        <v>456</v>
      </c>
      <c r="AR18">
        <v>1861528</v>
      </c>
      <c r="CH18">
        <v>836056338</v>
      </c>
    </row>
    <row r="19" spans="1:86" x14ac:dyDescent="0.25">
      <c r="A19">
        <v>571857</v>
      </c>
      <c r="B19">
        <v>102</v>
      </c>
      <c r="C19">
        <v>300925</v>
      </c>
      <c r="D19">
        <v>1</v>
      </c>
      <c r="E19">
        <v>1</v>
      </c>
      <c r="F19">
        <v>70064</v>
      </c>
      <c r="G19">
        <v>70064</v>
      </c>
      <c r="H19" t="s">
        <v>90</v>
      </c>
      <c r="N19" t="s">
        <v>189</v>
      </c>
      <c r="O19">
        <v>4010303</v>
      </c>
      <c r="P19" t="s">
        <v>92</v>
      </c>
      <c r="Q19" t="s">
        <v>93</v>
      </c>
      <c r="R19" t="s">
        <v>190</v>
      </c>
      <c r="V19" t="s">
        <v>191</v>
      </c>
      <c r="W19" t="s">
        <v>192</v>
      </c>
      <c r="X19">
        <v>99114</v>
      </c>
      <c r="Y19" t="s">
        <v>99</v>
      </c>
      <c r="AA19" t="s">
        <v>189</v>
      </c>
      <c r="AB19" t="s">
        <v>190</v>
      </c>
      <c r="AC19" t="s">
        <v>193</v>
      </c>
      <c r="AH19" t="s">
        <v>194</v>
      </c>
      <c r="AI19">
        <v>8816</v>
      </c>
      <c r="AK19">
        <v>0</v>
      </c>
      <c r="AL19" s="1">
        <v>45672</v>
      </c>
      <c r="AM19">
        <v>760</v>
      </c>
      <c r="AN19">
        <v>1860369</v>
      </c>
      <c r="AP19" s="1">
        <v>45703</v>
      </c>
      <c r="AQ19">
        <v>760</v>
      </c>
      <c r="AR19">
        <v>1865463</v>
      </c>
      <c r="AT19" s="1">
        <v>45731</v>
      </c>
      <c r="AU19">
        <v>760</v>
      </c>
      <c r="AV19">
        <v>1870393</v>
      </c>
      <c r="AX19" s="1">
        <v>45762</v>
      </c>
      <c r="AY19">
        <v>760</v>
      </c>
      <c r="AZ19">
        <v>1875180</v>
      </c>
      <c r="BB19" s="1">
        <v>45792</v>
      </c>
      <c r="BC19">
        <v>760</v>
      </c>
      <c r="BD19">
        <v>1880291</v>
      </c>
      <c r="BF19" s="1">
        <v>45823</v>
      </c>
      <c r="BG19">
        <v>760</v>
      </c>
      <c r="BH19">
        <v>1884952</v>
      </c>
      <c r="BJ19" s="1">
        <v>45853</v>
      </c>
      <c r="BK19">
        <v>760</v>
      </c>
      <c r="BL19">
        <v>1889688</v>
      </c>
      <c r="BN19" s="1">
        <v>45884</v>
      </c>
      <c r="BO19">
        <v>760</v>
      </c>
      <c r="BP19">
        <v>1894494</v>
      </c>
      <c r="BR19" s="1">
        <v>45915</v>
      </c>
      <c r="BS19">
        <v>760</v>
      </c>
      <c r="BT19">
        <v>1898938</v>
      </c>
      <c r="BV19" s="1">
        <v>45945</v>
      </c>
      <c r="BW19">
        <v>760</v>
      </c>
      <c r="BX19">
        <v>1903537</v>
      </c>
      <c r="BZ19" s="1">
        <v>45976</v>
      </c>
      <c r="CA19">
        <v>760</v>
      </c>
      <c r="CB19">
        <v>1908148</v>
      </c>
      <c r="CD19" s="1">
        <v>46006</v>
      </c>
      <c r="CE19">
        <v>456</v>
      </c>
      <c r="CF19">
        <v>1912907</v>
      </c>
      <c r="CH19">
        <v>99114</v>
      </c>
    </row>
    <row r="20" spans="1:86" x14ac:dyDescent="0.25">
      <c r="A20">
        <v>571858</v>
      </c>
      <c r="B20">
        <v>102</v>
      </c>
      <c r="C20">
        <v>300926</v>
      </c>
      <c r="D20">
        <v>1</v>
      </c>
      <c r="E20">
        <v>1</v>
      </c>
      <c r="F20">
        <v>70077</v>
      </c>
      <c r="G20">
        <v>70077</v>
      </c>
      <c r="H20" t="s">
        <v>90</v>
      </c>
      <c r="N20" t="s">
        <v>195</v>
      </c>
      <c r="O20">
        <v>4004112</v>
      </c>
      <c r="P20" t="s">
        <v>92</v>
      </c>
      <c r="Q20" t="s">
        <v>93</v>
      </c>
      <c r="R20" t="s">
        <v>196</v>
      </c>
      <c r="S20" t="s">
        <v>197</v>
      </c>
      <c r="V20" t="s">
        <v>185</v>
      </c>
      <c r="W20" t="s">
        <v>180</v>
      </c>
      <c r="X20" t="s">
        <v>198</v>
      </c>
      <c r="Y20" t="s">
        <v>99</v>
      </c>
      <c r="AA20" t="s">
        <v>195</v>
      </c>
      <c r="AB20" t="s">
        <v>196</v>
      </c>
      <c r="AC20" t="s">
        <v>197</v>
      </c>
      <c r="AD20" t="s">
        <v>199</v>
      </c>
      <c r="AH20" t="s">
        <v>200</v>
      </c>
      <c r="AI20">
        <v>456</v>
      </c>
      <c r="AK20">
        <v>0</v>
      </c>
      <c r="AL20" s="1">
        <v>45662</v>
      </c>
      <c r="AM20">
        <v>38</v>
      </c>
      <c r="AN20">
        <v>1858939</v>
      </c>
      <c r="AP20" s="1">
        <v>45693</v>
      </c>
      <c r="AQ20">
        <v>38</v>
      </c>
      <c r="AR20">
        <v>1864379</v>
      </c>
      <c r="AT20" s="1">
        <v>45721</v>
      </c>
      <c r="AU20">
        <v>38</v>
      </c>
      <c r="AV20">
        <v>1868901</v>
      </c>
      <c r="AX20" s="1">
        <v>45752</v>
      </c>
      <c r="AY20">
        <v>38</v>
      </c>
      <c r="AZ20">
        <v>1873939</v>
      </c>
      <c r="BB20" s="1">
        <v>45782</v>
      </c>
      <c r="BC20">
        <v>38</v>
      </c>
      <c r="BD20">
        <v>1878902</v>
      </c>
      <c r="BF20" s="1">
        <v>45813</v>
      </c>
      <c r="BG20">
        <v>38</v>
      </c>
      <c r="BH20">
        <v>1883639</v>
      </c>
      <c r="BJ20" s="1">
        <v>45843</v>
      </c>
      <c r="BK20">
        <v>38</v>
      </c>
      <c r="BL20">
        <v>1888211</v>
      </c>
      <c r="BN20" s="1">
        <v>45874</v>
      </c>
      <c r="BO20">
        <v>38</v>
      </c>
      <c r="BP20">
        <v>1892919</v>
      </c>
      <c r="BR20" s="1">
        <v>45905</v>
      </c>
      <c r="BS20">
        <v>38</v>
      </c>
      <c r="BT20">
        <v>1897661</v>
      </c>
      <c r="BV20" s="1">
        <v>45935</v>
      </c>
      <c r="BW20">
        <v>38</v>
      </c>
      <c r="BX20">
        <v>1902217</v>
      </c>
      <c r="BZ20" s="1">
        <v>45966</v>
      </c>
      <c r="CA20">
        <v>38</v>
      </c>
      <c r="CB20">
        <v>1906932</v>
      </c>
      <c r="CD20" s="1">
        <v>45996</v>
      </c>
      <c r="CE20">
        <v>38</v>
      </c>
      <c r="CF20">
        <v>1911395</v>
      </c>
      <c r="CH20">
        <v>836078955</v>
      </c>
    </row>
    <row r="21" spans="1:86" x14ac:dyDescent="0.25">
      <c r="A21">
        <v>571859</v>
      </c>
      <c r="B21">
        <v>102</v>
      </c>
      <c r="C21">
        <v>300927</v>
      </c>
      <c r="D21">
        <v>1</v>
      </c>
      <c r="E21">
        <v>3</v>
      </c>
      <c r="F21">
        <v>70160</v>
      </c>
      <c r="G21">
        <v>70160</v>
      </c>
      <c r="H21" t="s">
        <v>90</v>
      </c>
      <c r="N21" t="s">
        <v>201</v>
      </c>
      <c r="O21">
        <v>70160</v>
      </c>
      <c r="P21" t="s">
        <v>92</v>
      </c>
      <c r="Q21" t="s">
        <v>93</v>
      </c>
      <c r="R21" t="s">
        <v>202</v>
      </c>
      <c r="V21" t="s">
        <v>203</v>
      </c>
      <c r="W21" t="s">
        <v>204</v>
      </c>
      <c r="X21" t="s">
        <v>205</v>
      </c>
      <c r="Y21" t="s">
        <v>99</v>
      </c>
      <c r="AA21" t="s">
        <v>201</v>
      </c>
      <c r="AB21" t="s">
        <v>202</v>
      </c>
      <c r="AC21" t="s">
        <v>206</v>
      </c>
      <c r="AH21" t="s">
        <v>207</v>
      </c>
      <c r="AI21">
        <v>6900</v>
      </c>
      <c r="AK21">
        <v>0</v>
      </c>
      <c r="AL21" s="1">
        <v>45680</v>
      </c>
      <c r="AM21">
        <v>404</v>
      </c>
      <c r="AN21">
        <v>1861934</v>
      </c>
      <c r="AP21" s="1">
        <v>45684</v>
      </c>
      <c r="AQ21">
        <v>130</v>
      </c>
      <c r="AR21">
        <v>1862722</v>
      </c>
      <c r="AT21" s="1">
        <v>45707</v>
      </c>
      <c r="AU21">
        <v>382</v>
      </c>
      <c r="AV21">
        <v>1866852</v>
      </c>
      <c r="AX21" s="1">
        <v>45711</v>
      </c>
      <c r="AY21">
        <v>404</v>
      </c>
      <c r="AZ21">
        <v>1866650</v>
      </c>
      <c r="BB21" s="1">
        <v>45721</v>
      </c>
      <c r="BC21">
        <v>130</v>
      </c>
      <c r="BD21">
        <v>1869822</v>
      </c>
      <c r="BF21" s="1">
        <v>45739</v>
      </c>
      <c r="BG21">
        <v>404</v>
      </c>
      <c r="BH21">
        <v>1871436</v>
      </c>
      <c r="BJ21" s="1">
        <v>45744</v>
      </c>
      <c r="BK21">
        <v>130</v>
      </c>
      <c r="BL21">
        <v>1873468</v>
      </c>
      <c r="BN21" s="1">
        <v>45770</v>
      </c>
      <c r="BO21">
        <v>404</v>
      </c>
      <c r="BP21">
        <v>1876240</v>
      </c>
      <c r="BR21" s="1">
        <v>45775</v>
      </c>
      <c r="BS21">
        <v>130</v>
      </c>
      <c r="BT21">
        <v>1878627</v>
      </c>
      <c r="BV21" s="1">
        <v>45800</v>
      </c>
      <c r="BW21">
        <v>404</v>
      </c>
      <c r="BX21">
        <v>1881355</v>
      </c>
      <c r="BZ21" s="1">
        <v>45804</v>
      </c>
      <c r="CA21">
        <v>130</v>
      </c>
      <c r="CB21">
        <v>1883329</v>
      </c>
      <c r="CD21" s="1">
        <v>45831</v>
      </c>
      <c r="CE21">
        <v>404</v>
      </c>
      <c r="CF21">
        <v>1885949</v>
      </c>
      <c r="CH21">
        <v>598061493</v>
      </c>
    </row>
    <row r="22" spans="1:86" x14ac:dyDescent="0.25">
      <c r="A22">
        <v>571860</v>
      </c>
      <c r="B22">
        <v>102</v>
      </c>
      <c r="C22">
        <v>300927</v>
      </c>
      <c r="D22">
        <v>2</v>
      </c>
      <c r="E22">
        <v>3</v>
      </c>
      <c r="F22">
        <v>70160</v>
      </c>
      <c r="G22">
        <v>70160</v>
      </c>
      <c r="H22" t="s">
        <v>90</v>
      </c>
      <c r="N22" t="s">
        <v>201</v>
      </c>
      <c r="O22">
        <v>70160</v>
      </c>
      <c r="P22" t="s">
        <v>92</v>
      </c>
      <c r="Q22" t="s">
        <v>93</v>
      </c>
      <c r="R22" t="s">
        <v>202</v>
      </c>
      <c r="V22" t="s">
        <v>203</v>
      </c>
      <c r="W22" t="s">
        <v>204</v>
      </c>
      <c r="X22" t="s">
        <v>205</v>
      </c>
      <c r="Y22" t="s">
        <v>99</v>
      </c>
      <c r="AA22" t="s">
        <v>201</v>
      </c>
      <c r="AB22" t="s">
        <v>202</v>
      </c>
      <c r="AC22" t="s">
        <v>206</v>
      </c>
      <c r="AH22" t="s">
        <v>207</v>
      </c>
      <c r="AI22">
        <v>6900</v>
      </c>
      <c r="AK22">
        <v>0</v>
      </c>
      <c r="AL22" s="1">
        <v>45835</v>
      </c>
      <c r="AM22">
        <v>130</v>
      </c>
      <c r="AN22">
        <v>1888384</v>
      </c>
      <c r="AP22" s="1">
        <v>45861</v>
      </c>
      <c r="AQ22">
        <v>404</v>
      </c>
      <c r="AR22">
        <v>1890867</v>
      </c>
      <c r="AT22" s="1">
        <v>45863</v>
      </c>
      <c r="AU22">
        <v>130</v>
      </c>
      <c r="AV22">
        <v>1891835</v>
      </c>
      <c r="AX22" s="1">
        <v>45892</v>
      </c>
      <c r="AY22">
        <v>404</v>
      </c>
      <c r="AZ22">
        <v>1895446</v>
      </c>
      <c r="BB22" s="1">
        <v>45896</v>
      </c>
      <c r="BC22">
        <v>130</v>
      </c>
      <c r="BD22">
        <v>1896402</v>
      </c>
      <c r="BF22" s="1">
        <v>45923</v>
      </c>
      <c r="BG22">
        <v>404</v>
      </c>
      <c r="BH22">
        <v>1900033</v>
      </c>
      <c r="BJ22" s="1">
        <v>45930</v>
      </c>
      <c r="BK22">
        <v>130</v>
      </c>
      <c r="BL22">
        <v>1901949</v>
      </c>
      <c r="BN22" s="1">
        <v>45953</v>
      </c>
      <c r="BO22">
        <v>404</v>
      </c>
      <c r="BP22">
        <v>1904391</v>
      </c>
      <c r="BR22" s="1">
        <v>45958</v>
      </c>
      <c r="BS22">
        <v>130</v>
      </c>
      <c r="BT22">
        <v>1906620</v>
      </c>
      <c r="BV22" s="1">
        <v>45984</v>
      </c>
      <c r="BW22">
        <v>404</v>
      </c>
      <c r="BX22">
        <v>1909231</v>
      </c>
      <c r="BZ22" s="1">
        <v>45993</v>
      </c>
      <c r="CA22">
        <v>185</v>
      </c>
      <c r="CB22">
        <v>1911885</v>
      </c>
      <c r="CD22" s="1">
        <v>46014</v>
      </c>
      <c r="CE22">
        <v>404</v>
      </c>
      <c r="CF22">
        <v>1914032</v>
      </c>
      <c r="CH22">
        <v>598061493</v>
      </c>
    </row>
    <row r="23" spans="1:86" x14ac:dyDescent="0.25">
      <c r="A23">
        <v>571861</v>
      </c>
      <c r="B23">
        <v>102</v>
      </c>
      <c r="C23">
        <v>300927</v>
      </c>
      <c r="D23">
        <v>3</v>
      </c>
      <c r="E23">
        <v>3</v>
      </c>
      <c r="F23">
        <v>70160</v>
      </c>
      <c r="G23">
        <v>70160</v>
      </c>
      <c r="H23" t="s">
        <v>90</v>
      </c>
      <c r="N23" t="s">
        <v>201</v>
      </c>
      <c r="O23">
        <v>70160</v>
      </c>
      <c r="P23" t="s">
        <v>92</v>
      </c>
      <c r="Q23" t="s">
        <v>93</v>
      </c>
      <c r="R23" t="s">
        <v>202</v>
      </c>
      <c r="V23" t="s">
        <v>203</v>
      </c>
      <c r="W23" t="s">
        <v>204</v>
      </c>
      <c r="X23" t="s">
        <v>205</v>
      </c>
      <c r="Y23" t="s">
        <v>99</v>
      </c>
      <c r="AA23" t="s">
        <v>201</v>
      </c>
      <c r="AB23" t="s">
        <v>202</v>
      </c>
      <c r="AC23" t="s">
        <v>206</v>
      </c>
      <c r="AH23" t="s">
        <v>207</v>
      </c>
      <c r="AI23">
        <v>6900</v>
      </c>
      <c r="AK23">
        <v>0</v>
      </c>
      <c r="AL23" s="1">
        <v>46021</v>
      </c>
      <c r="AM23">
        <v>185</v>
      </c>
      <c r="AN23">
        <v>1916615</v>
      </c>
      <c r="CH23">
        <v>598061493</v>
      </c>
    </row>
    <row r="24" spans="1:86" x14ac:dyDescent="0.25">
      <c r="A24">
        <v>571862</v>
      </c>
      <c r="B24">
        <v>102</v>
      </c>
      <c r="C24">
        <v>300928</v>
      </c>
      <c r="D24">
        <v>1</v>
      </c>
      <c r="E24">
        <v>1</v>
      </c>
      <c r="F24">
        <v>90126</v>
      </c>
      <c r="G24">
        <v>90126</v>
      </c>
      <c r="H24" t="s">
        <v>90</v>
      </c>
      <c r="N24" t="s">
        <v>208</v>
      </c>
      <c r="O24">
        <v>4004116</v>
      </c>
      <c r="P24" t="s">
        <v>92</v>
      </c>
      <c r="Q24" t="s">
        <v>93</v>
      </c>
      <c r="R24" t="s">
        <v>209</v>
      </c>
      <c r="S24" t="s">
        <v>210</v>
      </c>
      <c r="V24" t="s">
        <v>211</v>
      </c>
      <c r="W24" t="s">
        <v>212</v>
      </c>
      <c r="X24" t="s">
        <v>213</v>
      </c>
      <c r="Y24" t="s">
        <v>99</v>
      </c>
      <c r="AA24" t="s">
        <v>208</v>
      </c>
      <c r="AB24" t="s">
        <v>209</v>
      </c>
      <c r="AC24" t="s">
        <v>210</v>
      </c>
      <c r="AD24" t="s">
        <v>214</v>
      </c>
      <c r="AH24" t="s">
        <v>215</v>
      </c>
      <c r="AI24">
        <v>1791</v>
      </c>
      <c r="AK24">
        <v>0</v>
      </c>
      <c r="AL24" s="1">
        <v>45728</v>
      </c>
      <c r="AM24">
        <v>1791</v>
      </c>
      <c r="AN24">
        <v>1870929</v>
      </c>
      <c r="CH24">
        <v>484201429</v>
      </c>
    </row>
    <row r="25" spans="1:86" x14ac:dyDescent="0.25">
      <c r="A25">
        <v>571863</v>
      </c>
      <c r="B25">
        <v>102</v>
      </c>
      <c r="C25">
        <v>300929</v>
      </c>
      <c r="D25">
        <v>1</v>
      </c>
      <c r="E25">
        <v>1</v>
      </c>
      <c r="F25">
        <v>90166</v>
      </c>
      <c r="G25">
        <v>90166</v>
      </c>
      <c r="H25" t="s">
        <v>90</v>
      </c>
      <c r="N25" t="s">
        <v>216</v>
      </c>
      <c r="O25">
        <v>90166</v>
      </c>
      <c r="P25" t="s">
        <v>92</v>
      </c>
      <c r="Q25" t="s">
        <v>93</v>
      </c>
      <c r="R25" t="s">
        <v>217</v>
      </c>
      <c r="V25" t="s">
        <v>218</v>
      </c>
      <c r="W25" t="s">
        <v>212</v>
      </c>
      <c r="X25" t="s">
        <v>219</v>
      </c>
      <c r="Y25" t="s">
        <v>99</v>
      </c>
      <c r="AA25" t="s">
        <v>216</v>
      </c>
      <c r="AB25" t="s">
        <v>217</v>
      </c>
      <c r="AC25" t="s">
        <v>220</v>
      </c>
      <c r="AI25">
        <v>912</v>
      </c>
      <c r="AK25">
        <v>0</v>
      </c>
      <c r="AL25" s="1">
        <v>45675</v>
      </c>
      <c r="AM25">
        <v>76</v>
      </c>
      <c r="AN25">
        <v>1861247</v>
      </c>
      <c r="AP25" s="1">
        <v>45706</v>
      </c>
      <c r="AQ25">
        <v>76</v>
      </c>
      <c r="AR25">
        <v>1866127</v>
      </c>
      <c r="AT25" s="1">
        <v>45734</v>
      </c>
      <c r="AU25">
        <v>76</v>
      </c>
      <c r="AV25">
        <v>1870836</v>
      </c>
      <c r="AX25" s="1">
        <v>45765</v>
      </c>
      <c r="AY25">
        <v>76</v>
      </c>
      <c r="AZ25">
        <v>1875877</v>
      </c>
      <c r="BB25" s="1">
        <v>45795</v>
      </c>
      <c r="BC25">
        <v>76</v>
      </c>
      <c r="BD25">
        <v>1880910</v>
      </c>
      <c r="BF25" s="1">
        <v>45826</v>
      </c>
      <c r="BG25">
        <v>76</v>
      </c>
      <c r="BH25">
        <v>1885596</v>
      </c>
      <c r="BJ25" s="1">
        <v>45856</v>
      </c>
      <c r="BK25">
        <v>76</v>
      </c>
      <c r="BL25">
        <v>1890142</v>
      </c>
      <c r="BN25" s="1">
        <v>45887</v>
      </c>
      <c r="BO25">
        <v>76</v>
      </c>
      <c r="BP25">
        <v>1894945</v>
      </c>
      <c r="BR25" s="1">
        <v>45918</v>
      </c>
      <c r="BS25">
        <v>76</v>
      </c>
      <c r="BT25">
        <v>1899492</v>
      </c>
      <c r="BV25" s="1">
        <v>45948</v>
      </c>
      <c r="BW25">
        <v>76</v>
      </c>
      <c r="BX25">
        <v>1903998</v>
      </c>
      <c r="BZ25" s="1">
        <v>45979</v>
      </c>
      <c r="CA25">
        <v>76</v>
      </c>
      <c r="CB25">
        <v>1908629</v>
      </c>
      <c r="CD25" s="1">
        <v>46009</v>
      </c>
      <c r="CE25">
        <v>76</v>
      </c>
      <c r="CF25">
        <v>1913556</v>
      </c>
      <c r="CH25">
        <v>488190138</v>
      </c>
    </row>
    <row r="26" spans="1:86" x14ac:dyDescent="0.25">
      <c r="A26">
        <v>571864</v>
      </c>
      <c r="B26">
        <v>102</v>
      </c>
      <c r="C26">
        <v>300930</v>
      </c>
      <c r="D26">
        <v>1</v>
      </c>
      <c r="E26">
        <v>1</v>
      </c>
      <c r="F26">
        <v>90301</v>
      </c>
      <c r="G26">
        <v>90301</v>
      </c>
      <c r="H26" t="s">
        <v>90</v>
      </c>
      <c r="N26" t="s">
        <v>221</v>
      </c>
      <c r="O26">
        <v>4010899</v>
      </c>
      <c r="P26" t="s">
        <v>92</v>
      </c>
      <c r="Q26" t="s">
        <v>93</v>
      </c>
      <c r="R26" t="s">
        <v>222</v>
      </c>
      <c r="V26" t="s">
        <v>223</v>
      </c>
      <c r="W26" t="s">
        <v>212</v>
      </c>
      <c r="X26" t="s">
        <v>224</v>
      </c>
      <c r="Y26" t="s">
        <v>99</v>
      </c>
      <c r="AA26" t="s">
        <v>221</v>
      </c>
      <c r="AB26" t="s">
        <v>222</v>
      </c>
      <c r="AC26" t="s">
        <v>225</v>
      </c>
      <c r="AH26" t="s">
        <v>226</v>
      </c>
      <c r="AI26">
        <v>988</v>
      </c>
      <c r="AK26">
        <v>0</v>
      </c>
      <c r="AL26" s="1">
        <v>45730</v>
      </c>
      <c r="AM26">
        <v>304</v>
      </c>
      <c r="AN26">
        <v>1869706</v>
      </c>
      <c r="AP26" s="1">
        <v>45755</v>
      </c>
      <c r="AQ26">
        <v>76</v>
      </c>
      <c r="AR26">
        <v>1874179</v>
      </c>
      <c r="AT26" s="1">
        <v>45785</v>
      </c>
      <c r="AU26">
        <v>76</v>
      </c>
      <c r="AV26">
        <v>1879345</v>
      </c>
      <c r="AX26" s="1">
        <v>45816</v>
      </c>
      <c r="AY26">
        <v>76</v>
      </c>
      <c r="AZ26">
        <v>1884008</v>
      </c>
      <c r="BB26" s="1">
        <v>45846</v>
      </c>
      <c r="BC26">
        <v>76</v>
      </c>
      <c r="BD26">
        <v>1888532</v>
      </c>
      <c r="BF26" s="1">
        <v>45877</v>
      </c>
      <c r="BG26">
        <v>76</v>
      </c>
      <c r="BH26">
        <v>1893434</v>
      </c>
      <c r="BJ26" s="1">
        <v>45908</v>
      </c>
      <c r="BK26">
        <v>76</v>
      </c>
      <c r="BL26">
        <v>1897889</v>
      </c>
      <c r="BN26" s="1">
        <v>45938</v>
      </c>
      <c r="BO26">
        <v>76</v>
      </c>
      <c r="BP26">
        <v>1902560</v>
      </c>
      <c r="BR26" s="1">
        <v>45969</v>
      </c>
      <c r="BS26">
        <v>76</v>
      </c>
      <c r="BT26">
        <v>1907288</v>
      </c>
      <c r="BV26" s="1">
        <v>45999</v>
      </c>
      <c r="BW26">
        <v>76</v>
      </c>
      <c r="BX26">
        <v>1911753</v>
      </c>
      <c r="CH26">
        <v>486241662</v>
      </c>
    </row>
    <row r="27" spans="1:86" x14ac:dyDescent="0.25">
      <c r="A27">
        <v>571865</v>
      </c>
      <c r="B27">
        <v>102</v>
      </c>
      <c r="C27">
        <v>300931</v>
      </c>
      <c r="D27">
        <v>1</v>
      </c>
      <c r="E27">
        <v>1</v>
      </c>
      <c r="F27">
        <v>90345</v>
      </c>
      <c r="G27">
        <v>90345</v>
      </c>
      <c r="H27" t="s">
        <v>90</v>
      </c>
      <c r="N27" t="s">
        <v>227</v>
      </c>
      <c r="O27">
        <v>4004119</v>
      </c>
      <c r="P27" t="s">
        <v>92</v>
      </c>
      <c r="Q27" t="s">
        <v>93</v>
      </c>
      <c r="R27" t="s">
        <v>228</v>
      </c>
      <c r="S27" t="s">
        <v>229</v>
      </c>
      <c r="V27" t="s">
        <v>230</v>
      </c>
      <c r="W27" t="s">
        <v>212</v>
      </c>
      <c r="X27" t="s">
        <v>231</v>
      </c>
      <c r="Y27" t="s">
        <v>99</v>
      </c>
      <c r="AA27" t="s">
        <v>227</v>
      </c>
      <c r="AB27" t="s">
        <v>228</v>
      </c>
      <c r="AC27" t="s">
        <v>229</v>
      </c>
      <c r="AD27" t="s">
        <v>232</v>
      </c>
      <c r="AI27">
        <v>449</v>
      </c>
      <c r="AK27">
        <v>0</v>
      </c>
      <c r="AL27" s="1">
        <v>45686</v>
      </c>
      <c r="AM27">
        <v>50</v>
      </c>
      <c r="AN27">
        <v>1863932</v>
      </c>
      <c r="AP27" s="1">
        <v>45719</v>
      </c>
      <c r="AQ27">
        <v>38</v>
      </c>
      <c r="AR27">
        <v>1869061</v>
      </c>
      <c r="AT27" s="1">
        <v>45747</v>
      </c>
      <c r="AU27">
        <v>38</v>
      </c>
      <c r="AV27">
        <v>1872501</v>
      </c>
      <c r="AX27" s="1">
        <v>45775</v>
      </c>
      <c r="AY27">
        <v>38</v>
      </c>
      <c r="AZ27">
        <v>1878610</v>
      </c>
      <c r="BB27" s="1">
        <v>45800</v>
      </c>
      <c r="BC27">
        <v>38</v>
      </c>
      <c r="BD27">
        <v>1882240</v>
      </c>
      <c r="BF27" s="1">
        <v>45833</v>
      </c>
      <c r="BG27">
        <v>38</v>
      </c>
      <c r="BH27">
        <v>1887912</v>
      </c>
      <c r="BJ27" s="1">
        <v>45873</v>
      </c>
      <c r="BK27">
        <v>38</v>
      </c>
      <c r="BL27">
        <v>1893231</v>
      </c>
      <c r="BN27" s="1">
        <v>45909</v>
      </c>
      <c r="BO27">
        <v>50</v>
      </c>
      <c r="BP27">
        <v>1898190</v>
      </c>
      <c r="BR27" s="1">
        <v>45930</v>
      </c>
      <c r="BS27">
        <v>38</v>
      </c>
      <c r="BT27">
        <v>1901886</v>
      </c>
      <c r="BV27" s="1">
        <v>45982</v>
      </c>
      <c r="BW27">
        <v>45</v>
      </c>
      <c r="BX27">
        <v>1911276</v>
      </c>
      <c r="BZ27" s="1">
        <v>46014</v>
      </c>
      <c r="CA27">
        <v>38</v>
      </c>
      <c r="CB27">
        <v>1916364</v>
      </c>
      <c r="CH27">
        <v>483531920</v>
      </c>
    </row>
    <row r="28" spans="1:86" x14ac:dyDescent="0.25">
      <c r="A28">
        <v>571866</v>
      </c>
      <c r="B28">
        <v>102</v>
      </c>
      <c r="C28">
        <v>300932</v>
      </c>
      <c r="D28">
        <v>1</v>
      </c>
      <c r="E28">
        <v>1</v>
      </c>
      <c r="F28">
        <v>90430</v>
      </c>
      <c r="G28">
        <v>90430</v>
      </c>
      <c r="H28" t="s">
        <v>90</v>
      </c>
      <c r="N28" t="s">
        <v>233</v>
      </c>
      <c r="O28">
        <v>4004120</v>
      </c>
      <c r="P28" t="s">
        <v>92</v>
      </c>
      <c r="Q28" t="s">
        <v>93</v>
      </c>
      <c r="R28" t="s">
        <v>234</v>
      </c>
      <c r="S28" t="s">
        <v>235</v>
      </c>
      <c r="V28" t="s">
        <v>236</v>
      </c>
      <c r="W28" t="s">
        <v>212</v>
      </c>
      <c r="X28" t="s">
        <v>237</v>
      </c>
      <c r="Y28" t="s">
        <v>99</v>
      </c>
      <c r="AA28" t="s">
        <v>233</v>
      </c>
      <c r="AB28" t="s">
        <v>234</v>
      </c>
      <c r="AC28" t="s">
        <v>235</v>
      </c>
      <c r="AD28" t="s">
        <v>238</v>
      </c>
      <c r="AI28">
        <v>304</v>
      </c>
      <c r="AK28">
        <v>0</v>
      </c>
      <c r="AL28" s="1">
        <v>45856</v>
      </c>
      <c r="AM28">
        <v>304</v>
      </c>
      <c r="AN28">
        <v>1890788</v>
      </c>
      <c r="CH28">
        <v>489065134</v>
      </c>
    </row>
    <row r="29" spans="1:86" x14ac:dyDescent="0.25">
      <c r="A29">
        <v>571867</v>
      </c>
      <c r="B29">
        <v>102</v>
      </c>
      <c r="C29">
        <v>300933</v>
      </c>
      <c r="D29">
        <v>1</v>
      </c>
      <c r="E29">
        <v>1</v>
      </c>
      <c r="F29">
        <v>90469</v>
      </c>
      <c r="G29">
        <v>90469</v>
      </c>
      <c r="H29" t="s">
        <v>90</v>
      </c>
      <c r="N29" t="s">
        <v>239</v>
      </c>
      <c r="O29">
        <v>4004121</v>
      </c>
      <c r="P29" t="s">
        <v>92</v>
      </c>
      <c r="Q29" t="s">
        <v>93</v>
      </c>
      <c r="R29" t="s">
        <v>240</v>
      </c>
      <c r="S29" t="s">
        <v>241</v>
      </c>
      <c r="V29" t="s">
        <v>242</v>
      </c>
      <c r="W29" t="s">
        <v>212</v>
      </c>
      <c r="X29" t="s">
        <v>243</v>
      </c>
      <c r="Y29" t="s">
        <v>99</v>
      </c>
      <c r="AA29" t="s">
        <v>239</v>
      </c>
      <c r="AB29" t="s">
        <v>240</v>
      </c>
      <c r="AC29" t="s">
        <v>241</v>
      </c>
      <c r="AD29" t="s">
        <v>244</v>
      </c>
      <c r="AH29" t="s">
        <v>245</v>
      </c>
      <c r="AI29">
        <v>982</v>
      </c>
      <c r="AK29">
        <v>0</v>
      </c>
      <c r="AL29" s="1">
        <v>45880</v>
      </c>
      <c r="AM29">
        <v>982</v>
      </c>
      <c r="AN29">
        <v>1893864</v>
      </c>
      <c r="CH29">
        <v>484461548</v>
      </c>
    </row>
    <row r="30" spans="1:86" x14ac:dyDescent="0.25">
      <c r="A30">
        <v>571868</v>
      </c>
      <c r="B30">
        <v>102</v>
      </c>
      <c r="C30">
        <v>300934</v>
      </c>
      <c r="D30">
        <v>1</v>
      </c>
      <c r="E30">
        <v>1</v>
      </c>
      <c r="F30">
        <v>90526</v>
      </c>
      <c r="G30">
        <v>90526</v>
      </c>
      <c r="H30" t="s">
        <v>90</v>
      </c>
      <c r="N30" t="s">
        <v>246</v>
      </c>
      <c r="O30">
        <v>4007243</v>
      </c>
      <c r="P30" t="s">
        <v>247</v>
      </c>
      <c r="Q30" t="s">
        <v>93</v>
      </c>
      <c r="R30" t="s">
        <v>248</v>
      </c>
      <c r="V30" t="s">
        <v>249</v>
      </c>
      <c r="W30" t="s">
        <v>212</v>
      </c>
      <c r="X30" t="s">
        <v>250</v>
      </c>
      <c r="Y30" t="s">
        <v>99</v>
      </c>
      <c r="AA30" t="s">
        <v>246</v>
      </c>
      <c r="AB30" t="s">
        <v>248</v>
      </c>
      <c r="AC30" t="s">
        <v>251</v>
      </c>
      <c r="AI30">
        <v>456</v>
      </c>
      <c r="AK30">
        <v>0</v>
      </c>
      <c r="AL30" s="1">
        <v>45658</v>
      </c>
      <c r="AM30">
        <v>38</v>
      </c>
      <c r="AN30">
        <v>1858138</v>
      </c>
      <c r="AP30" s="1">
        <v>45689</v>
      </c>
      <c r="AQ30">
        <v>38</v>
      </c>
      <c r="AR30">
        <v>1863319</v>
      </c>
      <c r="AT30" s="1">
        <v>45717</v>
      </c>
      <c r="AU30">
        <v>38</v>
      </c>
      <c r="AV30">
        <v>1868100</v>
      </c>
      <c r="AX30" s="1">
        <v>45748</v>
      </c>
      <c r="AY30">
        <v>38</v>
      </c>
      <c r="AZ30">
        <v>1872681</v>
      </c>
      <c r="BB30" s="1">
        <v>45778</v>
      </c>
      <c r="BC30">
        <v>38</v>
      </c>
      <c r="BD30">
        <v>1877918</v>
      </c>
      <c r="BF30" s="1">
        <v>45809</v>
      </c>
      <c r="BG30">
        <v>38</v>
      </c>
      <c r="BH30">
        <v>1882658</v>
      </c>
      <c r="BJ30" s="1">
        <v>45839</v>
      </c>
      <c r="BK30">
        <v>38</v>
      </c>
      <c r="BL30">
        <v>1887196</v>
      </c>
      <c r="BN30" s="1">
        <v>45870</v>
      </c>
      <c r="BO30">
        <v>38</v>
      </c>
      <c r="BP30">
        <v>1892127</v>
      </c>
      <c r="BR30" s="1">
        <v>45901</v>
      </c>
      <c r="BS30">
        <v>38</v>
      </c>
      <c r="BT30">
        <v>1896625</v>
      </c>
      <c r="BV30" s="1">
        <v>45931</v>
      </c>
      <c r="BW30">
        <v>38</v>
      </c>
      <c r="BX30">
        <v>1901231</v>
      </c>
      <c r="BZ30" s="1">
        <v>45962</v>
      </c>
      <c r="CA30">
        <v>38</v>
      </c>
      <c r="CB30">
        <v>1905785</v>
      </c>
      <c r="CD30" s="1">
        <v>45992</v>
      </c>
      <c r="CE30">
        <v>38</v>
      </c>
      <c r="CF30">
        <v>1910464</v>
      </c>
      <c r="CH30">
        <v>486412161</v>
      </c>
    </row>
    <row r="31" spans="1:86" x14ac:dyDescent="0.25">
      <c r="A31">
        <v>571869</v>
      </c>
      <c r="B31">
        <v>102</v>
      </c>
      <c r="C31">
        <v>300935</v>
      </c>
      <c r="D31">
        <v>1</v>
      </c>
      <c r="E31">
        <v>2</v>
      </c>
      <c r="F31">
        <v>90540</v>
      </c>
      <c r="G31">
        <v>90540</v>
      </c>
      <c r="H31" t="s">
        <v>90</v>
      </c>
      <c r="N31" t="s">
        <v>252</v>
      </c>
      <c r="O31">
        <v>4004122</v>
      </c>
      <c r="P31" t="s">
        <v>92</v>
      </c>
      <c r="Q31" t="s">
        <v>93</v>
      </c>
      <c r="R31" t="s">
        <v>253</v>
      </c>
      <c r="S31" t="s">
        <v>254</v>
      </c>
      <c r="V31" t="s">
        <v>255</v>
      </c>
      <c r="W31" t="s">
        <v>212</v>
      </c>
      <c r="X31" t="s">
        <v>256</v>
      </c>
      <c r="Y31" t="s">
        <v>99</v>
      </c>
      <c r="AA31" t="s">
        <v>252</v>
      </c>
      <c r="AB31" t="s">
        <v>253</v>
      </c>
      <c r="AC31" t="s">
        <v>254</v>
      </c>
      <c r="AD31" t="s">
        <v>257</v>
      </c>
      <c r="AH31" t="s">
        <v>258</v>
      </c>
      <c r="AI31">
        <v>972</v>
      </c>
      <c r="AK31">
        <v>0</v>
      </c>
      <c r="AL31" s="1">
        <v>45658</v>
      </c>
      <c r="AM31">
        <v>76</v>
      </c>
      <c r="AN31">
        <v>1858621</v>
      </c>
      <c r="AP31" s="1">
        <v>45689</v>
      </c>
      <c r="AQ31">
        <v>76</v>
      </c>
      <c r="AR31">
        <v>1863790</v>
      </c>
      <c r="AT31" s="1">
        <v>45717</v>
      </c>
      <c r="AU31">
        <v>76</v>
      </c>
      <c r="AV31">
        <v>1868571</v>
      </c>
      <c r="AX31" s="1">
        <v>45748</v>
      </c>
      <c r="AY31">
        <v>76</v>
      </c>
      <c r="AZ31">
        <v>1873151</v>
      </c>
      <c r="BB31" s="1">
        <v>45778</v>
      </c>
      <c r="BC31">
        <v>76</v>
      </c>
      <c r="BD31">
        <v>1878392</v>
      </c>
      <c r="BF31" s="1">
        <v>45809</v>
      </c>
      <c r="BG31">
        <v>76</v>
      </c>
      <c r="BH31">
        <v>1883129</v>
      </c>
      <c r="BJ31" s="1">
        <v>45839</v>
      </c>
      <c r="BK31">
        <v>76</v>
      </c>
      <c r="BL31">
        <v>1887665</v>
      </c>
      <c r="BN31" s="1">
        <v>45870</v>
      </c>
      <c r="BO31">
        <v>76</v>
      </c>
      <c r="BP31">
        <v>1892588</v>
      </c>
      <c r="BR31" s="1">
        <v>45901</v>
      </c>
      <c r="BS31">
        <v>76</v>
      </c>
      <c r="BT31">
        <v>1897095</v>
      </c>
      <c r="BV31" s="1">
        <v>45931</v>
      </c>
      <c r="BW31">
        <v>76</v>
      </c>
      <c r="BX31">
        <v>1901699</v>
      </c>
      <c r="BZ31" s="1">
        <v>45962</v>
      </c>
      <c r="CA31">
        <v>76</v>
      </c>
      <c r="CB31">
        <v>1906247</v>
      </c>
      <c r="CD31" s="1">
        <v>45992</v>
      </c>
      <c r="CE31">
        <v>76</v>
      </c>
      <c r="CF31">
        <v>1910928</v>
      </c>
      <c r="CH31">
        <v>484580446</v>
      </c>
    </row>
    <row r="32" spans="1:86" x14ac:dyDescent="0.25">
      <c r="A32">
        <v>571870</v>
      </c>
      <c r="B32">
        <v>102</v>
      </c>
      <c r="C32">
        <v>300935</v>
      </c>
      <c r="D32">
        <v>2</v>
      </c>
      <c r="E32">
        <v>2</v>
      </c>
      <c r="F32">
        <v>90540</v>
      </c>
      <c r="G32">
        <v>90540</v>
      </c>
      <c r="H32" t="s">
        <v>90</v>
      </c>
      <c r="N32" t="s">
        <v>252</v>
      </c>
      <c r="O32">
        <v>4004122</v>
      </c>
      <c r="P32" t="s">
        <v>92</v>
      </c>
      <c r="Q32" t="s">
        <v>93</v>
      </c>
      <c r="R32" t="s">
        <v>253</v>
      </c>
      <c r="S32" t="s">
        <v>254</v>
      </c>
      <c r="V32" t="s">
        <v>255</v>
      </c>
      <c r="W32" t="s">
        <v>212</v>
      </c>
      <c r="X32" t="s">
        <v>256</v>
      </c>
      <c r="Y32" t="s">
        <v>99</v>
      </c>
      <c r="AA32" t="s">
        <v>252</v>
      </c>
      <c r="AB32" t="s">
        <v>253</v>
      </c>
      <c r="AC32" t="s">
        <v>254</v>
      </c>
      <c r="AD32" t="s">
        <v>257</v>
      </c>
      <c r="AH32" t="s">
        <v>258</v>
      </c>
      <c r="AI32">
        <v>972</v>
      </c>
      <c r="AK32">
        <v>0</v>
      </c>
      <c r="AL32" s="1">
        <v>46006</v>
      </c>
      <c r="AM32">
        <v>60</v>
      </c>
      <c r="AN32">
        <v>1913086</v>
      </c>
      <c r="CH32">
        <v>484580446</v>
      </c>
    </row>
    <row r="33" spans="1:86" x14ac:dyDescent="0.25">
      <c r="A33">
        <v>571871</v>
      </c>
      <c r="B33">
        <v>102</v>
      </c>
      <c r="C33">
        <v>300936</v>
      </c>
      <c r="D33">
        <v>1</v>
      </c>
      <c r="E33">
        <v>1</v>
      </c>
      <c r="F33">
        <v>90560</v>
      </c>
      <c r="G33">
        <v>90560</v>
      </c>
      <c r="H33" t="s">
        <v>90</v>
      </c>
      <c r="N33" t="s">
        <v>259</v>
      </c>
      <c r="O33">
        <v>90560</v>
      </c>
      <c r="P33" t="s">
        <v>92</v>
      </c>
      <c r="Q33" t="s">
        <v>93</v>
      </c>
      <c r="R33" t="s">
        <v>260</v>
      </c>
      <c r="V33" t="s">
        <v>261</v>
      </c>
      <c r="W33" t="s">
        <v>212</v>
      </c>
      <c r="X33" t="s">
        <v>262</v>
      </c>
      <c r="Y33" t="s">
        <v>99</v>
      </c>
      <c r="AA33" t="s">
        <v>259</v>
      </c>
      <c r="AB33" t="s">
        <v>260</v>
      </c>
      <c r="AC33" t="s">
        <v>263</v>
      </c>
      <c r="AH33" t="s">
        <v>264</v>
      </c>
      <c r="AI33">
        <v>1114</v>
      </c>
      <c r="AK33">
        <v>0</v>
      </c>
      <c r="AL33" s="1">
        <v>45690</v>
      </c>
      <c r="AM33">
        <v>456</v>
      </c>
      <c r="AN33">
        <v>1863898</v>
      </c>
      <c r="AP33" s="1">
        <v>45854</v>
      </c>
      <c r="AQ33">
        <v>228</v>
      </c>
      <c r="AR33">
        <v>1889883</v>
      </c>
      <c r="AT33" s="1">
        <v>45889</v>
      </c>
      <c r="AU33">
        <v>380</v>
      </c>
      <c r="AV33">
        <v>1895300</v>
      </c>
      <c r="AX33" s="1">
        <v>45974</v>
      </c>
      <c r="AY33">
        <v>50</v>
      </c>
      <c r="AZ33">
        <v>1907612</v>
      </c>
      <c r="CH33">
        <v>486610156</v>
      </c>
    </row>
    <row r="34" spans="1:86" x14ac:dyDescent="0.25">
      <c r="A34">
        <v>571872</v>
      </c>
      <c r="B34">
        <v>102</v>
      </c>
      <c r="C34">
        <v>300937</v>
      </c>
      <c r="D34">
        <v>1</v>
      </c>
      <c r="E34">
        <v>1</v>
      </c>
      <c r="F34">
        <v>90640</v>
      </c>
      <c r="G34">
        <v>90640</v>
      </c>
      <c r="H34" t="s">
        <v>90</v>
      </c>
      <c r="N34" t="s">
        <v>265</v>
      </c>
      <c r="O34">
        <v>4010259</v>
      </c>
      <c r="P34" t="s">
        <v>92</v>
      </c>
      <c r="Q34" t="s">
        <v>93</v>
      </c>
      <c r="R34" t="s">
        <v>266</v>
      </c>
      <c r="V34" t="s">
        <v>267</v>
      </c>
      <c r="W34" t="s">
        <v>212</v>
      </c>
      <c r="X34" t="s">
        <v>268</v>
      </c>
      <c r="Y34" t="s">
        <v>99</v>
      </c>
      <c r="AA34" t="s">
        <v>265</v>
      </c>
      <c r="AB34" t="s">
        <v>266</v>
      </c>
      <c r="AC34" t="s">
        <v>269</v>
      </c>
      <c r="AH34" t="s">
        <v>270</v>
      </c>
      <c r="AI34">
        <v>1176</v>
      </c>
      <c r="AK34">
        <v>0</v>
      </c>
      <c r="AL34" s="1">
        <v>45756</v>
      </c>
      <c r="AM34">
        <v>342</v>
      </c>
      <c r="AN34">
        <v>1874228</v>
      </c>
      <c r="AP34" s="1">
        <v>45840</v>
      </c>
      <c r="AQ34">
        <v>342</v>
      </c>
      <c r="AR34">
        <v>1887958</v>
      </c>
      <c r="AT34" s="1">
        <v>45931</v>
      </c>
      <c r="AU34">
        <v>342</v>
      </c>
      <c r="AV34">
        <v>1901765</v>
      </c>
      <c r="AX34" s="1">
        <v>46014</v>
      </c>
      <c r="AY34">
        <v>150</v>
      </c>
      <c r="AZ34">
        <v>1914049</v>
      </c>
      <c r="CH34">
        <v>487449304</v>
      </c>
    </row>
    <row r="35" spans="1:86" x14ac:dyDescent="0.25">
      <c r="A35">
        <v>571873</v>
      </c>
      <c r="B35">
        <v>102</v>
      </c>
      <c r="C35">
        <v>300938</v>
      </c>
      <c r="D35">
        <v>1</v>
      </c>
      <c r="E35">
        <v>1</v>
      </c>
      <c r="F35">
        <v>90670</v>
      </c>
      <c r="G35">
        <v>90670</v>
      </c>
      <c r="H35" t="s">
        <v>90</v>
      </c>
      <c r="N35" t="s">
        <v>271</v>
      </c>
      <c r="O35">
        <v>90670</v>
      </c>
      <c r="P35" t="s">
        <v>92</v>
      </c>
      <c r="Q35" t="s">
        <v>93</v>
      </c>
      <c r="R35" t="s">
        <v>272</v>
      </c>
      <c r="V35" t="s">
        <v>273</v>
      </c>
      <c r="W35" t="s">
        <v>212</v>
      </c>
      <c r="X35" t="s">
        <v>274</v>
      </c>
      <c r="Y35" t="s">
        <v>99</v>
      </c>
      <c r="AA35" t="s">
        <v>271</v>
      </c>
      <c r="AB35" t="s">
        <v>272</v>
      </c>
      <c r="AC35" t="s">
        <v>275</v>
      </c>
      <c r="AI35">
        <v>1659</v>
      </c>
      <c r="AK35">
        <v>0</v>
      </c>
      <c r="AL35" s="1">
        <v>45691</v>
      </c>
      <c r="AM35">
        <v>1659</v>
      </c>
      <c r="AN35">
        <v>1864234</v>
      </c>
      <c r="CH35">
        <v>480742607</v>
      </c>
    </row>
    <row r="36" spans="1:86" x14ac:dyDescent="0.25">
      <c r="A36">
        <v>571874</v>
      </c>
      <c r="B36">
        <v>102</v>
      </c>
      <c r="C36">
        <v>300939</v>
      </c>
      <c r="D36">
        <v>1</v>
      </c>
      <c r="E36">
        <v>1</v>
      </c>
      <c r="F36">
        <v>90678</v>
      </c>
      <c r="G36">
        <v>90678</v>
      </c>
      <c r="H36" t="s">
        <v>90</v>
      </c>
      <c r="N36" t="s">
        <v>276</v>
      </c>
      <c r="O36">
        <v>4004126</v>
      </c>
      <c r="P36" t="s">
        <v>92</v>
      </c>
      <c r="Q36" t="s">
        <v>93</v>
      </c>
      <c r="R36" t="s">
        <v>277</v>
      </c>
      <c r="S36" t="s">
        <v>278</v>
      </c>
      <c r="V36" t="s">
        <v>279</v>
      </c>
      <c r="W36" t="s">
        <v>212</v>
      </c>
      <c r="X36">
        <v>48060</v>
      </c>
      <c r="Y36" t="s">
        <v>99</v>
      </c>
      <c r="AA36" t="s">
        <v>276</v>
      </c>
      <c r="AB36" t="s">
        <v>277</v>
      </c>
      <c r="AC36" t="s">
        <v>278</v>
      </c>
      <c r="AD36" t="s">
        <v>280</v>
      </c>
      <c r="AH36" t="s">
        <v>281</v>
      </c>
      <c r="AI36">
        <v>380</v>
      </c>
      <c r="AK36">
        <v>0</v>
      </c>
      <c r="AL36" s="1">
        <v>45707</v>
      </c>
      <c r="AM36">
        <v>38</v>
      </c>
      <c r="AN36">
        <v>1866795</v>
      </c>
      <c r="AP36" s="1">
        <v>45740</v>
      </c>
      <c r="AQ36">
        <v>38</v>
      </c>
      <c r="AR36">
        <v>1872118</v>
      </c>
      <c r="AT36" s="1">
        <v>45775</v>
      </c>
      <c r="AU36">
        <v>38</v>
      </c>
      <c r="AV36">
        <v>1878621</v>
      </c>
      <c r="AX36" s="1">
        <v>45812</v>
      </c>
      <c r="AY36">
        <v>38</v>
      </c>
      <c r="AZ36">
        <v>1883857</v>
      </c>
      <c r="BB36" s="1">
        <v>45838</v>
      </c>
      <c r="BC36">
        <v>38</v>
      </c>
      <c r="BD36">
        <v>1887948</v>
      </c>
      <c r="BF36" s="1">
        <v>45867</v>
      </c>
      <c r="BG36">
        <v>38</v>
      </c>
      <c r="BH36">
        <v>1891932</v>
      </c>
      <c r="BJ36" s="1">
        <v>45902</v>
      </c>
      <c r="BK36">
        <v>38</v>
      </c>
      <c r="BL36">
        <v>1897537</v>
      </c>
      <c r="BN36" s="1">
        <v>45937</v>
      </c>
      <c r="BO36">
        <v>38</v>
      </c>
      <c r="BP36">
        <v>1902651</v>
      </c>
      <c r="BR36" s="1">
        <v>45958</v>
      </c>
      <c r="BS36">
        <v>38</v>
      </c>
      <c r="BT36">
        <v>1906686</v>
      </c>
      <c r="BV36" s="1">
        <v>45996</v>
      </c>
      <c r="BW36">
        <v>38</v>
      </c>
      <c r="BX36">
        <v>1912239</v>
      </c>
      <c r="CH36">
        <v>48060</v>
      </c>
    </row>
    <row r="37" spans="1:86" x14ac:dyDescent="0.25">
      <c r="A37">
        <v>571875</v>
      </c>
      <c r="B37">
        <v>102</v>
      </c>
      <c r="C37">
        <v>300940</v>
      </c>
      <c r="D37">
        <v>1</v>
      </c>
      <c r="E37">
        <v>1</v>
      </c>
      <c r="F37">
        <v>90681</v>
      </c>
      <c r="G37">
        <v>90681</v>
      </c>
      <c r="H37" t="s">
        <v>90</v>
      </c>
      <c r="N37" t="s">
        <v>282</v>
      </c>
      <c r="O37">
        <v>4004127</v>
      </c>
      <c r="P37" t="s">
        <v>283</v>
      </c>
      <c r="Q37" t="s">
        <v>93</v>
      </c>
      <c r="R37" t="s">
        <v>284</v>
      </c>
      <c r="S37" t="s">
        <v>285</v>
      </c>
      <c r="V37" t="s">
        <v>286</v>
      </c>
      <c r="W37" t="s">
        <v>212</v>
      </c>
      <c r="X37">
        <v>48880</v>
      </c>
      <c r="Y37" t="s">
        <v>99</v>
      </c>
      <c r="AA37" t="s">
        <v>282</v>
      </c>
      <c r="AB37" t="s">
        <v>284</v>
      </c>
      <c r="AC37" t="s">
        <v>285</v>
      </c>
      <c r="AD37" t="s">
        <v>287</v>
      </c>
      <c r="AI37">
        <v>1368</v>
      </c>
      <c r="AK37">
        <v>0</v>
      </c>
      <c r="AL37" s="1">
        <v>45751</v>
      </c>
      <c r="AM37">
        <v>342</v>
      </c>
      <c r="AN37">
        <v>1873849</v>
      </c>
      <c r="AP37" s="1">
        <v>45863</v>
      </c>
      <c r="AQ37">
        <v>342</v>
      </c>
      <c r="AR37">
        <v>1891819</v>
      </c>
      <c r="AT37" s="1">
        <v>45954</v>
      </c>
      <c r="AU37">
        <v>342</v>
      </c>
      <c r="AV37">
        <v>1906584</v>
      </c>
      <c r="AX37" s="1">
        <v>46021</v>
      </c>
      <c r="AY37">
        <v>342</v>
      </c>
      <c r="AZ37">
        <v>1917111</v>
      </c>
      <c r="CH37">
        <v>48880</v>
      </c>
    </row>
    <row r="38" spans="1:86" x14ac:dyDescent="0.25">
      <c r="A38">
        <v>571876</v>
      </c>
      <c r="B38">
        <v>102</v>
      </c>
      <c r="C38">
        <v>300941</v>
      </c>
      <c r="D38">
        <v>1</v>
      </c>
      <c r="E38">
        <v>1</v>
      </c>
      <c r="F38">
        <v>90723</v>
      </c>
      <c r="G38">
        <v>90723</v>
      </c>
      <c r="H38" t="s">
        <v>90</v>
      </c>
      <c r="N38" t="s">
        <v>288</v>
      </c>
      <c r="O38">
        <v>90723</v>
      </c>
      <c r="P38" t="s">
        <v>92</v>
      </c>
      <c r="Q38" t="s">
        <v>93</v>
      </c>
      <c r="R38" t="s">
        <v>289</v>
      </c>
      <c r="V38" t="s">
        <v>290</v>
      </c>
      <c r="W38" t="s">
        <v>212</v>
      </c>
      <c r="X38" t="s">
        <v>291</v>
      </c>
      <c r="Y38" t="s">
        <v>99</v>
      </c>
      <c r="AA38" t="s">
        <v>288</v>
      </c>
      <c r="AB38" t="s">
        <v>289</v>
      </c>
      <c r="AC38" t="s">
        <v>292</v>
      </c>
      <c r="AI38">
        <v>518</v>
      </c>
      <c r="AK38">
        <v>0</v>
      </c>
      <c r="AL38" s="1">
        <v>45789</v>
      </c>
      <c r="AM38">
        <v>190</v>
      </c>
      <c r="AN38">
        <v>1880549</v>
      </c>
      <c r="AP38" s="1">
        <v>45793</v>
      </c>
      <c r="AQ38">
        <v>38</v>
      </c>
      <c r="AR38">
        <v>1881288</v>
      </c>
      <c r="AT38" s="1">
        <v>45870</v>
      </c>
      <c r="AU38">
        <v>38</v>
      </c>
      <c r="AV38">
        <v>1892492</v>
      </c>
      <c r="AX38" s="1">
        <v>45901</v>
      </c>
      <c r="AY38">
        <v>38</v>
      </c>
      <c r="AZ38">
        <v>1896997</v>
      </c>
      <c r="BB38" s="1">
        <v>45931</v>
      </c>
      <c r="BC38">
        <v>38</v>
      </c>
      <c r="BD38">
        <v>1901599</v>
      </c>
      <c r="BF38" s="1">
        <v>45962</v>
      </c>
      <c r="BG38">
        <v>38</v>
      </c>
      <c r="BH38">
        <v>1906149</v>
      </c>
      <c r="BJ38" s="1">
        <v>45968</v>
      </c>
      <c r="BK38">
        <v>100</v>
      </c>
      <c r="BL38">
        <v>1908403</v>
      </c>
      <c r="BN38" s="1">
        <v>45992</v>
      </c>
      <c r="BO38">
        <v>38</v>
      </c>
      <c r="BP38">
        <v>1910831</v>
      </c>
      <c r="CH38">
        <v>486538564</v>
      </c>
    </row>
    <row r="39" spans="1:86" x14ac:dyDescent="0.25">
      <c r="A39">
        <v>571877</v>
      </c>
      <c r="B39">
        <v>102</v>
      </c>
      <c r="C39">
        <v>300942</v>
      </c>
      <c r="D39">
        <v>1</v>
      </c>
      <c r="E39">
        <v>1</v>
      </c>
      <c r="F39">
        <v>90731</v>
      </c>
      <c r="G39">
        <v>90731</v>
      </c>
      <c r="H39" t="s">
        <v>90</v>
      </c>
      <c r="N39" t="s">
        <v>293</v>
      </c>
      <c r="O39">
        <v>4005783</v>
      </c>
      <c r="P39" t="s">
        <v>92</v>
      </c>
      <c r="Q39" t="s">
        <v>93</v>
      </c>
      <c r="R39" t="s">
        <v>294</v>
      </c>
      <c r="S39" t="s">
        <v>295</v>
      </c>
      <c r="V39" t="s">
        <v>296</v>
      </c>
      <c r="W39" t="s">
        <v>212</v>
      </c>
      <c r="X39" t="s">
        <v>297</v>
      </c>
      <c r="Y39" t="s">
        <v>99</v>
      </c>
      <c r="AA39" t="s">
        <v>293</v>
      </c>
      <c r="AB39" t="s">
        <v>294</v>
      </c>
      <c r="AC39" t="s">
        <v>295</v>
      </c>
      <c r="AD39" t="s">
        <v>298</v>
      </c>
      <c r="AI39">
        <v>494</v>
      </c>
      <c r="AK39">
        <v>0</v>
      </c>
      <c r="AL39" s="1">
        <v>45758</v>
      </c>
      <c r="AM39">
        <v>114</v>
      </c>
      <c r="AN39">
        <v>1875235</v>
      </c>
      <c r="AP39" s="1">
        <v>45833</v>
      </c>
      <c r="AQ39">
        <v>114</v>
      </c>
      <c r="AR39">
        <v>1887876</v>
      </c>
      <c r="AT39" s="1">
        <v>45937</v>
      </c>
      <c r="AU39">
        <v>114</v>
      </c>
      <c r="AV39">
        <v>1902597</v>
      </c>
      <c r="AX39" s="1">
        <v>46021</v>
      </c>
      <c r="AY39">
        <v>152</v>
      </c>
      <c r="AZ39">
        <v>1916741</v>
      </c>
      <c r="CH39">
        <v>486032943</v>
      </c>
    </row>
    <row r="40" spans="1:86" x14ac:dyDescent="0.25">
      <c r="A40">
        <v>571878</v>
      </c>
      <c r="B40">
        <v>102</v>
      </c>
      <c r="C40">
        <v>300943</v>
      </c>
      <c r="D40">
        <v>1</v>
      </c>
      <c r="E40">
        <v>2</v>
      </c>
      <c r="F40">
        <v>90850</v>
      </c>
      <c r="G40">
        <v>90850</v>
      </c>
      <c r="H40" t="s">
        <v>90</v>
      </c>
      <c r="N40" t="s">
        <v>299</v>
      </c>
      <c r="O40">
        <v>90850</v>
      </c>
      <c r="P40" t="s">
        <v>92</v>
      </c>
      <c r="Q40" t="s">
        <v>93</v>
      </c>
      <c r="R40" t="s">
        <v>300</v>
      </c>
      <c r="V40" t="s">
        <v>301</v>
      </c>
      <c r="W40" t="s">
        <v>212</v>
      </c>
      <c r="X40">
        <v>48895</v>
      </c>
      <c r="Y40" t="s">
        <v>99</v>
      </c>
      <c r="AA40" t="s">
        <v>299</v>
      </c>
      <c r="AB40" t="s">
        <v>300</v>
      </c>
      <c r="AC40" t="s">
        <v>302</v>
      </c>
      <c r="AH40" t="s">
        <v>303</v>
      </c>
      <c r="AI40">
        <v>16294</v>
      </c>
      <c r="AK40">
        <v>0</v>
      </c>
      <c r="AL40" s="1">
        <v>45664</v>
      </c>
      <c r="AM40">
        <v>152</v>
      </c>
      <c r="AN40">
        <v>1861497</v>
      </c>
      <c r="AP40" s="1">
        <v>45695</v>
      </c>
      <c r="AQ40">
        <v>152</v>
      </c>
      <c r="AR40">
        <v>1864950</v>
      </c>
      <c r="AT40" s="1">
        <v>45723</v>
      </c>
      <c r="AU40">
        <v>152</v>
      </c>
      <c r="AV40">
        <v>1869766</v>
      </c>
      <c r="AX40" s="1">
        <v>45758</v>
      </c>
      <c r="AY40">
        <v>7500</v>
      </c>
      <c r="AZ40">
        <v>1875510</v>
      </c>
      <c r="BB40" s="1">
        <v>45758</v>
      </c>
      <c r="BC40">
        <v>152</v>
      </c>
      <c r="BD40">
        <v>1875528</v>
      </c>
      <c r="BF40" s="1">
        <v>45798</v>
      </c>
      <c r="BG40">
        <v>6970</v>
      </c>
      <c r="BH40">
        <v>1882261</v>
      </c>
      <c r="BJ40" s="1">
        <v>45819</v>
      </c>
      <c r="BK40">
        <v>152</v>
      </c>
      <c r="BL40">
        <v>1885162</v>
      </c>
      <c r="BN40" s="1">
        <v>45880</v>
      </c>
      <c r="BO40">
        <v>152</v>
      </c>
      <c r="BP40">
        <v>1893866</v>
      </c>
      <c r="BR40" s="1">
        <v>45887</v>
      </c>
      <c r="BS40">
        <v>152</v>
      </c>
      <c r="BT40">
        <v>1895125</v>
      </c>
      <c r="BV40" s="1">
        <v>45887</v>
      </c>
      <c r="BW40">
        <v>152</v>
      </c>
      <c r="BX40">
        <v>1895126</v>
      </c>
      <c r="BZ40" s="1">
        <v>45905</v>
      </c>
      <c r="CA40">
        <v>152</v>
      </c>
      <c r="CB40">
        <v>1897918</v>
      </c>
      <c r="CD40" s="1">
        <v>45937</v>
      </c>
      <c r="CE40">
        <v>152</v>
      </c>
      <c r="CF40">
        <v>1902659</v>
      </c>
      <c r="CH40">
        <v>48895</v>
      </c>
    </row>
    <row r="41" spans="1:86" x14ac:dyDescent="0.25">
      <c r="A41">
        <v>571879</v>
      </c>
      <c r="B41">
        <v>102</v>
      </c>
      <c r="C41">
        <v>300943</v>
      </c>
      <c r="D41">
        <v>2</v>
      </c>
      <c r="E41">
        <v>2</v>
      </c>
      <c r="F41">
        <v>90850</v>
      </c>
      <c r="G41">
        <v>90850</v>
      </c>
      <c r="H41" t="s">
        <v>90</v>
      </c>
      <c r="N41" t="s">
        <v>299</v>
      </c>
      <c r="O41">
        <v>90850</v>
      </c>
      <c r="P41" t="s">
        <v>92</v>
      </c>
      <c r="Q41" t="s">
        <v>93</v>
      </c>
      <c r="R41" t="s">
        <v>300</v>
      </c>
      <c r="V41" t="s">
        <v>301</v>
      </c>
      <c r="W41" t="s">
        <v>212</v>
      </c>
      <c r="X41">
        <v>48895</v>
      </c>
      <c r="Y41" t="s">
        <v>99</v>
      </c>
      <c r="AA41" t="s">
        <v>299</v>
      </c>
      <c r="AB41" t="s">
        <v>300</v>
      </c>
      <c r="AC41" t="s">
        <v>302</v>
      </c>
      <c r="AH41" t="s">
        <v>303</v>
      </c>
      <c r="AI41">
        <v>16294</v>
      </c>
      <c r="AK41">
        <v>0</v>
      </c>
      <c r="AL41" s="1">
        <v>45968</v>
      </c>
      <c r="AM41">
        <v>152</v>
      </c>
      <c r="AN41">
        <v>1908430</v>
      </c>
      <c r="AP41" s="1">
        <v>46021</v>
      </c>
      <c r="AQ41">
        <v>152</v>
      </c>
      <c r="AR41">
        <v>1917272</v>
      </c>
      <c r="CH41">
        <v>48895</v>
      </c>
    </row>
    <row r="42" spans="1:86" x14ac:dyDescent="0.25">
      <c r="A42">
        <v>571880</v>
      </c>
      <c r="B42">
        <v>102</v>
      </c>
      <c r="C42">
        <v>300944</v>
      </c>
      <c r="D42">
        <v>1</v>
      </c>
      <c r="E42">
        <v>2</v>
      </c>
      <c r="F42">
        <v>110060</v>
      </c>
      <c r="G42">
        <v>110060</v>
      </c>
      <c r="H42" t="s">
        <v>90</v>
      </c>
      <c r="N42" t="s">
        <v>304</v>
      </c>
      <c r="O42">
        <v>110060</v>
      </c>
      <c r="P42" t="s">
        <v>92</v>
      </c>
      <c r="Q42" t="s">
        <v>93</v>
      </c>
      <c r="R42" t="s">
        <v>305</v>
      </c>
      <c r="V42" t="s">
        <v>306</v>
      </c>
      <c r="W42" t="s">
        <v>307</v>
      </c>
      <c r="X42" t="s">
        <v>308</v>
      </c>
      <c r="Y42" t="s">
        <v>99</v>
      </c>
      <c r="AA42" t="s">
        <v>304</v>
      </c>
      <c r="AB42" t="s">
        <v>305</v>
      </c>
      <c r="AC42" t="s">
        <v>309</v>
      </c>
      <c r="AH42" t="s">
        <v>310</v>
      </c>
      <c r="AI42">
        <v>2670</v>
      </c>
      <c r="AK42">
        <v>0</v>
      </c>
      <c r="AL42" s="1">
        <v>45667</v>
      </c>
      <c r="AM42">
        <v>190</v>
      </c>
      <c r="AN42">
        <v>1861356</v>
      </c>
      <c r="AP42" s="1">
        <v>45695</v>
      </c>
      <c r="AQ42">
        <v>190</v>
      </c>
      <c r="AR42">
        <v>1864919</v>
      </c>
      <c r="AT42" s="1">
        <v>45721</v>
      </c>
      <c r="AU42">
        <v>190</v>
      </c>
      <c r="AV42">
        <v>1869849</v>
      </c>
      <c r="AX42" s="1">
        <v>45749</v>
      </c>
      <c r="AY42">
        <v>190</v>
      </c>
      <c r="AZ42">
        <v>1873731</v>
      </c>
      <c r="BB42" s="1">
        <v>45777</v>
      </c>
      <c r="BC42">
        <v>190</v>
      </c>
      <c r="BD42">
        <v>1879081</v>
      </c>
      <c r="BF42" s="1">
        <v>45812</v>
      </c>
      <c r="BG42">
        <v>190</v>
      </c>
      <c r="BH42">
        <v>1883845</v>
      </c>
      <c r="BJ42" s="1">
        <v>45833</v>
      </c>
      <c r="BK42">
        <v>190</v>
      </c>
      <c r="BL42">
        <v>1887880</v>
      </c>
      <c r="BN42" s="1">
        <v>45875</v>
      </c>
      <c r="BO42">
        <v>290</v>
      </c>
      <c r="BP42">
        <v>1893387</v>
      </c>
      <c r="BR42" s="1">
        <v>45909</v>
      </c>
      <c r="BS42">
        <v>190</v>
      </c>
      <c r="BT42">
        <v>1898201</v>
      </c>
      <c r="BV42" s="1">
        <v>45933</v>
      </c>
      <c r="BW42">
        <v>290</v>
      </c>
      <c r="BX42">
        <v>1902362</v>
      </c>
      <c r="BZ42" s="1">
        <v>45979</v>
      </c>
      <c r="CA42">
        <v>190</v>
      </c>
      <c r="CB42">
        <v>1910141</v>
      </c>
      <c r="CD42" s="1">
        <v>46007</v>
      </c>
      <c r="CE42">
        <v>190</v>
      </c>
      <c r="CF42">
        <v>1914078</v>
      </c>
      <c r="CH42">
        <v>339902691</v>
      </c>
    </row>
    <row r="43" spans="1:86" x14ac:dyDescent="0.25">
      <c r="A43">
        <v>571881</v>
      </c>
      <c r="B43">
        <v>102</v>
      </c>
      <c r="C43">
        <v>300944</v>
      </c>
      <c r="D43">
        <v>2</v>
      </c>
      <c r="E43">
        <v>2</v>
      </c>
      <c r="F43">
        <v>110060</v>
      </c>
      <c r="G43">
        <v>110060</v>
      </c>
      <c r="H43" t="s">
        <v>90</v>
      </c>
      <c r="N43" t="s">
        <v>304</v>
      </c>
      <c r="O43">
        <v>110060</v>
      </c>
      <c r="P43" t="s">
        <v>92</v>
      </c>
      <c r="Q43" t="s">
        <v>93</v>
      </c>
      <c r="R43" t="s">
        <v>305</v>
      </c>
      <c r="V43" t="s">
        <v>306</v>
      </c>
      <c r="W43" t="s">
        <v>307</v>
      </c>
      <c r="X43" t="s">
        <v>308</v>
      </c>
      <c r="Y43" t="s">
        <v>99</v>
      </c>
      <c r="AA43" t="s">
        <v>304</v>
      </c>
      <c r="AB43" t="s">
        <v>305</v>
      </c>
      <c r="AC43" t="s">
        <v>309</v>
      </c>
      <c r="AH43" t="s">
        <v>310</v>
      </c>
      <c r="AI43">
        <v>2670</v>
      </c>
      <c r="AK43">
        <v>0</v>
      </c>
      <c r="AL43" s="1">
        <v>46021</v>
      </c>
      <c r="AM43">
        <v>190</v>
      </c>
      <c r="AN43">
        <v>1916582</v>
      </c>
      <c r="CH43">
        <v>339902691</v>
      </c>
    </row>
    <row r="44" spans="1:86" x14ac:dyDescent="0.25">
      <c r="A44">
        <v>571882</v>
      </c>
      <c r="B44">
        <v>102</v>
      </c>
      <c r="C44">
        <v>300945</v>
      </c>
      <c r="D44">
        <v>1</v>
      </c>
      <c r="E44">
        <v>1</v>
      </c>
      <c r="F44">
        <v>110062</v>
      </c>
      <c r="G44">
        <v>110062</v>
      </c>
      <c r="H44" t="s">
        <v>90</v>
      </c>
      <c r="N44" t="s">
        <v>311</v>
      </c>
      <c r="O44">
        <v>110062</v>
      </c>
      <c r="P44" t="s">
        <v>92</v>
      </c>
      <c r="Q44" t="s">
        <v>93</v>
      </c>
      <c r="R44" t="s">
        <v>312</v>
      </c>
      <c r="V44" t="s">
        <v>306</v>
      </c>
      <c r="W44" t="s">
        <v>307</v>
      </c>
      <c r="X44" t="s">
        <v>313</v>
      </c>
      <c r="Y44" t="s">
        <v>99</v>
      </c>
      <c r="AA44" t="s">
        <v>311</v>
      </c>
      <c r="AB44" t="s">
        <v>312</v>
      </c>
      <c r="AC44" t="s">
        <v>314</v>
      </c>
      <c r="AI44">
        <v>1368</v>
      </c>
      <c r="AK44">
        <v>0</v>
      </c>
      <c r="AL44" s="1">
        <v>45670</v>
      </c>
      <c r="AM44">
        <v>114</v>
      </c>
      <c r="AN44">
        <v>1861534</v>
      </c>
      <c r="AP44" s="1">
        <v>45700</v>
      </c>
      <c r="AQ44">
        <v>114</v>
      </c>
      <c r="AR44">
        <v>1866559</v>
      </c>
      <c r="AT44" s="1">
        <v>45728</v>
      </c>
      <c r="AU44">
        <v>114</v>
      </c>
      <c r="AV44">
        <v>1870974</v>
      </c>
      <c r="AX44" s="1">
        <v>45758</v>
      </c>
      <c r="AY44">
        <v>114</v>
      </c>
      <c r="AZ44">
        <v>1875561</v>
      </c>
      <c r="BB44" s="1">
        <v>45789</v>
      </c>
      <c r="BC44">
        <v>114</v>
      </c>
      <c r="BD44">
        <v>1880635</v>
      </c>
      <c r="BF44" s="1">
        <v>45819</v>
      </c>
      <c r="BG44">
        <v>114</v>
      </c>
      <c r="BH44">
        <v>1885209</v>
      </c>
      <c r="BJ44" s="1">
        <v>45845</v>
      </c>
      <c r="BK44">
        <v>114</v>
      </c>
      <c r="BL44">
        <v>1888970</v>
      </c>
      <c r="BN44" s="1">
        <v>45877</v>
      </c>
      <c r="BO44">
        <v>114</v>
      </c>
      <c r="BP44">
        <v>1893815</v>
      </c>
      <c r="BR44" s="1">
        <v>45912</v>
      </c>
      <c r="BS44">
        <v>114</v>
      </c>
      <c r="BT44">
        <v>1899213</v>
      </c>
      <c r="BV44" s="1">
        <v>45944</v>
      </c>
      <c r="BW44">
        <v>114</v>
      </c>
      <c r="BX44">
        <v>1904560</v>
      </c>
      <c r="BZ44" s="1">
        <v>45971</v>
      </c>
      <c r="CA44">
        <v>114</v>
      </c>
      <c r="CB44">
        <v>1908915</v>
      </c>
      <c r="CD44" s="1">
        <v>46000</v>
      </c>
      <c r="CE44">
        <v>114</v>
      </c>
      <c r="CF44">
        <v>1913066</v>
      </c>
      <c r="CH44">
        <v>339912072</v>
      </c>
    </row>
    <row r="45" spans="1:86" x14ac:dyDescent="0.25">
      <c r="A45">
        <v>571883</v>
      </c>
      <c r="B45">
        <v>102</v>
      </c>
      <c r="C45">
        <v>300946</v>
      </c>
      <c r="D45">
        <v>1</v>
      </c>
      <c r="E45">
        <v>1</v>
      </c>
      <c r="F45">
        <v>110242</v>
      </c>
      <c r="G45">
        <v>110242</v>
      </c>
      <c r="H45" t="s">
        <v>90</v>
      </c>
      <c r="N45" t="s">
        <v>315</v>
      </c>
      <c r="O45">
        <v>110242</v>
      </c>
      <c r="P45" t="s">
        <v>92</v>
      </c>
      <c r="Q45" t="s">
        <v>93</v>
      </c>
      <c r="R45" t="s">
        <v>316</v>
      </c>
      <c r="V45" t="s">
        <v>317</v>
      </c>
      <c r="W45" t="s">
        <v>307</v>
      </c>
      <c r="X45" t="s">
        <v>318</v>
      </c>
      <c r="Y45" t="s">
        <v>99</v>
      </c>
      <c r="AA45" t="s">
        <v>315</v>
      </c>
      <c r="AB45" t="s">
        <v>316</v>
      </c>
      <c r="AC45" t="s">
        <v>319</v>
      </c>
      <c r="AI45">
        <v>800</v>
      </c>
      <c r="AK45">
        <v>0</v>
      </c>
      <c r="AL45" s="1">
        <v>45667</v>
      </c>
      <c r="AM45">
        <v>125</v>
      </c>
      <c r="AN45">
        <v>1861394</v>
      </c>
      <c r="AP45" s="1">
        <v>45758</v>
      </c>
      <c r="AQ45">
        <v>150</v>
      </c>
      <c r="AR45">
        <v>1875531</v>
      </c>
      <c r="AT45" s="1">
        <v>45845</v>
      </c>
      <c r="AU45">
        <v>200</v>
      </c>
      <c r="AV45">
        <v>1888964</v>
      </c>
      <c r="AX45" s="1">
        <v>45933</v>
      </c>
      <c r="AY45">
        <v>200</v>
      </c>
      <c r="AZ45">
        <v>1902406</v>
      </c>
      <c r="BB45" s="1">
        <v>46021</v>
      </c>
      <c r="BC45">
        <v>125</v>
      </c>
      <c r="BD45">
        <v>1916595</v>
      </c>
      <c r="CH45">
        <v>337101536</v>
      </c>
    </row>
    <row r="46" spans="1:86" x14ac:dyDescent="0.25">
      <c r="A46">
        <v>571884</v>
      </c>
      <c r="B46">
        <v>102</v>
      </c>
      <c r="C46">
        <v>300947</v>
      </c>
      <c r="D46">
        <v>1</v>
      </c>
      <c r="E46">
        <v>1</v>
      </c>
      <c r="F46">
        <v>110247</v>
      </c>
      <c r="G46">
        <v>110247</v>
      </c>
      <c r="H46" t="s">
        <v>90</v>
      </c>
      <c r="N46" t="s">
        <v>320</v>
      </c>
      <c r="O46">
        <v>110247</v>
      </c>
      <c r="P46" t="s">
        <v>92</v>
      </c>
      <c r="Q46" t="s">
        <v>93</v>
      </c>
      <c r="R46" t="s">
        <v>316</v>
      </c>
      <c r="V46" t="s">
        <v>317</v>
      </c>
      <c r="W46" t="s">
        <v>307</v>
      </c>
      <c r="X46" t="s">
        <v>318</v>
      </c>
      <c r="Y46" t="s">
        <v>99</v>
      </c>
      <c r="AA46" t="s">
        <v>320</v>
      </c>
      <c r="AB46" t="s">
        <v>316</v>
      </c>
      <c r="AC46" t="s">
        <v>319</v>
      </c>
      <c r="AI46">
        <v>456</v>
      </c>
      <c r="AK46">
        <v>0</v>
      </c>
      <c r="AL46" s="1">
        <v>45674</v>
      </c>
      <c r="AM46">
        <v>38</v>
      </c>
      <c r="AN46">
        <v>1861990</v>
      </c>
      <c r="AP46" s="1">
        <v>45721</v>
      </c>
      <c r="AQ46">
        <v>38</v>
      </c>
      <c r="AR46">
        <v>1869809</v>
      </c>
      <c r="AT46" s="1">
        <v>45737</v>
      </c>
      <c r="AU46">
        <v>38</v>
      </c>
      <c r="AV46">
        <v>1871645</v>
      </c>
      <c r="AX46" s="1">
        <v>45761</v>
      </c>
      <c r="AY46">
        <v>38</v>
      </c>
      <c r="AZ46">
        <v>1876305</v>
      </c>
      <c r="BB46" s="1">
        <v>45789</v>
      </c>
      <c r="BC46">
        <v>38</v>
      </c>
      <c r="BD46">
        <v>1880588</v>
      </c>
      <c r="BF46" s="1">
        <v>45826</v>
      </c>
      <c r="BG46">
        <v>38</v>
      </c>
      <c r="BH46">
        <v>1886438</v>
      </c>
      <c r="BJ46" s="1">
        <v>45856</v>
      </c>
      <c r="BK46">
        <v>38</v>
      </c>
      <c r="BL46">
        <v>1890781</v>
      </c>
      <c r="BN46" s="1">
        <v>45877</v>
      </c>
      <c r="BO46">
        <v>38</v>
      </c>
      <c r="BP46">
        <v>1893788</v>
      </c>
      <c r="BR46" s="1">
        <v>45916</v>
      </c>
      <c r="BS46">
        <v>38</v>
      </c>
      <c r="BT46">
        <v>1899623</v>
      </c>
      <c r="BV46" s="1">
        <v>45944</v>
      </c>
      <c r="BW46">
        <v>38</v>
      </c>
      <c r="BX46">
        <v>1904544</v>
      </c>
      <c r="BZ46" s="1">
        <v>45971</v>
      </c>
      <c r="CA46">
        <v>38</v>
      </c>
      <c r="CB46">
        <v>1908897</v>
      </c>
      <c r="CD46" s="1">
        <v>46003</v>
      </c>
      <c r="CE46">
        <v>38</v>
      </c>
      <c r="CF46">
        <v>1913615</v>
      </c>
      <c r="CH46">
        <v>337101536</v>
      </c>
    </row>
    <row r="47" spans="1:86" x14ac:dyDescent="0.25">
      <c r="A47">
        <v>571885</v>
      </c>
      <c r="B47">
        <v>102</v>
      </c>
      <c r="C47">
        <v>300948</v>
      </c>
      <c r="D47">
        <v>1</v>
      </c>
      <c r="E47">
        <v>1</v>
      </c>
      <c r="F47">
        <v>120010</v>
      </c>
      <c r="G47">
        <v>120010</v>
      </c>
      <c r="H47" t="s">
        <v>90</v>
      </c>
      <c r="N47" t="s">
        <v>321</v>
      </c>
      <c r="O47">
        <v>4004130</v>
      </c>
      <c r="P47" t="s">
        <v>92</v>
      </c>
      <c r="Q47" t="s">
        <v>93</v>
      </c>
      <c r="R47" t="s">
        <v>322</v>
      </c>
      <c r="S47" t="s">
        <v>323</v>
      </c>
      <c r="V47" t="s">
        <v>324</v>
      </c>
      <c r="W47" t="s">
        <v>124</v>
      </c>
      <c r="X47" t="s">
        <v>325</v>
      </c>
      <c r="Y47" t="s">
        <v>99</v>
      </c>
      <c r="AA47" t="s">
        <v>321</v>
      </c>
      <c r="AB47" t="s">
        <v>322</v>
      </c>
      <c r="AC47" t="s">
        <v>323</v>
      </c>
      <c r="AD47" t="s">
        <v>326</v>
      </c>
      <c r="AH47" t="s">
        <v>327</v>
      </c>
      <c r="AI47">
        <v>1824</v>
      </c>
      <c r="AK47">
        <v>0</v>
      </c>
      <c r="AL47" s="1">
        <v>45667</v>
      </c>
      <c r="AM47">
        <v>152</v>
      </c>
      <c r="AN47">
        <v>1861442</v>
      </c>
      <c r="AP47" s="1">
        <v>45700</v>
      </c>
      <c r="AQ47">
        <v>152</v>
      </c>
      <c r="AR47">
        <v>1866553</v>
      </c>
      <c r="AT47" s="1">
        <v>45730</v>
      </c>
      <c r="AU47">
        <v>152</v>
      </c>
      <c r="AV47">
        <v>1871062</v>
      </c>
      <c r="AX47" s="1">
        <v>45758</v>
      </c>
      <c r="AY47">
        <v>152</v>
      </c>
      <c r="AZ47">
        <v>1875548</v>
      </c>
      <c r="BB47" s="1">
        <v>45786</v>
      </c>
      <c r="BC47">
        <v>152</v>
      </c>
      <c r="BD47">
        <v>1880327</v>
      </c>
      <c r="BF47" s="1">
        <v>45819</v>
      </c>
      <c r="BG47">
        <v>152</v>
      </c>
      <c r="BH47">
        <v>1885212</v>
      </c>
      <c r="BJ47" s="1">
        <v>45849</v>
      </c>
      <c r="BK47">
        <v>152</v>
      </c>
      <c r="BL47">
        <v>1890317</v>
      </c>
      <c r="BN47" s="1">
        <v>45877</v>
      </c>
      <c r="BO47">
        <v>152</v>
      </c>
      <c r="BP47">
        <v>1893801</v>
      </c>
      <c r="BR47" s="1">
        <v>45916</v>
      </c>
      <c r="BS47">
        <v>152</v>
      </c>
      <c r="BT47">
        <v>1899630</v>
      </c>
      <c r="BV47" s="1">
        <v>45944</v>
      </c>
      <c r="BW47">
        <v>152</v>
      </c>
      <c r="BX47">
        <v>1904555</v>
      </c>
      <c r="BZ47" s="1">
        <v>45975</v>
      </c>
      <c r="CA47">
        <v>152</v>
      </c>
      <c r="CB47">
        <v>1909350</v>
      </c>
      <c r="CD47" s="1">
        <v>46003</v>
      </c>
      <c r="CE47">
        <v>152</v>
      </c>
      <c r="CF47">
        <v>1913630</v>
      </c>
      <c r="CH47">
        <v>140011101</v>
      </c>
    </row>
    <row r="48" spans="1:86" x14ac:dyDescent="0.25">
      <c r="A48">
        <v>571886</v>
      </c>
      <c r="B48">
        <v>102</v>
      </c>
      <c r="C48">
        <v>300949</v>
      </c>
      <c r="D48">
        <v>1</v>
      </c>
      <c r="E48">
        <v>1</v>
      </c>
      <c r="F48">
        <v>120043</v>
      </c>
      <c r="G48">
        <v>120043</v>
      </c>
      <c r="H48" t="s">
        <v>90</v>
      </c>
      <c r="N48" t="s">
        <v>328</v>
      </c>
      <c r="O48">
        <v>4010011</v>
      </c>
      <c r="P48" t="s">
        <v>92</v>
      </c>
      <c r="Q48" t="s">
        <v>93</v>
      </c>
      <c r="R48" t="s">
        <v>329</v>
      </c>
      <c r="S48" t="s">
        <v>330</v>
      </c>
      <c r="V48" t="s">
        <v>331</v>
      </c>
      <c r="W48" t="s">
        <v>124</v>
      </c>
      <c r="X48" t="s">
        <v>332</v>
      </c>
      <c r="Y48" t="s">
        <v>99</v>
      </c>
      <c r="AA48" t="s">
        <v>328</v>
      </c>
      <c r="AB48" t="s">
        <v>329</v>
      </c>
      <c r="AC48" t="s">
        <v>330</v>
      </c>
      <c r="AD48" t="s">
        <v>333</v>
      </c>
      <c r="AH48" t="s">
        <v>334</v>
      </c>
      <c r="AI48">
        <v>17329.57</v>
      </c>
      <c r="AK48">
        <v>0</v>
      </c>
      <c r="AL48" s="1">
        <v>45663</v>
      </c>
      <c r="AM48">
        <v>1578.95</v>
      </c>
      <c r="AN48">
        <v>1859067</v>
      </c>
      <c r="AP48" s="1">
        <v>45663</v>
      </c>
      <c r="AQ48">
        <v>1900</v>
      </c>
      <c r="AR48">
        <v>1859068</v>
      </c>
      <c r="AT48" s="1">
        <v>45723</v>
      </c>
      <c r="AU48">
        <v>342</v>
      </c>
      <c r="AV48">
        <v>1869765</v>
      </c>
      <c r="AX48" s="1">
        <v>45728</v>
      </c>
      <c r="AY48">
        <v>0</v>
      </c>
      <c r="AZ48">
        <v>1869599</v>
      </c>
      <c r="BA48">
        <v>0</v>
      </c>
      <c r="BB48" s="1">
        <v>45728</v>
      </c>
      <c r="BC48">
        <v>8715</v>
      </c>
      <c r="BD48">
        <v>1869601</v>
      </c>
      <c r="BF48" s="1">
        <v>45806</v>
      </c>
      <c r="BG48">
        <v>0</v>
      </c>
      <c r="BH48">
        <v>1882457</v>
      </c>
      <c r="BI48">
        <v>0</v>
      </c>
      <c r="BJ48" s="1">
        <v>45806</v>
      </c>
      <c r="BK48">
        <v>3767.62</v>
      </c>
      <c r="BL48">
        <v>1882461</v>
      </c>
      <c r="BN48" s="1">
        <v>45814</v>
      </c>
      <c r="BO48">
        <v>342</v>
      </c>
      <c r="BP48">
        <v>1884058</v>
      </c>
      <c r="BR48" s="1">
        <v>45902</v>
      </c>
      <c r="BS48">
        <v>342</v>
      </c>
      <c r="BT48">
        <v>1897540</v>
      </c>
      <c r="BV48" s="1">
        <v>45996</v>
      </c>
      <c r="BW48">
        <v>342</v>
      </c>
      <c r="BX48">
        <v>1912240</v>
      </c>
      <c r="CH48">
        <v>140209705</v>
      </c>
    </row>
    <row r="49" spans="1:86" x14ac:dyDescent="0.25">
      <c r="A49">
        <v>571887</v>
      </c>
      <c r="B49">
        <v>102</v>
      </c>
      <c r="C49">
        <v>300950</v>
      </c>
      <c r="D49">
        <v>1</v>
      </c>
      <c r="E49">
        <v>1</v>
      </c>
      <c r="F49">
        <v>120150</v>
      </c>
      <c r="G49">
        <v>120150</v>
      </c>
      <c r="H49" t="s">
        <v>90</v>
      </c>
      <c r="N49" t="s">
        <v>335</v>
      </c>
      <c r="O49">
        <v>4004134</v>
      </c>
      <c r="P49" t="s">
        <v>92</v>
      </c>
      <c r="Q49" t="s">
        <v>93</v>
      </c>
      <c r="R49" t="s">
        <v>336</v>
      </c>
      <c r="S49" t="s">
        <v>337</v>
      </c>
      <c r="V49" t="s">
        <v>338</v>
      </c>
      <c r="W49" t="s">
        <v>124</v>
      </c>
      <c r="X49" t="s">
        <v>339</v>
      </c>
      <c r="Y49" t="s">
        <v>99</v>
      </c>
      <c r="AA49" t="s">
        <v>335</v>
      </c>
      <c r="AB49" t="s">
        <v>336</v>
      </c>
      <c r="AC49" t="s">
        <v>337</v>
      </c>
      <c r="AD49" t="s">
        <v>340</v>
      </c>
      <c r="AH49" t="s">
        <v>341</v>
      </c>
      <c r="AI49">
        <v>228</v>
      </c>
      <c r="AK49">
        <v>0</v>
      </c>
      <c r="AL49" s="1">
        <v>45658</v>
      </c>
      <c r="AM49">
        <v>38</v>
      </c>
      <c r="AN49">
        <v>1857991</v>
      </c>
      <c r="AP49" s="1">
        <v>45689</v>
      </c>
      <c r="AQ49">
        <v>38</v>
      </c>
      <c r="AR49">
        <v>1863170</v>
      </c>
      <c r="AT49" s="1">
        <v>45717</v>
      </c>
      <c r="AU49">
        <v>38</v>
      </c>
      <c r="AV49">
        <v>1867965</v>
      </c>
      <c r="AX49" s="1">
        <v>45748</v>
      </c>
      <c r="AY49">
        <v>38</v>
      </c>
      <c r="AZ49">
        <v>1872544</v>
      </c>
      <c r="BB49" s="1">
        <v>45778</v>
      </c>
      <c r="BC49">
        <v>38</v>
      </c>
      <c r="BD49">
        <v>1877778</v>
      </c>
      <c r="BF49" s="1">
        <v>45809</v>
      </c>
      <c r="BG49">
        <v>38</v>
      </c>
      <c r="BH49">
        <v>1882517</v>
      </c>
      <c r="CH49">
        <v>147729788</v>
      </c>
    </row>
    <row r="50" spans="1:86" x14ac:dyDescent="0.25">
      <c r="A50">
        <v>571888</v>
      </c>
      <c r="B50">
        <v>102</v>
      </c>
      <c r="C50">
        <v>300951</v>
      </c>
      <c r="D50">
        <v>1</v>
      </c>
      <c r="E50">
        <v>1</v>
      </c>
      <c r="F50">
        <v>120190</v>
      </c>
      <c r="G50">
        <v>120190</v>
      </c>
      <c r="H50" t="s">
        <v>90</v>
      </c>
      <c r="N50" t="s">
        <v>342</v>
      </c>
      <c r="O50">
        <v>4005873</v>
      </c>
      <c r="P50" t="s">
        <v>92</v>
      </c>
      <c r="Q50" t="s">
        <v>93</v>
      </c>
      <c r="R50" t="s">
        <v>343</v>
      </c>
      <c r="S50" t="s">
        <v>344</v>
      </c>
      <c r="V50" t="s">
        <v>345</v>
      </c>
      <c r="W50" t="s">
        <v>124</v>
      </c>
      <c r="X50" t="s">
        <v>346</v>
      </c>
      <c r="Y50" t="s">
        <v>99</v>
      </c>
      <c r="AA50" t="s">
        <v>342</v>
      </c>
      <c r="AB50" t="s">
        <v>343</v>
      </c>
      <c r="AC50" t="s">
        <v>344</v>
      </c>
      <c r="AD50" t="s">
        <v>347</v>
      </c>
      <c r="AH50" t="s">
        <v>348</v>
      </c>
      <c r="AI50">
        <v>1152</v>
      </c>
      <c r="AK50">
        <v>0</v>
      </c>
      <c r="AL50" s="1">
        <v>45675</v>
      </c>
      <c r="AM50">
        <v>96</v>
      </c>
      <c r="AN50">
        <v>1861278</v>
      </c>
      <c r="AP50" s="1">
        <v>45706</v>
      </c>
      <c r="AQ50">
        <v>96</v>
      </c>
      <c r="AR50">
        <v>1866154</v>
      </c>
      <c r="AT50" s="1">
        <v>45734</v>
      </c>
      <c r="AU50">
        <v>96</v>
      </c>
      <c r="AV50">
        <v>1870874</v>
      </c>
      <c r="AX50" s="1">
        <v>45765</v>
      </c>
      <c r="AY50">
        <v>96</v>
      </c>
      <c r="AZ50">
        <v>1875909</v>
      </c>
      <c r="BB50" s="1">
        <v>45795</v>
      </c>
      <c r="BC50">
        <v>96</v>
      </c>
      <c r="BD50">
        <v>1880942</v>
      </c>
      <c r="BF50" s="1">
        <v>45826</v>
      </c>
      <c r="BG50">
        <v>96</v>
      </c>
      <c r="BH50">
        <v>1885630</v>
      </c>
      <c r="BJ50" s="1">
        <v>45856</v>
      </c>
      <c r="BK50">
        <v>96</v>
      </c>
      <c r="BL50">
        <v>1890172</v>
      </c>
      <c r="BN50" s="1">
        <v>45887</v>
      </c>
      <c r="BO50">
        <v>96</v>
      </c>
      <c r="BP50">
        <v>1894962</v>
      </c>
      <c r="BR50" s="1">
        <v>45918</v>
      </c>
      <c r="BS50">
        <v>96</v>
      </c>
      <c r="BT50">
        <v>1899525</v>
      </c>
      <c r="BV50" s="1">
        <v>45948</v>
      </c>
      <c r="BW50">
        <v>96</v>
      </c>
      <c r="BX50">
        <v>1904033</v>
      </c>
      <c r="BZ50" s="1">
        <v>45979</v>
      </c>
      <c r="CA50">
        <v>96</v>
      </c>
      <c r="CB50">
        <v>1908659</v>
      </c>
      <c r="CD50" s="1">
        <v>46009</v>
      </c>
      <c r="CE50">
        <v>96</v>
      </c>
      <c r="CF50">
        <v>1913585</v>
      </c>
      <c r="CH50">
        <v>140631009</v>
      </c>
    </row>
    <row r="51" spans="1:86" x14ac:dyDescent="0.25">
      <c r="A51">
        <v>571889</v>
      </c>
      <c r="B51">
        <v>102</v>
      </c>
      <c r="C51">
        <v>300952</v>
      </c>
      <c r="D51">
        <v>1</v>
      </c>
      <c r="E51">
        <v>1</v>
      </c>
      <c r="F51">
        <v>120298</v>
      </c>
      <c r="G51">
        <v>120298</v>
      </c>
      <c r="H51" t="s">
        <v>90</v>
      </c>
      <c r="N51" t="s">
        <v>349</v>
      </c>
      <c r="O51">
        <v>4004136</v>
      </c>
      <c r="P51" t="s">
        <v>92</v>
      </c>
      <c r="Q51" t="s">
        <v>93</v>
      </c>
      <c r="R51" t="s">
        <v>350</v>
      </c>
      <c r="S51" t="s">
        <v>351</v>
      </c>
      <c r="V51" t="s">
        <v>352</v>
      </c>
      <c r="W51" t="s">
        <v>124</v>
      </c>
      <c r="X51" t="s">
        <v>353</v>
      </c>
      <c r="Y51" t="s">
        <v>99</v>
      </c>
      <c r="AA51" t="s">
        <v>349</v>
      </c>
      <c r="AB51" t="s">
        <v>350</v>
      </c>
      <c r="AC51" t="s">
        <v>351</v>
      </c>
      <c r="AD51" t="s">
        <v>354</v>
      </c>
      <c r="AI51">
        <v>456</v>
      </c>
      <c r="AK51">
        <v>0</v>
      </c>
      <c r="AL51" s="1">
        <v>45669</v>
      </c>
      <c r="AM51">
        <v>38</v>
      </c>
      <c r="AN51">
        <v>1859984</v>
      </c>
      <c r="AP51" s="1">
        <v>45700</v>
      </c>
      <c r="AQ51">
        <v>38</v>
      </c>
      <c r="AR51">
        <v>1865091</v>
      </c>
      <c r="AT51" s="1">
        <v>45728</v>
      </c>
      <c r="AU51">
        <v>38</v>
      </c>
      <c r="AV51">
        <v>1869596</v>
      </c>
      <c r="AX51" s="1">
        <v>45759</v>
      </c>
      <c r="AY51">
        <v>38</v>
      </c>
      <c r="AZ51">
        <v>1874485</v>
      </c>
      <c r="BB51" s="1">
        <v>45789</v>
      </c>
      <c r="BC51">
        <v>38</v>
      </c>
      <c r="BD51">
        <v>1879613</v>
      </c>
      <c r="BF51" s="1">
        <v>45820</v>
      </c>
      <c r="BG51">
        <v>38</v>
      </c>
      <c r="BH51">
        <v>1884378</v>
      </c>
      <c r="BJ51" s="1">
        <v>45850</v>
      </c>
      <c r="BK51">
        <v>38</v>
      </c>
      <c r="BL51">
        <v>1889118</v>
      </c>
      <c r="BN51" s="1">
        <v>45881</v>
      </c>
      <c r="BO51">
        <v>38</v>
      </c>
      <c r="BP51">
        <v>1893700</v>
      </c>
      <c r="BR51" s="1">
        <v>45912</v>
      </c>
      <c r="BS51">
        <v>38</v>
      </c>
      <c r="BT51">
        <v>1898380</v>
      </c>
      <c r="BV51" s="1">
        <v>45942</v>
      </c>
      <c r="BW51">
        <v>38</v>
      </c>
      <c r="BX51">
        <v>1902979</v>
      </c>
      <c r="BZ51" s="1">
        <v>45973</v>
      </c>
      <c r="CA51">
        <v>38</v>
      </c>
      <c r="CB51">
        <v>1907568</v>
      </c>
      <c r="CD51" s="1">
        <v>46003</v>
      </c>
      <c r="CE51">
        <v>38</v>
      </c>
      <c r="CF51">
        <v>1912322</v>
      </c>
      <c r="CH51">
        <v>143051443</v>
      </c>
    </row>
    <row r="52" spans="1:86" x14ac:dyDescent="0.25">
      <c r="A52">
        <v>571890</v>
      </c>
      <c r="B52">
        <v>102</v>
      </c>
      <c r="C52">
        <v>300953</v>
      </c>
      <c r="D52">
        <v>1</v>
      </c>
      <c r="E52">
        <v>1</v>
      </c>
      <c r="F52">
        <v>120310</v>
      </c>
      <c r="G52">
        <v>120310</v>
      </c>
      <c r="H52" t="s">
        <v>90</v>
      </c>
      <c r="N52" t="s">
        <v>355</v>
      </c>
      <c r="O52">
        <v>120310</v>
      </c>
      <c r="P52" t="s">
        <v>92</v>
      </c>
      <c r="Q52" t="s">
        <v>93</v>
      </c>
      <c r="R52" t="s">
        <v>356</v>
      </c>
      <c r="V52" t="s">
        <v>357</v>
      </c>
      <c r="W52" t="s">
        <v>124</v>
      </c>
      <c r="X52" t="s">
        <v>358</v>
      </c>
      <c r="Y52" t="s">
        <v>99</v>
      </c>
      <c r="AA52" t="s">
        <v>355</v>
      </c>
      <c r="AB52" t="s">
        <v>356</v>
      </c>
      <c r="AC52" t="s">
        <v>359</v>
      </c>
      <c r="AH52" t="s">
        <v>360</v>
      </c>
      <c r="AI52">
        <v>912</v>
      </c>
      <c r="AK52">
        <v>0</v>
      </c>
      <c r="AL52" s="1">
        <v>45688</v>
      </c>
      <c r="AM52">
        <v>76</v>
      </c>
      <c r="AN52">
        <v>1864099</v>
      </c>
      <c r="AP52" s="1">
        <v>45719</v>
      </c>
      <c r="AQ52">
        <v>76</v>
      </c>
      <c r="AR52">
        <v>1869121</v>
      </c>
      <c r="AT52" s="1">
        <v>45744</v>
      </c>
      <c r="AU52">
        <v>76</v>
      </c>
      <c r="AV52">
        <v>1873412</v>
      </c>
      <c r="AX52" s="1">
        <v>45782</v>
      </c>
      <c r="AY52">
        <v>76</v>
      </c>
      <c r="AZ52">
        <v>1879256</v>
      </c>
      <c r="BB52" s="1">
        <v>45807</v>
      </c>
      <c r="BC52">
        <v>76</v>
      </c>
      <c r="BD52">
        <v>1883444</v>
      </c>
      <c r="BF52" s="1">
        <v>45841</v>
      </c>
      <c r="BG52">
        <v>76</v>
      </c>
      <c r="BH52">
        <v>1888821</v>
      </c>
      <c r="BJ52" s="1">
        <v>45873</v>
      </c>
      <c r="BK52">
        <v>76</v>
      </c>
      <c r="BL52">
        <v>1893271</v>
      </c>
      <c r="BN52" s="1">
        <v>45902</v>
      </c>
      <c r="BO52">
        <v>76</v>
      </c>
      <c r="BP52">
        <v>1897586</v>
      </c>
      <c r="BR52" s="1">
        <v>45930</v>
      </c>
      <c r="BS52">
        <v>76</v>
      </c>
      <c r="BT52">
        <v>1901961</v>
      </c>
      <c r="BV52" s="1">
        <v>45961</v>
      </c>
      <c r="BW52">
        <v>76</v>
      </c>
      <c r="BX52">
        <v>1906793</v>
      </c>
      <c r="BZ52" s="1">
        <v>45993</v>
      </c>
      <c r="CA52">
        <v>76</v>
      </c>
      <c r="CB52">
        <v>1911860</v>
      </c>
      <c r="CD52" s="1">
        <v>46021</v>
      </c>
      <c r="CE52">
        <v>76</v>
      </c>
      <c r="CF52">
        <v>1916652</v>
      </c>
      <c r="CH52">
        <v>141209574</v>
      </c>
    </row>
    <row r="53" spans="1:86" x14ac:dyDescent="0.25">
      <c r="A53">
        <v>571891</v>
      </c>
      <c r="B53">
        <v>102</v>
      </c>
      <c r="C53">
        <v>300954</v>
      </c>
      <c r="D53">
        <v>1</v>
      </c>
      <c r="E53">
        <v>1</v>
      </c>
      <c r="F53">
        <v>120400</v>
      </c>
      <c r="G53">
        <v>120400</v>
      </c>
      <c r="H53" t="s">
        <v>90</v>
      </c>
      <c r="N53" t="s">
        <v>361</v>
      </c>
      <c r="O53">
        <v>120400</v>
      </c>
      <c r="P53" t="s">
        <v>92</v>
      </c>
      <c r="Q53" t="s">
        <v>93</v>
      </c>
      <c r="R53" t="s">
        <v>362</v>
      </c>
      <c r="V53" t="s">
        <v>363</v>
      </c>
      <c r="W53" t="s">
        <v>124</v>
      </c>
      <c r="X53" t="s">
        <v>364</v>
      </c>
      <c r="Y53" t="s">
        <v>99</v>
      </c>
      <c r="AA53" t="s">
        <v>361</v>
      </c>
      <c r="AB53" t="s">
        <v>362</v>
      </c>
      <c r="AC53" t="s">
        <v>365</v>
      </c>
      <c r="AH53" t="s">
        <v>366</v>
      </c>
      <c r="AI53">
        <v>3095</v>
      </c>
      <c r="AK53">
        <v>0</v>
      </c>
      <c r="AL53" s="1">
        <v>45664</v>
      </c>
      <c r="AM53">
        <v>228</v>
      </c>
      <c r="AN53">
        <v>1861494</v>
      </c>
      <c r="AP53" s="1">
        <v>45664</v>
      </c>
      <c r="AQ53">
        <v>375</v>
      </c>
      <c r="AR53">
        <v>1861495</v>
      </c>
      <c r="AT53" s="1">
        <v>45758</v>
      </c>
      <c r="AU53">
        <v>375</v>
      </c>
      <c r="AV53">
        <v>1875519</v>
      </c>
      <c r="AX53" s="1">
        <v>45758</v>
      </c>
      <c r="AY53">
        <v>238</v>
      </c>
      <c r="AZ53">
        <v>1875520</v>
      </c>
      <c r="BB53" s="1">
        <v>45845</v>
      </c>
      <c r="BC53">
        <v>238</v>
      </c>
      <c r="BD53">
        <v>1888952</v>
      </c>
      <c r="BF53" s="1">
        <v>45845</v>
      </c>
      <c r="BG53">
        <v>375</v>
      </c>
      <c r="BH53">
        <v>1888953</v>
      </c>
      <c r="BJ53" s="1">
        <v>45937</v>
      </c>
      <c r="BK53">
        <v>375</v>
      </c>
      <c r="BL53">
        <v>1902640</v>
      </c>
      <c r="BN53" s="1">
        <v>45937</v>
      </c>
      <c r="BO53">
        <v>278</v>
      </c>
      <c r="BP53">
        <v>1902641</v>
      </c>
      <c r="BR53" s="1">
        <v>46021</v>
      </c>
      <c r="BS53">
        <v>238</v>
      </c>
      <c r="BT53">
        <v>1917261</v>
      </c>
      <c r="BV53" s="1">
        <v>46021</v>
      </c>
      <c r="BW53">
        <v>375</v>
      </c>
      <c r="BX53">
        <v>1917262</v>
      </c>
      <c r="CH53">
        <v>145342321</v>
      </c>
    </row>
    <row r="54" spans="1:86" x14ac:dyDescent="0.25">
      <c r="A54">
        <v>571892</v>
      </c>
      <c r="B54">
        <v>102</v>
      </c>
      <c r="C54">
        <v>300955</v>
      </c>
      <c r="D54">
        <v>1</v>
      </c>
      <c r="E54">
        <v>2</v>
      </c>
      <c r="F54">
        <v>120405</v>
      </c>
      <c r="G54">
        <v>120405</v>
      </c>
      <c r="H54" t="s">
        <v>90</v>
      </c>
      <c r="N54" t="s">
        <v>367</v>
      </c>
      <c r="O54">
        <v>4004140</v>
      </c>
      <c r="P54" t="s">
        <v>92</v>
      </c>
      <c r="Q54" t="s">
        <v>93</v>
      </c>
      <c r="R54" t="s">
        <v>368</v>
      </c>
      <c r="S54" t="s">
        <v>369</v>
      </c>
      <c r="V54" t="s">
        <v>370</v>
      </c>
      <c r="W54" t="s">
        <v>124</v>
      </c>
      <c r="X54" t="s">
        <v>371</v>
      </c>
      <c r="Y54" t="s">
        <v>99</v>
      </c>
      <c r="AA54" t="s">
        <v>367</v>
      </c>
      <c r="AB54" t="s">
        <v>368</v>
      </c>
      <c r="AC54" t="s">
        <v>369</v>
      </c>
      <c r="AD54" t="s">
        <v>372</v>
      </c>
      <c r="AH54" t="s">
        <v>373</v>
      </c>
      <c r="AI54">
        <v>1710</v>
      </c>
      <c r="AK54">
        <v>0</v>
      </c>
      <c r="AL54" s="1">
        <v>45685</v>
      </c>
      <c r="AM54">
        <v>76</v>
      </c>
      <c r="AN54">
        <v>1862928</v>
      </c>
      <c r="AP54" s="1">
        <v>45716</v>
      </c>
      <c r="AQ54">
        <v>76</v>
      </c>
      <c r="AR54">
        <v>1867746</v>
      </c>
      <c r="AT54" s="1">
        <v>45744</v>
      </c>
      <c r="AU54">
        <v>76</v>
      </c>
      <c r="AV54">
        <v>1872280</v>
      </c>
      <c r="AX54" s="1">
        <v>45770</v>
      </c>
      <c r="AY54">
        <v>38</v>
      </c>
      <c r="AZ54">
        <v>1876367</v>
      </c>
      <c r="BB54" s="1">
        <v>45770</v>
      </c>
      <c r="BC54">
        <v>38</v>
      </c>
      <c r="BD54">
        <v>1876369</v>
      </c>
      <c r="BF54" s="1">
        <v>45770</v>
      </c>
      <c r="BG54">
        <v>38</v>
      </c>
      <c r="BH54">
        <v>1876370</v>
      </c>
      <c r="BJ54" s="1">
        <v>45770</v>
      </c>
      <c r="BK54">
        <v>38</v>
      </c>
      <c r="BL54">
        <v>1876371</v>
      </c>
      <c r="BN54" s="1">
        <v>45770</v>
      </c>
      <c r="BO54">
        <v>38</v>
      </c>
      <c r="BP54">
        <v>1876373</v>
      </c>
      <c r="BR54" s="1">
        <v>45770</v>
      </c>
      <c r="BS54">
        <v>38</v>
      </c>
      <c r="BT54">
        <v>1876374</v>
      </c>
      <c r="BV54" s="1">
        <v>45770</v>
      </c>
      <c r="BW54">
        <v>38</v>
      </c>
      <c r="BX54">
        <v>1876375</v>
      </c>
      <c r="BZ54" s="1">
        <v>45770</v>
      </c>
      <c r="CA54">
        <v>38</v>
      </c>
      <c r="CB54">
        <v>1876376</v>
      </c>
      <c r="CD54" s="1">
        <v>45770</v>
      </c>
      <c r="CE54">
        <v>38</v>
      </c>
      <c r="CF54">
        <v>1876377</v>
      </c>
      <c r="CH54">
        <v>146213337</v>
      </c>
    </row>
    <row r="55" spans="1:86" x14ac:dyDescent="0.25">
      <c r="A55">
        <v>571893</v>
      </c>
      <c r="B55">
        <v>102</v>
      </c>
      <c r="C55">
        <v>300955</v>
      </c>
      <c r="D55">
        <v>2</v>
      </c>
      <c r="E55">
        <v>2</v>
      </c>
      <c r="F55">
        <v>120405</v>
      </c>
      <c r="G55">
        <v>120405</v>
      </c>
      <c r="H55" t="s">
        <v>90</v>
      </c>
      <c r="N55" t="s">
        <v>367</v>
      </c>
      <c r="O55">
        <v>4004140</v>
      </c>
      <c r="P55" t="s">
        <v>92</v>
      </c>
      <c r="Q55" t="s">
        <v>93</v>
      </c>
      <c r="R55" t="s">
        <v>368</v>
      </c>
      <c r="S55" t="s">
        <v>369</v>
      </c>
      <c r="V55" t="s">
        <v>370</v>
      </c>
      <c r="W55" t="s">
        <v>124</v>
      </c>
      <c r="X55" t="s">
        <v>371</v>
      </c>
      <c r="Y55" t="s">
        <v>99</v>
      </c>
      <c r="AA55" t="s">
        <v>367</v>
      </c>
      <c r="AB55" t="s">
        <v>368</v>
      </c>
      <c r="AC55" t="s">
        <v>369</v>
      </c>
      <c r="AD55" t="s">
        <v>372</v>
      </c>
      <c r="AH55" t="s">
        <v>373</v>
      </c>
      <c r="AI55">
        <v>1710</v>
      </c>
      <c r="AK55">
        <v>0</v>
      </c>
      <c r="AL55" s="1">
        <v>45770</v>
      </c>
      <c r="AM55">
        <v>38</v>
      </c>
      <c r="AN55">
        <v>1876378</v>
      </c>
      <c r="AP55" s="1">
        <v>45770</v>
      </c>
      <c r="AQ55">
        <v>38</v>
      </c>
      <c r="AR55">
        <v>1876379</v>
      </c>
      <c r="AT55" s="1">
        <v>45770</v>
      </c>
      <c r="AU55">
        <v>38</v>
      </c>
      <c r="AV55">
        <v>1876381</v>
      </c>
      <c r="AX55" s="1">
        <v>45775</v>
      </c>
      <c r="AY55">
        <v>114</v>
      </c>
      <c r="AZ55">
        <v>1877451</v>
      </c>
      <c r="BB55" s="1">
        <v>45805</v>
      </c>
      <c r="BC55">
        <v>114</v>
      </c>
      <c r="BD55">
        <v>1882137</v>
      </c>
      <c r="BF55" s="1">
        <v>45836</v>
      </c>
      <c r="BG55">
        <v>114</v>
      </c>
      <c r="BH55">
        <v>1886881</v>
      </c>
      <c r="BJ55" s="1">
        <v>45866</v>
      </c>
      <c r="BK55">
        <v>114</v>
      </c>
      <c r="BL55">
        <v>1891595</v>
      </c>
      <c r="BN55" s="1">
        <v>45897</v>
      </c>
      <c r="BO55">
        <v>114</v>
      </c>
      <c r="BP55">
        <v>1896093</v>
      </c>
      <c r="BR55" s="1">
        <v>45928</v>
      </c>
      <c r="BS55">
        <v>114</v>
      </c>
      <c r="BT55">
        <v>1900826</v>
      </c>
      <c r="BV55" s="1">
        <v>45958</v>
      </c>
      <c r="BW55">
        <v>114</v>
      </c>
      <c r="BX55">
        <v>1905431</v>
      </c>
      <c r="BZ55" s="1">
        <v>45989</v>
      </c>
      <c r="CA55">
        <v>114</v>
      </c>
      <c r="CB55">
        <v>1909949</v>
      </c>
      <c r="CD55" s="1">
        <v>46019</v>
      </c>
      <c r="CE55">
        <v>114</v>
      </c>
      <c r="CF55">
        <v>1914770</v>
      </c>
      <c r="CH55">
        <v>146213337</v>
      </c>
    </row>
    <row r="56" spans="1:86" x14ac:dyDescent="0.25">
      <c r="A56">
        <v>571894</v>
      </c>
      <c r="B56">
        <v>102</v>
      </c>
      <c r="C56">
        <v>300956</v>
      </c>
      <c r="D56">
        <v>1</v>
      </c>
      <c r="E56">
        <v>1</v>
      </c>
      <c r="F56">
        <v>120410</v>
      </c>
      <c r="G56">
        <v>120410</v>
      </c>
      <c r="H56" t="s">
        <v>90</v>
      </c>
      <c r="N56" t="s">
        <v>374</v>
      </c>
      <c r="O56">
        <v>120410</v>
      </c>
      <c r="P56" t="s">
        <v>92</v>
      </c>
      <c r="Q56" t="s">
        <v>93</v>
      </c>
      <c r="R56" t="s">
        <v>375</v>
      </c>
      <c r="V56" t="s">
        <v>376</v>
      </c>
      <c r="W56" t="s">
        <v>124</v>
      </c>
      <c r="X56">
        <v>14626</v>
      </c>
      <c r="Y56" t="s">
        <v>99</v>
      </c>
      <c r="AA56" t="s">
        <v>374</v>
      </c>
      <c r="AB56" t="s">
        <v>375</v>
      </c>
      <c r="AC56" t="s">
        <v>377</v>
      </c>
      <c r="AH56" t="s">
        <v>378</v>
      </c>
      <c r="AI56">
        <v>912</v>
      </c>
      <c r="AK56">
        <v>0</v>
      </c>
      <c r="AL56" s="1">
        <v>45672</v>
      </c>
      <c r="AM56">
        <v>76</v>
      </c>
      <c r="AN56">
        <v>1862056</v>
      </c>
      <c r="AP56" s="1">
        <v>45709</v>
      </c>
      <c r="AQ56">
        <v>76</v>
      </c>
      <c r="AR56">
        <v>1867261</v>
      </c>
      <c r="AT56" s="1">
        <v>45735</v>
      </c>
      <c r="AU56">
        <v>76</v>
      </c>
      <c r="AV56">
        <v>1871565</v>
      </c>
      <c r="AX56" s="1">
        <v>45761</v>
      </c>
      <c r="AY56">
        <v>76</v>
      </c>
      <c r="AZ56">
        <v>1876313</v>
      </c>
      <c r="BB56" s="1">
        <v>45793</v>
      </c>
      <c r="BC56">
        <v>76</v>
      </c>
      <c r="BD56">
        <v>1881260</v>
      </c>
      <c r="BF56" s="1">
        <v>45826</v>
      </c>
      <c r="BG56">
        <v>76</v>
      </c>
      <c r="BH56">
        <v>1886445</v>
      </c>
      <c r="BJ56" s="1">
        <v>45854</v>
      </c>
      <c r="BK56">
        <v>76</v>
      </c>
      <c r="BL56">
        <v>1890673</v>
      </c>
      <c r="BN56" s="1">
        <v>45887</v>
      </c>
      <c r="BO56">
        <v>76</v>
      </c>
      <c r="BP56">
        <v>1895156</v>
      </c>
      <c r="BR56" s="1">
        <v>45916</v>
      </c>
      <c r="BS56">
        <v>76</v>
      </c>
      <c r="BT56">
        <v>1899640</v>
      </c>
      <c r="BV56" s="1">
        <v>45944</v>
      </c>
      <c r="BW56">
        <v>76</v>
      </c>
      <c r="BX56">
        <v>1904565</v>
      </c>
      <c r="BZ56" s="1">
        <v>45975</v>
      </c>
      <c r="CA56">
        <v>76</v>
      </c>
      <c r="CB56">
        <v>1909342</v>
      </c>
      <c r="CD56" s="1">
        <v>46007</v>
      </c>
      <c r="CE56">
        <v>76</v>
      </c>
      <c r="CF56">
        <v>1914128</v>
      </c>
      <c r="CH56">
        <v>14626</v>
      </c>
    </row>
    <row r="57" spans="1:86" x14ac:dyDescent="0.25">
      <c r="A57">
        <v>571895</v>
      </c>
      <c r="B57">
        <v>102</v>
      </c>
      <c r="C57">
        <v>300957</v>
      </c>
      <c r="D57">
        <v>1</v>
      </c>
      <c r="E57">
        <v>2</v>
      </c>
      <c r="F57">
        <v>120440</v>
      </c>
      <c r="G57">
        <v>120440</v>
      </c>
      <c r="H57" t="s">
        <v>90</v>
      </c>
      <c r="N57" t="s">
        <v>379</v>
      </c>
      <c r="O57">
        <v>4004142</v>
      </c>
      <c r="P57" t="s">
        <v>92</v>
      </c>
      <c r="Q57" t="s">
        <v>93</v>
      </c>
      <c r="R57" t="s">
        <v>380</v>
      </c>
      <c r="S57" t="s">
        <v>381</v>
      </c>
      <c r="V57" t="s">
        <v>382</v>
      </c>
      <c r="W57" t="s">
        <v>124</v>
      </c>
      <c r="X57" t="s">
        <v>383</v>
      </c>
      <c r="Y57" t="s">
        <v>99</v>
      </c>
      <c r="AA57" t="s">
        <v>379</v>
      </c>
      <c r="AB57" t="s">
        <v>380</v>
      </c>
      <c r="AC57" t="s">
        <v>381</v>
      </c>
      <c r="AD57" t="s">
        <v>384</v>
      </c>
      <c r="AH57" t="s">
        <v>385</v>
      </c>
      <c r="AI57">
        <v>1065.6099999999999</v>
      </c>
      <c r="AK57">
        <v>0</v>
      </c>
      <c r="AL57" s="1">
        <v>45670</v>
      </c>
      <c r="AM57">
        <v>460</v>
      </c>
      <c r="AN57">
        <v>1860028</v>
      </c>
      <c r="AP57" s="1">
        <v>45675</v>
      </c>
      <c r="AQ57">
        <v>38</v>
      </c>
      <c r="AR57">
        <v>1861071</v>
      </c>
      <c r="AT57" s="1">
        <v>45706</v>
      </c>
      <c r="AU57">
        <v>38</v>
      </c>
      <c r="AV57">
        <v>1865951</v>
      </c>
      <c r="AX57" s="1">
        <v>45734</v>
      </c>
      <c r="AY57">
        <v>38</v>
      </c>
      <c r="AZ57">
        <v>1870668</v>
      </c>
      <c r="BB57" s="1">
        <v>45765</v>
      </c>
      <c r="BC57">
        <v>38</v>
      </c>
      <c r="BD57">
        <v>1875709</v>
      </c>
      <c r="BF57" s="1">
        <v>45795</v>
      </c>
      <c r="BG57">
        <v>38</v>
      </c>
      <c r="BH57">
        <v>1880740</v>
      </c>
      <c r="BJ57" s="1">
        <v>45826</v>
      </c>
      <c r="BK57">
        <v>38</v>
      </c>
      <c r="BL57">
        <v>1885431</v>
      </c>
      <c r="BN57" s="1">
        <v>45856</v>
      </c>
      <c r="BO57">
        <v>38</v>
      </c>
      <c r="BP57">
        <v>1889975</v>
      </c>
      <c r="BR57" s="1">
        <v>45887</v>
      </c>
      <c r="BS57">
        <v>38</v>
      </c>
      <c r="BT57">
        <v>1894779</v>
      </c>
      <c r="BV57" s="1">
        <v>45918</v>
      </c>
      <c r="BW57">
        <v>38</v>
      </c>
      <c r="BX57">
        <v>1899331</v>
      </c>
      <c r="BZ57" s="1">
        <v>45938</v>
      </c>
      <c r="CA57">
        <v>149.61000000000001</v>
      </c>
      <c r="CB57">
        <v>1902561</v>
      </c>
      <c r="CD57" s="1">
        <v>45948</v>
      </c>
      <c r="CE57">
        <v>38</v>
      </c>
      <c r="CF57">
        <v>1903836</v>
      </c>
      <c r="CH57">
        <v>141380261</v>
      </c>
    </row>
    <row r="58" spans="1:86" x14ac:dyDescent="0.25">
      <c r="A58">
        <v>571896</v>
      </c>
      <c r="B58">
        <v>102</v>
      </c>
      <c r="C58">
        <v>300957</v>
      </c>
      <c r="D58">
        <v>2</v>
      </c>
      <c r="E58">
        <v>2</v>
      </c>
      <c r="F58">
        <v>120440</v>
      </c>
      <c r="G58">
        <v>120440</v>
      </c>
      <c r="H58" t="s">
        <v>90</v>
      </c>
      <c r="N58" t="s">
        <v>379</v>
      </c>
      <c r="O58">
        <v>4004142</v>
      </c>
      <c r="P58" t="s">
        <v>92</v>
      </c>
      <c r="Q58" t="s">
        <v>93</v>
      </c>
      <c r="R58" t="s">
        <v>380</v>
      </c>
      <c r="S58" t="s">
        <v>381</v>
      </c>
      <c r="V58" t="s">
        <v>382</v>
      </c>
      <c r="W58" t="s">
        <v>124</v>
      </c>
      <c r="X58" t="s">
        <v>383</v>
      </c>
      <c r="Y58" t="s">
        <v>99</v>
      </c>
      <c r="AA58" t="s">
        <v>379</v>
      </c>
      <c r="AB58" t="s">
        <v>380</v>
      </c>
      <c r="AC58" t="s">
        <v>381</v>
      </c>
      <c r="AD58" t="s">
        <v>384</v>
      </c>
      <c r="AH58" t="s">
        <v>385</v>
      </c>
      <c r="AI58">
        <v>1065.6099999999999</v>
      </c>
      <c r="AK58">
        <v>0</v>
      </c>
      <c r="AL58" s="1">
        <v>45979</v>
      </c>
      <c r="AM58">
        <v>38</v>
      </c>
      <c r="AN58">
        <v>1908466</v>
      </c>
      <c r="AP58" s="1">
        <v>46009</v>
      </c>
      <c r="AQ58">
        <v>38</v>
      </c>
      <c r="AR58">
        <v>1913399</v>
      </c>
      <c r="CH58">
        <v>141380261</v>
      </c>
    </row>
    <row r="59" spans="1:86" x14ac:dyDescent="0.25">
      <c r="A59">
        <v>571897</v>
      </c>
      <c r="B59">
        <v>102</v>
      </c>
      <c r="C59">
        <v>300958</v>
      </c>
      <c r="D59">
        <v>1</v>
      </c>
      <c r="E59">
        <v>2</v>
      </c>
      <c r="F59">
        <v>130180</v>
      </c>
      <c r="G59">
        <v>130180</v>
      </c>
      <c r="H59" t="s">
        <v>90</v>
      </c>
      <c r="N59" t="s">
        <v>386</v>
      </c>
      <c r="O59">
        <v>4004149</v>
      </c>
      <c r="P59" t="s">
        <v>92</v>
      </c>
      <c r="Q59" t="s">
        <v>93</v>
      </c>
      <c r="R59" t="s">
        <v>387</v>
      </c>
      <c r="S59" t="s">
        <v>388</v>
      </c>
      <c r="V59" t="s">
        <v>389</v>
      </c>
      <c r="W59" t="s">
        <v>390</v>
      </c>
      <c r="X59" t="s">
        <v>391</v>
      </c>
      <c r="Y59" t="s">
        <v>99</v>
      </c>
      <c r="AA59" t="s">
        <v>386</v>
      </c>
      <c r="AB59" t="s">
        <v>387</v>
      </c>
      <c r="AC59" t="s">
        <v>388</v>
      </c>
      <c r="AD59" t="s">
        <v>392</v>
      </c>
      <c r="AH59" t="s">
        <v>393</v>
      </c>
      <c r="AI59">
        <v>1428</v>
      </c>
      <c r="AK59">
        <v>0</v>
      </c>
      <c r="AL59" s="1">
        <v>45665</v>
      </c>
      <c r="AM59">
        <v>114</v>
      </c>
      <c r="AN59">
        <v>1859229</v>
      </c>
      <c r="AP59" s="1">
        <v>45689</v>
      </c>
      <c r="AQ59">
        <v>114</v>
      </c>
      <c r="AR59">
        <v>1863740</v>
      </c>
      <c r="AT59" s="1">
        <v>45717</v>
      </c>
      <c r="AU59">
        <v>114</v>
      </c>
      <c r="AV59">
        <v>1868522</v>
      </c>
      <c r="AX59" s="1">
        <v>45748</v>
      </c>
      <c r="AY59">
        <v>114</v>
      </c>
      <c r="AZ59">
        <v>1873101</v>
      </c>
      <c r="BB59" s="1">
        <v>45778</v>
      </c>
      <c r="BC59">
        <v>114</v>
      </c>
      <c r="BD59">
        <v>1878342</v>
      </c>
      <c r="BF59" s="1">
        <v>45791</v>
      </c>
      <c r="BG59">
        <v>60</v>
      </c>
      <c r="BH59">
        <v>1881834</v>
      </c>
      <c r="BJ59" s="1">
        <v>45809</v>
      </c>
      <c r="BK59">
        <v>114</v>
      </c>
      <c r="BL59">
        <v>1883079</v>
      </c>
      <c r="BN59" s="1">
        <v>45839</v>
      </c>
      <c r="BO59">
        <v>114</v>
      </c>
      <c r="BP59">
        <v>1887613</v>
      </c>
      <c r="BR59" s="1">
        <v>45870</v>
      </c>
      <c r="BS59">
        <v>114</v>
      </c>
      <c r="BT59">
        <v>1892540</v>
      </c>
      <c r="BV59" s="1">
        <v>45901</v>
      </c>
      <c r="BW59">
        <v>114</v>
      </c>
      <c r="BX59">
        <v>1897045</v>
      </c>
      <c r="BZ59" s="1">
        <v>45931</v>
      </c>
      <c r="CA59">
        <v>114</v>
      </c>
      <c r="CB59">
        <v>1901650</v>
      </c>
      <c r="CD59" s="1">
        <v>45962</v>
      </c>
      <c r="CE59">
        <v>114</v>
      </c>
      <c r="CF59">
        <v>1906200</v>
      </c>
      <c r="CH59">
        <v>289061222</v>
      </c>
    </row>
    <row r="60" spans="1:86" x14ac:dyDescent="0.25">
      <c r="A60">
        <v>571898</v>
      </c>
      <c r="B60">
        <v>102</v>
      </c>
      <c r="C60">
        <v>300958</v>
      </c>
      <c r="D60">
        <v>2</v>
      </c>
      <c r="E60">
        <v>2</v>
      </c>
      <c r="F60">
        <v>130180</v>
      </c>
      <c r="G60">
        <v>130180</v>
      </c>
      <c r="H60" t="s">
        <v>90</v>
      </c>
      <c r="N60" t="s">
        <v>386</v>
      </c>
      <c r="O60">
        <v>4004149</v>
      </c>
      <c r="P60" t="s">
        <v>92</v>
      </c>
      <c r="Q60" t="s">
        <v>93</v>
      </c>
      <c r="R60" t="s">
        <v>387</v>
      </c>
      <c r="S60" t="s">
        <v>388</v>
      </c>
      <c r="V60" t="s">
        <v>389</v>
      </c>
      <c r="W60" t="s">
        <v>390</v>
      </c>
      <c r="X60" t="s">
        <v>391</v>
      </c>
      <c r="Y60" t="s">
        <v>99</v>
      </c>
      <c r="AA60" t="s">
        <v>386</v>
      </c>
      <c r="AB60" t="s">
        <v>387</v>
      </c>
      <c r="AC60" t="s">
        <v>388</v>
      </c>
      <c r="AD60" t="s">
        <v>392</v>
      </c>
      <c r="AH60" t="s">
        <v>393</v>
      </c>
      <c r="AI60">
        <v>1428</v>
      </c>
      <c r="AK60">
        <v>0</v>
      </c>
      <c r="AL60" s="1">
        <v>45992</v>
      </c>
      <c r="AM60">
        <v>114</v>
      </c>
      <c r="AN60">
        <v>1910880</v>
      </c>
      <c r="CH60">
        <v>289061222</v>
      </c>
    </row>
    <row r="61" spans="1:86" x14ac:dyDescent="0.25">
      <c r="A61">
        <v>571899</v>
      </c>
      <c r="B61">
        <v>102</v>
      </c>
      <c r="C61">
        <v>300959</v>
      </c>
      <c r="D61">
        <v>1</v>
      </c>
      <c r="E61">
        <v>1</v>
      </c>
      <c r="F61">
        <v>150046</v>
      </c>
      <c r="G61">
        <v>150046</v>
      </c>
      <c r="H61" t="s">
        <v>90</v>
      </c>
      <c r="N61" t="s">
        <v>394</v>
      </c>
      <c r="O61">
        <v>4004150</v>
      </c>
      <c r="P61" t="s">
        <v>92</v>
      </c>
      <c r="Q61" t="s">
        <v>93</v>
      </c>
      <c r="R61" t="s">
        <v>395</v>
      </c>
      <c r="S61" t="s">
        <v>396</v>
      </c>
      <c r="V61" t="s">
        <v>397</v>
      </c>
      <c r="W61" t="s">
        <v>398</v>
      </c>
      <c r="X61" t="s">
        <v>399</v>
      </c>
      <c r="Y61" t="s">
        <v>99</v>
      </c>
      <c r="AA61" t="s">
        <v>400</v>
      </c>
      <c r="AB61" t="s">
        <v>395</v>
      </c>
      <c r="AC61" t="s">
        <v>396</v>
      </c>
      <c r="AD61" t="s">
        <v>401</v>
      </c>
      <c r="AI61">
        <v>633</v>
      </c>
      <c r="AK61">
        <v>0</v>
      </c>
      <c r="AL61" s="1">
        <v>45667</v>
      </c>
      <c r="AM61">
        <v>177</v>
      </c>
      <c r="AN61">
        <v>1861390</v>
      </c>
      <c r="AP61" s="1">
        <v>45761</v>
      </c>
      <c r="AQ61">
        <v>456</v>
      </c>
      <c r="AR61">
        <v>1876306</v>
      </c>
      <c r="CH61">
        <v>535112706</v>
      </c>
    </row>
    <row r="62" spans="1:86" x14ac:dyDescent="0.25">
      <c r="A62">
        <v>571900</v>
      </c>
      <c r="B62">
        <v>102</v>
      </c>
      <c r="C62">
        <v>300960</v>
      </c>
      <c r="D62">
        <v>1</v>
      </c>
      <c r="E62">
        <v>1</v>
      </c>
      <c r="F62">
        <v>150145</v>
      </c>
      <c r="G62">
        <v>150145</v>
      </c>
      <c r="H62" t="s">
        <v>90</v>
      </c>
      <c r="N62" t="s">
        <v>402</v>
      </c>
      <c r="O62">
        <v>4008400</v>
      </c>
      <c r="P62" t="s">
        <v>92</v>
      </c>
      <c r="Q62" t="s">
        <v>93</v>
      </c>
      <c r="R62" t="s">
        <v>403</v>
      </c>
      <c r="S62" t="s">
        <v>404</v>
      </c>
      <c r="V62" t="s">
        <v>405</v>
      </c>
      <c r="W62" t="s">
        <v>406</v>
      </c>
      <c r="X62" t="s">
        <v>407</v>
      </c>
      <c r="Y62" t="s">
        <v>99</v>
      </c>
      <c r="AA62" t="s">
        <v>402</v>
      </c>
      <c r="AB62" t="s">
        <v>403</v>
      </c>
      <c r="AC62" t="s">
        <v>404</v>
      </c>
      <c r="AD62" t="s">
        <v>408</v>
      </c>
      <c r="AH62" t="s">
        <v>409</v>
      </c>
      <c r="AI62">
        <v>456</v>
      </c>
      <c r="AK62">
        <v>0</v>
      </c>
      <c r="AL62" s="1">
        <v>45887</v>
      </c>
      <c r="AM62">
        <v>456</v>
      </c>
      <c r="AN62">
        <v>1894963</v>
      </c>
      <c r="CH62">
        <v>550303178</v>
      </c>
    </row>
    <row r="63" spans="1:86" x14ac:dyDescent="0.25">
      <c r="A63">
        <v>571901</v>
      </c>
      <c r="B63">
        <v>102</v>
      </c>
      <c r="C63">
        <v>300961</v>
      </c>
      <c r="D63">
        <v>1</v>
      </c>
      <c r="E63">
        <v>1</v>
      </c>
      <c r="F63">
        <v>150211</v>
      </c>
      <c r="G63">
        <v>150211</v>
      </c>
      <c r="H63" t="s">
        <v>90</v>
      </c>
      <c r="N63" t="s">
        <v>410</v>
      </c>
      <c r="O63">
        <v>4004153</v>
      </c>
      <c r="P63" t="s">
        <v>92</v>
      </c>
      <c r="Q63" t="s">
        <v>93</v>
      </c>
      <c r="R63" t="s">
        <v>411</v>
      </c>
      <c r="S63" t="s">
        <v>412</v>
      </c>
      <c r="V63" t="s">
        <v>413</v>
      </c>
      <c r="W63" t="s">
        <v>398</v>
      </c>
      <c r="X63" t="s">
        <v>414</v>
      </c>
      <c r="Y63" t="s">
        <v>99</v>
      </c>
      <c r="AA63" t="s">
        <v>410</v>
      </c>
      <c r="AB63" t="s">
        <v>411</v>
      </c>
      <c r="AC63" t="s">
        <v>412</v>
      </c>
      <c r="AD63" t="s">
        <v>415</v>
      </c>
      <c r="AI63">
        <v>456</v>
      </c>
      <c r="AK63">
        <v>0</v>
      </c>
      <c r="AL63" s="1">
        <v>45817</v>
      </c>
      <c r="AM63">
        <v>228</v>
      </c>
      <c r="AN63">
        <v>1885143</v>
      </c>
      <c r="AP63" s="1">
        <v>46014</v>
      </c>
      <c r="AQ63">
        <v>228</v>
      </c>
      <c r="AR63">
        <v>1916339</v>
      </c>
      <c r="CH63">
        <v>538091244</v>
      </c>
    </row>
    <row r="64" spans="1:86" x14ac:dyDescent="0.25">
      <c r="A64">
        <v>571902</v>
      </c>
      <c r="B64">
        <v>102</v>
      </c>
      <c r="C64">
        <v>300962</v>
      </c>
      <c r="D64">
        <v>1</v>
      </c>
      <c r="E64">
        <v>2</v>
      </c>
      <c r="F64">
        <v>150330</v>
      </c>
      <c r="G64">
        <v>150330</v>
      </c>
      <c r="H64" t="s">
        <v>90</v>
      </c>
      <c r="N64" t="s">
        <v>416</v>
      </c>
      <c r="O64">
        <v>4005091</v>
      </c>
      <c r="P64" t="s">
        <v>92</v>
      </c>
      <c r="Q64" t="s">
        <v>93</v>
      </c>
      <c r="R64" t="s">
        <v>417</v>
      </c>
      <c r="S64" t="s">
        <v>418</v>
      </c>
      <c r="V64" t="s">
        <v>419</v>
      </c>
      <c r="W64" t="s">
        <v>398</v>
      </c>
      <c r="X64" t="s">
        <v>420</v>
      </c>
      <c r="Y64" t="s">
        <v>99</v>
      </c>
      <c r="AA64" t="s">
        <v>416</v>
      </c>
      <c r="AB64" t="s">
        <v>417</v>
      </c>
      <c r="AC64" t="s">
        <v>418</v>
      </c>
      <c r="AD64" t="s">
        <v>421</v>
      </c>
      <c r="AH64" t="s">
        <v>422</v>
      </c>
      <c r="AI64">
        <v>2644</v>
      </c>
      <c r="AK64">
        <v>0</v>
      </c>
      <c r="AL64" s="1">
        <v>45675</v>
      </c>
      <c r="AM64">
        <v>152</v>
      </c>
      <c r="AN64">
        <v>1861073</v>
      </c>
      <c r="AP64" s="1">
        <v>45706</v>
      </c>
      <c r="AQ64">
        <v>152</v>
      </c>
      <c r="AR64">
        <v>1865962</v>
      </c>
      <c r="AT64" s="1">
        <v>45734</v>
      </c>
      <c r="AU64">
        <v>152</v>
      </c>
      <c r="AV64">
        <v>1870671</v>
      </c>
      <c r="AX64" s="1">
        <v>45765</v>
      </c>
      <c r="AY64">
        <v>152</v>
      </c>
      <c r="AZ64">
        <v>1875711</v>
      </c>
      <c r="BB64" s="1">
        <v>45789</v>
      </c>
      <c r="BC64">
        <v>0</v>
      </c>
      <c r="BD64">
        <v>1880637</v>
      </c>
      <c r="BE64">
        <v>0</v>
      </c>
      <c r="BF64" s="1">
        <v>45795</v>
      </c>
      <c r="BG64">
        <v>152</v>
      </c>
      <c r="BH64">
        <v>1880746</v>
      </c>
      <c r="BJ64" s="1">
        <v>45797</v>
      </c>
      <c r="BK64">
        <v>1010</v>
      </c>
      <c r="BL64">
        <v>1881159</v>
      </c>
      <c r="BN64" s="1">
        <v>45826</v>
      </c>
      <c r="BO64">
        <v>152</v>
      </c>
      <c r="BP64">
        <v>1885443</v>
      </c>
      <c r="BR64" s="1">
        <v>45856</v>
      </c>
      <c r="BS64">
        <v>152</v>
      </c>
      <c r="BT64">
        <v>1889979</v>
      </c>
      <c r="BV64" s="1">
        <v>45887</v>
      </c>
      <c r="BW64">
        <v>114</v>
      </c>
      <c r="BX64">
        <v>1894782</v>
      </c>
      <c r="BZ64" s="1">
        <v>45918</v>
      </c>
      <c r="CA64">
        <v>114</v>
      </c>
      <c r="CB64">
        <v>1899339</v>
      </c>
      <c r="CD64" s="1">
        <v>45948</v>
      </c>
      <c r="CE64">
        <v>114</v>
      </c>
      <c r="CF64">
        <v>1903850</v>
      </c>
      <c r="CH64">
        <v>538139311</v>
      </c>
    </row>
    <row r="65" spans="1:86" x14ac:dyDescent="0.25">
      <c r="A65">
        <v>571903</v>
      </c>
      <c r="B65">
        <v>102</v>
      </c>
      <c r="C65">
        <v>300962</v>
      </c>
      <c r="D65">
        <v>2</v>
      </c>
      <c r="E65">
        <v>2</v>
      </c>
      <c r="F65">
        <v>150330</v>
      </c>
      <c r="G65">
        <v>150330</v>
      </c>
      <c r="H65" t="s">
        <v>90</v>
      </c>
      <c r="N65" t="s">
        <v>416</v>
      </c>
      <c r="O65">
        <v>4005091</v>
      </c>
      <c r="P65" t="s">
        <v>92</v>
      </c>
      <c r="Q65" t="s">
        <v>93</v>
      </c>
      <c r="R65" t="s">
        <v>417</v>
      </c>
      <c r="S65" t="s">
        <v>418</v>
      </c>
      <c r="V65" t="s">
        <v>419</v>
      </c>
      <c r="W65" t="s">
        <v>398</v>
      </c>
      <c r="X65" t="s">
        <v>420</v>
      </c>
      <c r="Y65" t="s">
        <v>99</v>
      </c>
      <c r="AA65" t="s">
        <v>416</v>
      </c>
      <c r="AB65" t="s">
        <v>417</v>
      </c>
      <c r="AC65" t="s">
        <v>418</v>
      </c>
      <c r="AD65" t="s">
        <v>421</v>
      </c>
      <c r="AH65" t="s">
        <v>422</v>
      </c>
      <c r="AI65">
        <v>2644</v>
      </c>
      <c r="AK65">
        <v>0</v>
      </c>
      <c r="AL65" s="1">
        <v>45979</v>
      </c>
      <c r="AM65">
        <v>114</v>
      </c>
      <c r="AN65">
        <v>1908471</v>
      </c>
      <c r="AP65" s="1">
        <v>46009</v>
      </c>
      <c r="AQ65">
        <v>114</v>
      </c>
      <c r="AR65">
        <v>1913404</v>
      </c>
      <c r="CH65">
        <v>538139311</v>
      </c>
    </row>
    <row r="66" spans="1:86" x14ac:dyDescent="0.25">
      <c r="A66">
        <v>571904</v>
      </c>
      <c r="B66">
        <v>102</v>
      </c>
      <c r="C66">
        <v>300963</v>
      </c>
      <c r="D66">
        <v>1</v>
      </c>
      <c r="E66">
        <v>1</v>
      </c>
      <c r="F66">
        <v>150352</v>
      </c>
      <c r="G66">
        <v>150352</v>
      </c>
      <c r="H66" t="s">
        <v>90</v>
      </c>
      <c r="N66" t="s">
        <v>423</v>
      </c>
      <c r="O66">
        <v>4006002</v>
      </c>
      <c r="P66" t="s">
        <v>92</v>
      </c>
      <c r="Q66" t="s">
        <v>93</v>
      </c>
      <c r="R66" t="s">
        <v>424</v>
      </c>
      <c r="S66" t="s">
        <v>425</v>
      </c>
      <c r="V66" t="s">
        <v>426</v>
      </c>
      <c r="W66" t="s">
        <v>398</v>
      </c>
      <c r="X66" t="s">
        <v>427</v>
      </c>
      <c r="Y66" t="s">
        <v>99</v>
      </c>
      <c r="AA66" t="s">
        <v>423</v>
      </c>
      <c r="AB66" t="s">
        <v>424</v>
      </c>
      <c r="AC66" t="s">
        <v>425</v>
      </c>
      <c r="AD66" t="s">
        <v>428</v>
      </c>
      <c r="AI66">
        <v>912</v>
      </c>
      <c r="AK66">
        <v>0</v>
      </c>
      <c r="AL66" s="1">
        <v>45685</v>
      </c>
      <c r="AM66">
        <v>76</v>
      </c>
      <c r="AN66">
        <v>1862874</v>
      </c>
      <c r="AP66" s="1">
        <v>45716</v>
      </c>
      <c r="AQ66">
        <v>76</v>
      </c>
      <c r="AR66">
        <v>1867720</v>
      </c>
      <c r="AT66" s="1">
        <v>45744</v>
      </c>
      <c r="AU66">
        <v>76</v>
      </c>
      <c r="AV66">
        <v>1872257</v>
      </c>
      <c r="AX66" s="1">
        <v>45775</v>
      </c>
      <c r="AY66">
        <v>76</v>
      </c>
      <c r="AZ66">
        <v>1877438</v>
      </c>
      <c r="BB66" s="1">
        <v>45805</v>
      </c>
      <c r="BC66">
        <v>76</v>
      </c>
      <c r="BD66">
        <v>1882028</v>
      </c>
      <c r="BF66" s="1">
        <v>45836</v>
      </c>
      <c r="BG66">
        <v>76</v>
      </c>
      <c r="BH66">
        <v>1886839</v>
      </c>
      <c r="BJ66" s="1">
        <v>45866</v>
      </c>
      <c r="BK66">
        <v>76</v>
      </c>
      <c r="BL66">
        <v>1891581</v>
      </c>
      <c r="BN66" s="1">
        <v>45897</v>
      </c>
      <c r="BO66">
        <v>76</v>
      </c>
      <c r="BP66">
        <v>1896065</v>
      </c>
      <c r="BR66" s="1">
        <v>45928</v>
      </c>
      <c r="BS66">
        <v>76</v>
      </c>
      <c r="BT66">
        <v>1900797</v>
      </c>
      <c r="BV66" s="1">
        <v>45958</v>
      </c>
      <c r="BW66">
        <v>76</v>
      </c>
      <c r="BX66">
        <v>1905402</v>
      </c>
      <c r="BZ66" s="1">
        <v>45989</v>
      </c>
      <c r="CA66">
        <v>76</v>
      </c>
      <c r="CB66">
        <v>1909922</v>
      </c>
      <c r="CD66" s="1">
        <v>46019</v>
      </c>
      <c r="CE66">
        <v>76</v>
      </c>
      <c r="CF66">
        <v>1914740</v>
      </c>
      <c r="CH66">
        <v>535812525</v>
      </c>
    </row>
    <row r="67" spans="1:86" x14ac:dyDescent="0.25">
      <c r="A67">
        <v>571905</v>
      </c>
      <c r="B67">
        <v>102</v>
      </c>
      <c r="C67">
        <v>300964</v>
      </c>
      <c r="D67">
        <v>1</v>
      </c>
      <c r="E67">
        <v>1</v>
      </c>
      <c r="F67">
        <v>150430</v>
      </c>
      <c r="G67">
        <v>150430</v>
      </c>
      <c r="H67" t="s">
        <v>90</v>
      </c>
      <c r="N67" t="s">
        <v>429</v>
      </c>
      <c r="O67">
        <v>4004158</v>
      </c>
      <c r="P67" t="s">
        <v>92</v>
      </c>
      <c r="Q67" t="s">
        <v>93</v>
      </c>
      <c r="R67" t="s">
        <v>430</v>
      </c>
      <c r="S67" t="s">
        <v>431</v>
      </c>
      <c r="V67" t="s">
        <v>432</v>
      </c>
      <c r="W67" t="s">
        <v>153</v>
      </c>
      <c r="X67" t="s">
        <v>433</v>
      </c>
      <c r="Y67" t="s">
        <v>99</v>
      </c>
      <c r="AA67" t="s">
        <v>429</v>
      </c>
      <c r="AB67" t="s">
        <v>430</v>
      </c>
      <c r="AC67" t="s">
        <v>431</v>
      </c>
      <c r="AD67" t="s">
        <v>434</v>
      </c>
      <c r="AH67" t="s">
        <v>435</v>
      </c>
      <c r="AI67">
        <v>1140</v>
      </c>
      <c r="AK67">
        <v>0</v>
      </c>
      <c r="AL67" s="1">
        <v>45691</v>
      </c>
      <c r="AM67">
        <v>114</v>
      </c>
      <c r="AN67">
        <v>1864237</v>
      </c>
      <c r="AP67" s="1">
        <v>45749</v>
      </c>
      <c r="AQ67">
        <v>114</v>
      </c>
      <c r="AR67">
        <v>1873760</v>
      </c>
      <c r="AT67" s="1">
        <v>45804</v>
      </c>
      <c r="AU67">
        <v>114</v>
      </c>
      <c r="AV67">
        <v>1883317</v>
      </c>
      <c r="AX67" s="1">
        <v>45854</v>
      </c>
      <c r="AY67">
        <v>114</v>
      </c>
      <c r="AZ67">
        <v>1890655</v>
      </c>
      <c r="BB67" s="1">
        <v>45902</v>
      </c>
      <c r="BC67">
        <v>228</v>
      </c>
      <c r="BD67">
        <v>1897538</v>
      </c>
      <c r="BF67" s="1">
        <v>45951</v>
      </c>
      <c r="BG67">
        <v>228</v>
      </c>
      <c r="BH67">
        <v>1905249</v>
      </c>
      <c r="BJ67" s="1">
        <v>46010</v>
      </c>
      <c r="BK67">
        <v>228</v>
      </c>
      <c r="BL67">
        <v>1916061</v>
      </c>
      <c r="CH67">
        <v>600871516</v>
      </c>
    </row>
    <row r="68" spans="1:86" x14ac:dyDescent="0.25">
      <c r="A68">
        <v>571906</v>
      </c>
      <c r="B68">
        <v>102</v>
      </c>
      <c r="C68">
        <v>300965</v>
      </c>
      <c r="D68">
        <v>1</v>
      </c>
      <c r="E68">
        <v>1</v>
      </c>
      <c r="F68">
        <v>150441</v>
      </c>
      <c r="G68">
        <v>150441</v>
      </c>
      <c r="H68" t="s">
        <v>90</v>
      </c>
      <c r="N68" t="s">
        <v>436</v>
      </c>
      <c r="O68">
        <v>150441</v>
      </c>
      <c r="P68" t="s">
        <v>92</v>
      </c>
      <c r="Q68" t="s">
        <v>93</v>
      </c>
      <c r="R68" t="s">
        <v>437</v>
      </c>
      <c r="V68" t="s">
        <v>438</v>
      </c>
      <c r="W68" t="s">
        <v>153</v>
      </c>
      <c r="X68" t="s">
        <v>439</v>
      </c>
      <c r="Y68" t="s">
        <v>99</v>
      </c>
      <c r="AA68" t="s">
        <v>436</v>
      </c>
      <c r="AB68" t="s">
        <v>437</v>
      </c>
      <c r="AC68" t="s">
        <v>440</v>
      </c>
      <c r="AH68" t="s">
        <v>441</v>
      </c>
      <c r="AI68">
        <v>912</v>
      </c>
      <c r="AK68">
        <v>0</v>
      </c>
      <c r="AL68" s="1">
        <v>45662</v>
      </c>
      <c r="AM68">
        <v>76</v>
      </c>
      <c r="AN68">
        <v>1858960</v>
      </c>
      <c r="AP68" s="1">
        <v>45693</v>
      </c>
      <c r="AQ68">
        <v>76</v>
      </c>
      <c r="AR68">
        <v>1864398</v>
      </c>
      <c r="AT68" s="1">
        <v>45721</v>
      </c>
      <c r="AU68">
        <v>76</v>
      </c>
      <c r="AV68">
        <v>1868925</v>
      </c>
      <c r="AX68" s="1">
        <v>45752</v>
      </c>
      <c r="AY68">
        <v>76</v>
      </c>
      <c r="AZ68">
        <v>1873958</v>
      </c>
      <c r="BB68" s="1">
        <v>45782</v>
      </c>
      <c r="BC68">
        <v>76</v>
      </c>
      <c r="BD68">
        <v>1878925</v>
      </c>
      <c r="BF68" s="1">
        <v>45813</v>
      </c>
      <c r="BG68">
        <v>76</v>
      </c>
      <c r="BH68">
        <v>1883668</v>
      </c>
      <c r="BJ68" s="1">
        <v>45843</v>
      </c>
      <c r="BK68">
        <v>76</v>
      </c>
      <c r="BL68">
        <v>1888237</v>
      </c>
      <c r="BN68" s="1">
        <v>45874</v>
      </c>
      <c r="BO68">
        <v>76</v>
      </c>
      <c r="BP68">
        <v>1892950</v>
      </c>
      <c r="BR68" s="1">
        <v>45905</v>
      </c>
      <c r="BS68">
        <v>76</v>
      </c>
      <c r="BT68">
        <v>1897688</v>
      </c>
      <c r="BV68" s="1">
        <v>45935</v>
      </c>
      <c r="BW68">
        <v>76</v>
      </c>
      <c r="BX68">
        <v>1902241</v>
      </c>
      <c r="BZ68" s="1">
        <v>45966</v>
      </c>
      <c r="CA68">
        <v>76</v>
      </c>
      <c r="CB68">
        <v>1906960</v>
      </c>
      <c r="CD68" s="1">
        <v>45996</v>
      </c>
      <c r="CE68">
        <v>76</v>
      </c>
      <c r="CF68">
        <v>1911424</v>
      </c>
      <c r="CH68">
        <v>600982953</v>
      </c>
    </row>
    <row r="69" spans="1:86" x14ac:dyDescent="0.25">
      <c r="A69">
        <v>571907</v>
      </c>
      <c r="B69">
        <v>102</v>
      </c>
      <c r="C69">
        <v>300966</v>
      </c>
      <c r="D69">
        <v>1</v>
      </c>
      <c r="E69">
        <v>1</v>
      </c>
      <c r="F69">
        <v>150755</v>
      </c>
      <c r="G69">
        <v>150755</v>
      </c>
      <c r="H69" t="s">
        <v>90</v>
      </c>
      <c r="N69" t="s">
        <v>442</v>
      </c>
      <c r="O69">
        <v>150755</v>
      </c>
      <c r="P69" t="s">
        <v>92</v>
      </c>
      <c r="Q69" t="s">
        <v>93</v>
      </c>
      <c r="R69" t="s">
        <v>443</v>
      </c>
      <c r="V69" t="s">
        <v>444</v>
      </c>
      <c r="W69" t="s">
        <v>406</v>
      </c>
      <c r="X69" t="s">
        <v>445</v>
      </c>
      <c r="Y69" t="s">
        <v>99</v>
      </c>
      <c r="AA69" t="s">
        <v>442</v>
      </c>
      <c r="AB69" t="s">
        <v>443</v>
      </c>
      <c r="AC69" t="s">
        <v>446</v>
      </c>
      <c r="AI69">
        <v>2736</v>
      </c>
      <c r="AK69">
        <v>0</v>
      </c>
      <c r="AL69" s="1">
        <v>45679</v>
      </c>
      <c r="AM69">
        <v>1292</v>
      </c>
      <c r="AN69">
        <v>1862097</v>
      </c>
      <c r="AP69" s="1">
        <v>45845</v>
      </c>
      <c r="AQ69">
        <v>1292</v>
      </c>
      <c r="AR69">
        <v>1888955</v>
      </c>
      <c r="AT69" s="1">
        <v>45873</v>
      </c>
      <c r="AU69">
        <v>76</v>
      </c>
      <c r="AV69">
        <v>1893224</v>
      </c>
      <c r="AX69" s="1">
        <v>45894</v>
      </c>
      <c r="AY69">
        <v>76</v>
      </c>
      <c r="AZ69">
        <v>1896284</v>
      </c>
      <c r="CH69">
        <v>564660287</v>
      </c>
    </row>
    <row r="70" spans="1:86" x14ac:dyDescent="0.25">
      <c r="A70">
        <v>571908</v>
      </c>
      <c r="B70">
        <v>102</v>
      </c>
      <c r="C70">
        <v>300967</v>
      </c>
      <c r="D70">
        <v>1</v>
      </c>
      <c r="E70">
        <v>1</v>
      </c>
      <c r="F70">
        <v>160110</v>
      </c>
      <c r="G70">
        <v>160110</v>
      </c>
      <c r="H70" t="s">
        <v>90</v>
      </c>
      <c r="N70" t="s">
        <v>447</v>
      </c>
      <c r="O70">
        <v>4004159</v>
      </c>
      <c r="P70" t="s">
        <v>92</v>
      </c>
      <c r="Q70" t="s">
        <v>93</v>
      </c>
      <c r="R70" t="s">
        <v>448</v>
      </c>
      <c r="S70" t="s">
        <v>449</v>
      </c>
      <c r="V70" t="s">
        <v>450</v>
      </c>
      <c r="W70" t="s">
        <v>451</v>
      </c>
      <c r="X70" t="s">
        <v>452</v>
      </c>
      <c r="Y70" t="s">
        <v>99</v>
      </c>
      <c r="AA70" t="s">
        <v>447</v>
      </c>
      <c r="AB70" t="s">
        <v>448</v>
      </c>
      <c r="AC70" t="s">
        <v>449</v>
      </c>
      <c r="AD70" t="s">
        <v>453</v>
      </c>
      <c r="AH70" t="s">
        <v>454</v>
      </c>
      <c r="AI70">
        <v>1368</v>
      </c>
      <c r="AK70">
        <v>0</v>
      </c>
      <c r="AL70" s="1">
        <v>45672</v>
      </c>
      <c r="AM70">
        <v>114</v>
      </c>
      <c r="AN70">
        <v>1860415</v>
      </c>
      <c r="AP70" s="1">
        <v>45703</v>
      </c>
      <c r="AQ70">
        <v>114</v>
      </c>
      <c r="AR70">
        <v>1865507</v>
      </c>
      <c r="AT70" s="1">
        <v>45731</v>
      </c>
      <c r="AU70">
        <v>114</v>
      </c>
      <c r="AV70">
        <v>1870321</v>
      </c>
      <c r="AX70" s="1">
        <v>45762</v>
      </c>
      <c r="AY70">
        <v>114</v>
      </c>
      <c r="AZ70">
        <v>1875109</v>
      </c>
      <c r="BB70" s="1">
        <v>45792</v>
      </c>
      <c r="BC70">
        <v>114</v>
      </c>
      <c r="BD70">
        <v>1880220</v>
      </c>
      <c r="BF70" s="1">
        <v>45823</v>
      </c>
      <c r="BG70">
        <v>114</v>
      </c>
      <c r="BH70">
        <v>1884883</v>
      </c>
      <c r="BJ70" s="1">
        <v>45853</v>
      </c>
      <c r="BK70">
        <v>114</v>
      </c>
      <c r="BL70">
        <v>1889620</v>
      </c>
      <c r="BN70" s="1">
        <v>45884</v>
      </c>
      <c r="BO70">
        <v>114</v>
      </c>
      <c r="BP70">
        <v>1894425</v>
      </c>
      <c r="BR70" s="1">
        <v>45915</v>
      </c>
      <c r="BS70">
        <v>114</v>
      </c>
      <c r="BT70">
        <v>1898871</v>
      </c>
      <c r="BV70" s="1">
        <v>45945</v>
      </c>
      <c r="BW70">
        <v>114</v>
      </c>
      <c r="BX70">
        <v>1903470</v>
      </c>
      <c r="BZ70" s="1">
        <v>45976</v>
      </c>
      <c r="CA70">
        <v>114</v>
      </c>
      <c r="CB70">
        <v>1908082</v>
      </c>
      <c r="CD70" s="1">
        <v>46006</v>
      </c>
      <c r="CE70">
        <v>114</v>
      </c>
      <c r="CF70">
        <v>1912843</v>
      </c>
      <c r="CH70">
        <v>503222455</v>
      </c>
    </row>
    <row r="71" spans="1:86" x14ac:dyDescent="0.25">
      <c r="A71">
        <v>571909</v>
      </c>
      <c r="B71">
        <v>102</v>
      </c>
      <c r="C71">
        <v>300968</v>
      </c>
      <c r="D71">
        <v>1</v>
      </c>
      <c r="E71">
        <v>1</v>
      </c>
      <c r="F71">
        <v>160141</v>
      </c>
      <c r="G71">
        <v>160141</v>
      </c>
      <c r="H71" t="s">
        <v>90</v>
      </c>
      <c r="N71" t="s">
        <v>455</v>
      </c>
      <c r="O71">
        <v>4006015</v>
      </c>
      <c r="P71" t="s">
        <v>92</v>
      </c>
      <c r="Q71" t="s">
        <v>93</v>
      </c>
      <c r="R71" t="s">
        <v>456</v>
      </c>
      <c r="S71" t="s">
        <v>457</v>
      </c>
      <c r="V71" t="s">
        <v>458</v>
      </c>
      <c r="W71" t="s">
        <v>451</v>
      </c>
      <c r="X71" t="s">
        <v>459</v>
      </c>
      <c r="Y71" t="s">
        <v>99</v>
      </c>
      <c r="AA71" t="s">
        <v>455</v>
      </c>
      <c r="AB71" t="s">
        <v>456</v>
      </c>
      <c r="AC71" t="s">
        <v>457</v>
      </c>
      <c r="AD71" t="s">
        <v>460</v>
      </c>
      <c r="AH71" t="s">
        <v>461</v>
      </c>
      <c r="AI71">
        <v>600</v>
      </c>
      <c r="AK71">
        <v>0</v>
      </c>
      <c r="AL71" s="1">
        <v>45777</v>
      </c>
      <c r="AM71">
        <v>456</v>
      </c>
      <c r="AN71">
        <v>1877758</v>
      </c>
      <c r="AP71" s="1">
        <v>45787</v>
      </c>
      <c r="AQ71">
        <v>144</v>
      </c>
      <c r="AR71">
        <v>1879532</v>
      </c>
      <c r="CH71">
        <v>525563346</v>
      </c>
    </row>
    <row r="72" spans="1:86" x14ac:dyDescent="0.25">
      <c r="A72">
        <v>571910</v>
      </c>
      <c r="B72">
        <v>102</v>
      </c>
      <c r="C72">
        <v>300969</v>
      </c>
      <c r="D72">
        <v>1</v>
      </c>
      <c r="E72">
        <v>1</v>
      </c>
      <c r="F72">
        <v>180186</v>
      </c>
      <c r="G72">
        <v>180186</v>
      </c>
      <c r="H72" t="s">
        <v>90</v>
      </c>
      <c r="N72" t="s">
        <v>462</v>
      </c>
      <c r="O72">
        <v>4004162</v>
      </c>
      <c r="P72" t="s">
        <v>92</v>
      </c>
      <c r="Q72" t="s">
        <v>93</v>
      </c>
      <c r="R72" t="s">
        <v>463</v>
      </c>
      <c r="S72" t="s">
        <v>464</v>
      </c>
      <c r="V72" t="s">
        <v>465</v>
      </c>
      <c r="W72" t="s">
        <v>466</v>
      </c>
      <c r="X72" t="s">
        <v>467</v>
      </c>
      <c r="Y72" t="s">
        <v>99</v>
      </c>
      <c r="AA72" t="s">
        <v>462</v>
      </c>
      <c r="AB72" t="s">
        <v>463</v>
      </c>
      <c r="AC72" t="s">
        <v>464</v>
      </c>
      <c r="AD72" t="s">
        <v>468</v>
      </c>
      <c r="AI72">
        <v>532</v>
      </c>
      <c r="AK72">
        <v>0</v>
      </c>
      <c r="AL72" s="1">
        <v>45987</v>
      </c>
      <c r="AM72">
        <v>532</v>
      </c>
      <c r="AN72">
        <v>1911553</v>
      </c>
      <c r="CH72">
        <v>665024361</v>
      </c>
    </row>
    <row r="73" spans="1:86" x14ac:dyDescent="0.25">
      <c r="A73">
        <v>571911</v>
      </c>
      <c r="B73">
        <v>102</v>
      </c>
      <c r="C73">
        <v>300970</v>
      </c>
      <c r="D73">
        <v>1</v>
      </c>
      <c r="E73">
        <v>1</v>
      </c>
      <c r="F73">
        <v>180197</v>
      </c>
      <c r="G73">
        <v>180197</v>
      </c>
      <c r="H73" t="s">
        <v>90</v>
      </c>
      <c r="N73" t="s">
        <v>469</v>
      </c>
      <c r="O73">
        <v>4009898</v>
      </c>
      <c r="P73" t="s">
        <v>92</v>
      </c>
      <c r="Q73" t="s">
        <v>93</v>
      </c>
      <c r="R73" t="s">
        <v>470</v>
      </c>
      <c r="S73" t="s">
        <v>471</v>
      </c>
      <c r="V73" t="s">
        <v>472</v>
      </c>
      <c r="W73" t="s">
        <v>466</v>
      </c>
      <c r="X73" t="s">
        <v>473</v>
      </c>
      <c r="Y73" t="s">
        <v>99</v>
      </c>
      <c r="AA73" t="s">
        <v>469</v>
      </c>
      <c r="AB73" t="s">
        <v>470</v>
      </c>
      <c r="AC73" t="s">
        <v>471</v>
      </c>
      <c r="AD73" t="s">
        <v>474</v>
      </c>
      <c r="AI73">
        <v>1012</v>
      </c>
      <c r="AK73">
        <v>0</v>
      </c>
      <c r="AL73" s="1">
        <v>45679</v>
      </c>
      <c r="AM73">
        <v>50</v>
      </c>
      <c r="AN73">
        <v>1862139</v>
      </c>
      <c r="AP73" s="1">
        <v>45749</v>
      </c>
      <c r="AQ73">
        <v>228</v>
      </c>
      <c r="AR73">
        <v>1873701</v>
      </c>
      <c r="AT73" s="1">
        <v>45841</v>
      </c>
      <c r="AU73">
        <v>228</v>
      </c>
      <c r="AV73">
        <v>1888782</v>
      </c>
      <c r="AX73" s="1">
        <v>45951</v>
      </c>
      <c r="AY73">
        <v>228</v>
      </c>
      <c r="AZ73">
        <v>1905232</v>
      </c>
      <c r="BB73" s="1">
        <v>45993</v>
      </c>
      <c r="BC73">
        <v>228</v>
      </c>
      <c r="BD73">
        <v>1911772</v>
      </c>
      <c r="BF73" s="1">
        <v>46010</v>
      </c>
      <c r="BG73">
        <v>50</v>
      </c>
      <c r="BH73">
        <v>1916167</v>
      </c>
      <c r="CH73">
        <v>674602723</v>
      </c>
    </row>
    <row r="74" spans="1:86" x14ac:dyDescent="0.25">
      <c r="A74">
        <v>571912</v>
      </c>
      <c r="B74">
        <v>102</v>
      </c>
      <c r="C74">
        <v>300971</v>
      </c>
      <c r="D74">
        <v>1</v>
      </c>
      <c r="E74">
        <v>1</v>
      </c>
      <c r="F74">
        <v>180211</v>
      </c>
      <c r="G74">
        <v>180211</v>
      </c>
      <c r="H74" t="s">
        <v>90</v>
      </c>
      <c r="N74" t="s">
        <v>475</v>
      </c>
      <c r="O74">
        <v>180211</v>
      </c>
      <c r="P74" t="s">
        <v>92</v>
      </c>
      <c r="Q74" t="s">
        <v>93</v>
      </c>
      <c r="R74" t="s">
        <v>476</v>
      </c>
      <c r="V74" t="s">
        <v>477</v>
      </c>
      <c r="W74" t="s">
        <v>466</v>
      </c>
      <c r="X74" t="s">
        <v>478</v>
      </c>
      <c r="Y74" t="s">
        <v>99</v>
      </c>
      <c r="AA74" t="s">
        <v>475</v>
      </c>
      <c r="AB74" t="s">
        <v>476</v>
      </c>
      <c r="AC74" t="s">
        <v>479</v>
      </c>
      <c r="AH74" t="s">
        <v>480</v>
      </c>
      <c r="AI74">
        <v>418</v>
      </c>
      <c r="AK74">
        <v>0</v>
      </c>
      <c r="AL74" s="1">
        <v>45679</v>
      </c>
      <c r="AM74">
        <v>38</v>
      </c>
      <c r="AN74">
        <v>1862137</v>
      </c>
      <c r="AP74" s="1">
        <v>45709</v>
      </c>
      <c r="AQ74">
        <v>38</v>
      </c>
      <c r="AR74">
        <v>1867239</v>
      </c>
      <c r="AT74" s="1">
        <v>45744</v>
      </c>
      <c r="AU74">
        <v>38</v>
      </c>
      <c r="AV74">
        <v>1873314</v>
      </c>
      <c r="AX74" s="1">
        <v>45775</v>
      </c>
      <c r="AY74">
        <v>38</v>
      </c>
      <c r="AZ74">
        <v>1878587</v>
      </c>
      <c r="BB74" s="1">
        <v>45833</v>
      </c>
      <c r="BC74">
        <v>38</v>
      </c>
      <c r="BD74">
        <v>1887811</v>
      </c>
      <c r="BF74" s="1">
        <v>45873</v>
      </c>
      <c r="BG74">
        <v>38</v>
      </c>
      <c r="BH74">
        <v>1893215</v>
      </c>
      <c r="BJ74" s="1">
        <v>45894</v>
      </c>
      <c r="BK74">
        <v>38</v>
      </c>
      <c r="BL74">
        <v>1896276</v>
      </c>
      <c r="BN74" s="1">
        <v>45923</v>
      </c>
      <c r="BO74">
        <v>38</v>
      </c>
      <c r="BP74">
        <v>1900389</v>
      </c>
      <c r="BR74" s="1">
        <v>45951</v>
      </c>
      <c r="BS74">
        <v>38</v>
      </c>
      <c r="BT74">
        <v>1905111</v>
      </c>
      <c r="BV74" s="1">
        <v>45979</v>
      </c>
      <c r="BW74">
        <v>38</v>
      </c>
      <c r="BX74">
        <v>1910188</v>
      </c>
      <c r="BZ74" s="1">
        <v>46017</v>
      </c>
      <c r="CA74">
        <v>38</v>
      </c>
      <c r="CB74">
        <v>1916426</v>
      </c>
      <c r="CH74">
        <v>671149209</v>
      </c>
    </row>
    <row r="75" spans="1:86" x14ac:dyDescent="0.25">
      <c r="A75">
        <v>571913</v>
      </c>
      <c r="B75">
        <v>102</v>
      </c>
      <c r="C75">
        <v>300972</v>
      </c>
      <c r="D75">
        <v>1</v>
      </c>
      <c r="E75">
        <v>1</v>
      </c>
      <c r="F75">
        <v>180333</v>
      </c>
      <c r="G75">
        <v>180333</v>
      </c>
      <c r="H75" t="s">
        <v>90</v>
      </c>
      <c r="N75" t="s">
        <v>481</v>
      </c>
      <c r="O75">
        <v>4004166</v>
      </c>
      <c r="P75" t="s">
        <v>92</v>
      </c>
      <c r="Q75" t="s">
        <v>93</v>
      </c>
      <c r="R75" t="s">
        <v>482</v>
      </c>
      <c r="S75" t="s">
        <v>483</v>
      </c>
      <c r="V75" t="s">
        <v>484</v>
      </c>
      <c r="W75" t="s">
        <v>466</v>
      </c>
      <c r="X75" t="s">
        <v>485</v>
      </c>
      <c r="Y75" t="s">
        <v>99</v>
      </c>
      <c r="AA75" t="s">
        <v>481</v>
      </c>
      <c r="AB75" t="s">
        <v>482</v>
      </c>
      <c r="AC75" t="s">
        <v>483</v>
      </c>
      <c r="AD75" t="s">
        <v>486</v>
      </c>
      <c r="AI75">
        <v>500</v>
      </c>
      <c r="AK75">
        <v>0</v>
      </c>
      <c r="AL75" s="1">
        <v>45828</v>
      </c>
      <c r="AM75">
        <v>250</v>
      </c>
      <c r="AN75">
        <v>1886016</v>
      </c>
      <c r="AP75" s="1">
        <v>46014</v>
      </c>
      <c r="AQ75">
        <v>250</v>
      </c>
      <c r="AR75">
        <v>1916391</v>
      </c>
      <c r="CH75">
        <v>677613004</v>
      </c>
    </row>
    <row r="76" spans="1:86" x14ac:dyDescent="0.25">
      <c r="A76">
        <v>571914</v>
      </c>
      <c r="B76">
        <v>102</v>
      </c>
      <c r="C76">
        <v>300973</v>
      </c>
      <c r="D76">
        <v>1</v>
      </c>
      <c r="E76">
        <v>1</v>
      </c>
      <c r="F76">
        <v>190070</v>
      </c>
      <c r="G76">
        <v>190070</v>
      </c>
      <c r="H76" t="s">
        <v>90</v>
      </c>
      <c r="N76" t="s">
        <v>487</v>
      </c>
      <c r="O76">
        <v>4004168</v>
      </c>
      <c r="P76" t="s">
        <v>92</v>
      </c>
      <c r="Q76" t="s">
        <v>93</v>
      </c>
      <c r="R76" t="s">
        <v>488</v>
      </c>
      <c r="S76" t="s">
        <v>489</v>
      </c>
      <c r="V76" t="s">
        <v>490</v>
      </c>
      <c r="W76" t="s">
        <v>491</v>
      </c>
      <c r="X76" t="s">
        <v>492</v>
      </c>
      <c r="Y76" t="s">
        <v>99</v>
      </c>
      <c r="AA76" t="s">
        <v>487</v>
      </c>
      <c r="AB76" t="s">
        <v>488</v>
      </c>
      <c r="AC76" t="s">
        <v>489</v>
      </c>
      <c r="AD76" t="s">
        <v>493</v>
      </c>
      <c r="AI76">
        <v>912</v>
      </c>
      <c r="AK76">
        <v>0</v>
      </c>
      <c r="AL76" s="1">
        <v>46021</v>
      </c>
      <c r="AM76">
        <v>912</v>
      </c>
      <c r="AN76">
        <v>1916811</v>
      </c>
      <c r="CH76">
        <v>371862110</v>
      </c>
    </row>
    <row r="77" spans="1:86" x14ac:dyDescent="0.25">
      <c r="A77">
        <v>571915</v>
      </c>
      <c r="B77">
        <v>102</v>
      </c>
      <c r="C77">
        <v>300974</v>
      </c>
      <c r="D77">
        <v>1</v>
      </c>
      <c r="E77">
        <v>1</v>
      </c>
      <c r="F77">
        <v>190280</v>
      </c>
      <c r="G77">
        <v>190280</v>
      </c>
      <c r="H77" t="s">
        <v>90</v>
      </c>
      <c r="N77" t="s">
        <v>494</v>
      </c>
      <c r="O77">
        <v>190280</v>
      </c>
      <c r="P77" t="s">
        <v>92</v>
      </c>
      <c r="Q77" t="s">
        <v>93</v>
      </c>
      <c r="R77" t="s">
        <v>495</v>
      </c>
      <c r="V77" t="s">
        <v>496</v>
      </c>
      <c r="W77" t="s">
        <v>497</v>
      </c>
      <c r="X77" t="s">
        <v>498</v>
      </c>
      <c r="Y77" t="s">
        <v>99</v>
      </c>
      <c r="AA77" t="s">
        <v>494</v>
      </c>
      <c r="AB77" t="s">
        <v>495</v>
      </c>
      <c r="AC77" t="s">
        <v>499</v>
      </c>
      <c r="AH77" t="s">
        <v>500</v>
      </c>
      <c r="AI77">
        <v>686</v>
      </c>
      <c r="AK77">
        <v>0</v>
      </c>
      <c r="AL77" s="1">
        <v>45689</v>
      </c>
      <c r="AM77">
        <v>114</v>
      </c>
      <c r="AN77">
        <v>1863422</v>
      </c>
      <c r="AP77" s="1">
        <v>45778</v>
      </c>
      <c r="AQ77">
        <v>114</v>
      </c>
      <c r="AR77">
        <v>1878019</v>
      </c>
      <c r="AT77" s="1">
        <v>45870</v>
      </c>
      <c r="AU77">
        <v>114</v>
      </c>
      <c r="AV77">
        <v>1892222</v>
      </c>
      <c r="AX77" s="1">
        <v>45962</v>
      </c>
      <c r="AY77">
        <v>114</v>
      </c>
      <c r="AZ77">
        <v>1905877</v>
      </c>
      <c r="BB77" s="1">
        <v>46021</v>
      </c>
      <c r="BC77">
        <v>168</v>
      </c>
      <c r="BD77">
        <v>1916804</v>
      </c>
      <c r="BF77" s="1">
        <v>46021</v>
      </c>
      <c r="BG77">
        <v>50</v>
      </c>
      <c r="BH77">
        <v>1919395</v>
      </c>
      <c r="BJ77" s="1">
        <v>46021</v>
      </c>
      <c r="BK77">
        <v>12</v>
      </c>
      <c r="BL77">
        <v>1919396</v>
      </c>
      <c r="CH77">
        <v>403909632</v>
      </c>
    </row>
    <row r="78" spans="1:86" x14ac:dyDescent="0.25">
      <c r="A78">
        <v>571916</v>
      </c>
      <c r="B78">
        <v>102</v>
      </c>
      <c r="C78">
        <v>300975</v>
      </c>
      <c r="D78">
        <v>1</v>
      </c>
      <c r="E78">
        <v>1</v>
      </c>
      <c r="F78">
        <v>200001</v>
      </c>
      <c r="G78">
        <v>200001</v>
      </c>
      <c r="H78" t="s">
        <v>90</v>
      </c>
      <c r="N78" t="s">
        <v>501</v>
      </c>
      <c r="O78">
        <v>4004169</v>
      </c>
      <c r="P78" t="s">
        <v>92</v>
      </c>
      <c r="Q78" t="s">
        <v>93</v>
      </c>
      <c r="R78" t="s">
        <v>502</v>
      </c>
      <c r="S78" t="s">
        <v>503</v>
      </c>
      <c r="V78" t="s">
        <v>504</v>
      </c>
      <c r="W78" t="s">
        <v>505</v>
      </c>
      <c r="X78">
        <v>71328</v>
      </c>
      <c r="Y78" t="s">
        <v>99</v>
      </c>
      <c r="AA78" t="s">
        <v>506</v>
      </c>
      <c r="AB78" t="s">
        <v>502</v>
      </c>
      <c r="AC78" t="s">
        <v>503</v>
      </c>
      <c r="AD78" t="s">
        <v>507</v>
      </c>
      <c r="AH78" t="s">
        <v>508</v>
      </c>
      <c r="AI78">
        <v>1368</v>
      </c>
      <c r="AK78">
        <v>0</v>
      </c>
      <c r="AL78" s="1">
        <v>45677</v>
      </c>
      <c r="AM78">
        <v>114</v>
      </c>
      <c r="AN78">
        <v>1861653</v>
      </c>
      <c r="AP78" s="1">
        <v>45708</v>
      </c>
      <c r="AQ78">
        <v>114</v>
      </c>
      <c r="AR78">
        <v>1866339</v>
      </c>
      <c r="AT78" s="1">
        <v>45736</v>
      </c>
      <c r="AU78">
        <v>114</v>
      </c>
      <c r="AV78">
        <v>1871274</v>
      </c>
      <c r="AX78" s="1">
        <v>45767</v>
      </c>
      <c r="AY78">
        <v>114</v>
      </c>
      <c r="AZ78">
        <v>1876063</v>
      </c>
      <c r="BB78" s="1">
        <v>45797</v>
      </c>
      <c r="BC78">
        <v>114</v>
      </c>
      <c r="BD78">
        <v>1881110</v>
      </c>
      <c r="BF78" s="1">
        <v>45828</v>
      </c>
      <c r="BG78">
        <v>114</v>
      </c>
      <c r="BH78">
        <v>1885795</v>
      </c>
      <c r="BJ78" s="1">
        <v>45858</v>
      </c>
      <c r="BK78">
        <v>114</v>
      </c>
      <c r="BL78">
        <v>1890473</v>
      </c>
      <c r="BN78" s="1">
        <v>45889</v>
      </c>
      <c r="BO78">
        <v>114</v>
      </c>
      <c r="BP78">
        <v>1895262</v>
      </c>
      <c r="BR78" s="1">
        <v>45920</v>
      </c>
      <c r="BS78">
        <v>114</v>
      </c>
      <c r="BT78">
        <v>1899823</v>
      </c>
      <c r="BV78" s="1">
        <v>45950</v>
      </c>
      <c r="BW78">
        <v>114</v>
      </c>
      <c r="BX78">
        <v>1904178</v>
      </c>
      <c r="BZ78" s="1">
        <v>45981</v>
      </c>
      <c r="CA78">
        <v>114</v>
      </c>
      <c r="CB78">
        <v>1909021</v>
      </c>
      <c r="CD78" s="1">
        <v>46011</v>
      </c>
      <c r="CE78">
        <v>114</v>
      </c>
      <c r="CF78">
        <v>1913864</v>
      </c>
      <c r="CH78">
        <v>71328</v>
      </c>
    </row>
    <row r="79" spans="1:86" x14ac:dyDescent="0.25">
      <c r="A79">
        <v>571917</v>
      </c>
      <c r="B79">
        <v>102</v>
      </c>
      <c r="C79">
        <v>300976</v>
      </c>
      <c r="D79">
        <v>1</v>
      </c>
      <c r="E79">
        <v>2</v>
      </c>
      <c r="F79">
        <v>200180</v>
      </c>
      <c r="G79">
        <v>200180</v>
      </c>
      <c r="H79" t="s">
        <v>90</v>
      </c>
      <c r="N79" t="s">
        <v>361</v>
      </c>
      <c r="O79">
        <v>4007469</v>
      </c>
      <c r="P79" t="s">
        <v>92</v>
      </c>
      <c r="Q79" t="s">
        <v>93</v>
      </c>
      <c r="R79" t="s">
        <v>509</v>
      </c>
      <c r="V79" t="s">
        <v>510</v>
      </c>
      <c r="W79" t="s">
        <v>505</v>
      </c>
      <c r="X79" t="s">
        <v>511</v>
      </c>
      <c r="Y79" t="s">
        <v>99</v>
      </c>
      <c r="AA79" t="s">
        <v>361</v>
      </c>
      <c r="AB79" t="s">
        <v>509</v>
      </c>
      <c r="AC79" t="s">
        <v>512</v>
      </c>
      <c r="AH79" t="s">
        <v>513</v>
      </c>
      <c r="AI79">
        <v>760</v>
      </c>
      <c r="AK79">
        <v>0</v>
      </c>
      <c r="AL79" s="1">
        <v>45667</v>
      </c>
      <c r="AM79">
        <v>38</v>
      </c>
      <c r="AN79">
        <v>1859894</v>
      </c>
      <c r="AP79" s="1">
        <v>45667</v>
      </c>
      <c r="AQ79">
        <v>38</v>
      </c>
      <c r="AR79">
        <v>1859895</v>
      </c>
      <c r="AT79" s="1">
        <v>45703</v>
      </c>
      <c r="AU79">
        <v>38</v>
      </c>
      <c r="AV79">
        <v>1865702</v>
      </c>
      <c r="AX79" s="1">
        <v>45703</v>
      </c>
      <c r="AY79">
        <v>38</v>
      </c>
      <c r="AZ79">
        <v>1865703</v>
      </c>
      <c r="BB79" s="1">
        <v>45728</v>
      </c>
      <c r="BC79">
        <v>38</v>
      </c>
      <c r="BD79">
        <v>1869604</v>
      </c>
      <c r="BF79" s="1">
        <v>45728</v>
      </c>
      <c r="BG79">
        <v>38</v>
      </c>
      <c r="BH79">
        <v>1869605</v>
      </c>
      <c r="BJ79" s="1">
        <v>45757</v>
      </c>
      <c r="BK79">
        <v>38</v>
      </c>
      <c r="BL79">
        <v>1874396</v>
      </c>
      <c r="BN79" s="1">
        <v>45757</v>
      </c>
      <c r="BO79">
        <v>38</v>
      </c>
      <c r="BP79">
        <v>1874397</v>
      </c>
      <c r="BR79" s="1">
        <v>45791</v>
      </c>
      <c r="BS79">
        <v>38</v>
      </c>
      <c r="BT79">
        <v>1879761</v>
      </c>
      <c r="BV79" s="1">
        <v>45791</v>
      </c>
      <c r="BW79">
        <v>38</v>
      </c>
      <c r="BX79">
        <v>1879762</v>
      </c>
      <c r="BZ79" s="1">
        <v>45857</v>
      </c>
      <c r="CA79">
        <v>38</v>
      </c>
      <c r="CB79">
        <v>1890385</v>
      </c>
      <c r="CD79" s="1">
        <v>45857</v>
      </c>
      <c r="CE79">
        <v>38</v>
      </c>
      <c r="CF79">
        <v>1890386</v>
      </c>
      <c r="CH79">
        <v>713604679</v>
      </c>
    </row>
    <row r="80" spans="1:86" x14ac:dyDescent="0.25">
      <c r="A80">
        <v>571918</v>
      </c>
      <c r="B80">
        <v>102</v>
      </c>
      <c r="C80">
        <v>300976</v>
      </c>
      <c r="D80">
        <v>2</v>
      </c>
      <c r="E80">
        <v>2</v>
      </c>
      <c r="F80">
        <v>200180</v>
      </c>
      <c r="G80">
        <v>200180</v>
      </c>
      <c r="H80" t="s">
        <v>90</v>
      </c>
      <c r="N80" t="s">
        <v>361</v>
      </c>
      <c r="O80">
        <v>4007469</v>
      </c>
      <c r="P80" t="s">
        <v>92</v>
      </c>
      <c r="Q80" t="s">
        <v>93</v>
      </c>
      <c r="R80" t="s">
        <v>509</v>
      </c>
      <c r="V80" t="s">
        <v>510</v>
      </c>
      <c r="W80" t="s">
        <v>505</v>
      </c>
      <c r="X80" t="s">
        <v>511</v>
      </c>
      <c r="Y80" t="s">
        <v>99</v>
      </c>
      <c r="AA80" t="s">
        <v>361</v>
      </c>
      <c r="AB80" t="s">
        <v>509</v>
      </c>
      <c r="AC80" t="s">
        <v>512</v>
      </c>
      <c r="AH80" t="s">
        <v>513</v>
      </c>
      <c r="AI80">
        <v>760</v>
      </c>
      <c r="AK80">
        <v>0</v>
      </c>
      <c r="AL80" s="1">
        <v>45938</v>
      </c>
      <c r="AM80">
        <v>0</v>
      </c>
      <c r="AN80">
        <v>1902703</v>
      </c>
      <c r="AO80">
        <v>0</v>
      </c>
      <c r="AP80" s="1">
        <v>45938</v>
      </c>
      <c r="AQ80">
        <v>0</v>
      </c>
      <c r="AR80">
        <v>1902704</v>
      </c>
      <c r="AS80">
        <v>0</v>
      </c>
      <c r="AT80" s="1">
        <v>45938</v>
      </c>
      <c r="AU80">
        <v>38</v>
      </c>
      <c r="AV80">
        <v>1902705</v>
      </c>
      <c r="AX80" s="1">
        <v>45938</v>
      </c>
      <c r="AY80">
        <v>38</v>
      </c>
      <c r="AZ80">
        <v>1902707</v>
      </c>
      <c r="BB80" s="1">
        <v>45939</v>
      </c>
      <c r="BC80">
        <v>228</v>
      </c>
      <c r="BD80">
        <v>1902738</v>
      </c>
      <c r="CH80">
        <v>713604679</v>
      </c>
    </row>
    <row r="81" spans="1:86" x14ac:dyDescent="0.25">
      <c r="A81">
        <v>571919</v>
      </c>
      <c r="B81">
        <v>102</v>
      </c>
      <c r="C81">
        <v>300977</v>
      </c>
      <c r="D81">
        <v>1</v>
      </c>
      <c r="E81">
        <v>1</v>
      </c>
      <c r="F81">
        <v>200225</v>
      </c>
      <c r="G81">
        <v>200225</v>
      </c>
      <c r="H81" t="s">
        <v>90</v>
      </c>
      <c r="N81" t="s">
        <v>514</v>
      </c>
      <c r="O81">
        <v>200225</v>
      </c>
      <c r="P81" t="s">
        <v>92</v>
      </c>
      <c r="Q81" t="s">
        <v>93</v>
      </c>
      <c r="R81" t="s">
        <v>515</v>
      </c>
      <c r="V81" t="s">
        <v>516</v>
      </c>
      <c r="W81" t="s">
        <v>505</v>
      </c>
      <c r="X81" t="s">
        <v>517</v>
      </c>
      <c r="Y81" t="s">
        <v>99</v>
      </c>
      <c r="AA81" t="s">
        <v>514</v>
      </c>
      <c r="AB81" t="s">
        <v>515</v>
      </c>
      <c r="AC81" t="s">
        <v>518</v>
      </c>
      <c r="AI81">
        <v>365</v>
      </c>
      <c r="AK81">
        <v>0</v>
      </c>
      <c r="AL81" s="1">
        <v>45793</v>
      </c>
      <c r="AM81">
        <v>25</v>
      </c>
      <c r="AN81">
        <v>1881257</v>
      </c>
      <c r="AP81" s="1">
        <v>45812</v>
      </c>
      <c r="AQ81">
        <v>50</v>
      </c>
      <c r="AR81">
        <v>1883859</v>
      </c>
      <c r="AT81" s="1">
        <v>45873</v>
      </c>
      <c r="AU81">
        <v>50</v>
      </c>
      <c r="AV81">
        <v>1893252</v>
      </c>
      <c r="AX81" s="1">
        <v>45916</v>
      </c>
      <c r="AY81">
        <v>40</v>
      </c>
      <c r="AZ81">
        <v>1899625</v>
      </c>
      <c r="BB81" s="1">
        <v>45944</v>
      </c>
      <c r="BC81">
        <v>100</v>
      </c>
      <c r="BD81">
        <v>1904579</v>
      </c>
      <c r="BF81" s="1">
        <v>45971</v>
      </c>
      <c r="BG81">
        <v>50</v>
      </c>
      <c r="BH81">
        <v>1908902</v>
      </c>
      <c r="BJ81" s="1">
        <v>46000</v>
      </c>
      <c r="BK81">
        <v>50</v>
      </c>
      <c r="BL81">
        <v>1913020</v>
      </c>
      <c r="CH81">
        <v>711032300</v>
      </c>
    </row>
    <row r="82" spans="1:86" x14ac:dyDescent="0.25">
      <c r="A82">
        <v>571920</v>
      </c>
      <c r="B82">
        <v>102</v>
      </c>
      <c r="C82">
        <v>300978</v>
      </c>
      <c r="D82">
        <v>1</v>
      </c>
      <c r="E82">
        <v>1</v>
      </c>
      <c r="F82">
        <v>200230</v>
      </c>
      <c r="G82">
        <v>200230</v>
      </c>
      <c r="H82" t="s">
        <v>90</v>
      </c>
      <c r="N82" t="s">
        <v>519</v>
      </c>
      <c r="O82">
        <v>4004170</v>
      </c>
      <c r="P82" t="s">
        <v>92</v>
      </c>
      <c r="Q82" t="s">
        <v>93</v>
      </c>
      <c r="R82" t="s">
        <v>520</v>
      </c>
      <c r="S82" t="s">
        <v>521</v>
      </c>
      <c r="V82" t="s">
        <v>522</v>
      </c>
      <c r="W82" t="s">
        <v>505</v>
      </c>
      <c r="X82" t="s">
        <v>523</v>
      </c>
      <c r="Y82" t="s">
        <v>99</v>
      </c>
      <c r="AA82" t="s">
        <v>519</v>
      </c>
      <c r="AB82" t="s">
        <v>520</v>
      </c>
      <c r="AC82" t="s">
        <v>521</v>
      </c>
      <c r="AD82" t="s">
        <v>524</v>
      </c>
      <c r="AH82" t="s">
        <v>525</v>
      </c>
      <c r="AI82">
        <v>494</v>
      </c>
      <c r="AK82">
        <v>0</v>
      </c>
      <c r="AL82" s="1">
        <v>45679</v>
      </c>
      <c r="AM82">
        <v>38</v>
      </c>
      <c r="AN82">
        <v>1862095</v>
      </c>
      <c r="AP82" s="1">
        <v>45764</v>
      </c>
      <c r="AQ82">
        <v>114</v>
      </c>
      <c r="AR82">
        <v>1876363</v>
      </c>
      <c r="AT82" s="1">
        <v>45798</v>
      </c>
      <c r="AU82">
        <v>38</v>
      </c>
      <c r="AV82">
        <v>1882299</v>
      </c>
      <c r="AX82" s="1">
        <v>45845</v>
      </c>
      <c r="AY82">
        <v>76</v>
      </c>
      <c r="AZ82">
        <v>1888961</v>
      </c>
      <c r="BB82" s="1">
        <v>45875</v>
      </c>
      <c r="BC82">
        <v>38</v>
      </c>
      <c r="BD82">
        <v>1893393</v>
      </c>
      <c r="BF82" s="1">
        <v>45902</v>
      </c>
      <c r="BG82">
        <v>38</v>
      </c>
      <c r="BH82">
        <v>1897533</v>
      </c>
      <c r="BJ82" s="1">
        <v>45937</v>
      </c>
      <c r="BK82">
        <v>38</v>
      </c>
      <c r="BL82">
        <v>1902660</v>
      </c>
      <c r="BN82" s="1">
        <v>45965</v>
      </c>
      <c r="BO82">
        <v>38</v>
      </c>
      <c r="BP82">
        <v>1907076</v>
      </c>
      <c r="BR82" s="1">
        <v>45982</v>
      </c>
      <c r="BS82">
        <v>38</v>
      </c>
      <c r="BT82">
        <v>1911325</v>
      </c>
      <c r="BV82" s="1">
        <v>46021</v>
      </c>
      <c r="BW82">
        <v>38</v>
      </c>
      <c r="BX82">
        <v>1917267</v>
      </c>
      <c r="CH82">
        <v>713713917</v>
      </c>
    </row>
    <row r="83" spans="1:86" x14ac:dyDescent="0.25">
      <c r="A83">
        <v>571921</v>
      </c>
      <c r="B83">
        <v>102</v>
      </c>
      <c r="C83">
        <v>300979</v>
      </c>
      <c r="D83">
        <v>1</v>
      </c>
      <c r="E83">
        <v>1</v>
      </c>
      <c r="F83">
        <v>210049</v>
      </c>
      <c r="G83">
        <v>210049</v>
      </c>
      <c r="H83" t="s">
        <v>90</v>
      </c>
      <c r="N83" t="s">
        <v>526</v>
      </c>
      <c r="O83">
        <v>4008107</v>
      </c>
      <c r="P83" t="s">
        <v>92</v>
      </c>
      <c r="Q83" t="s">
        <v>93</v>
      </c>
      <c r="R83" t="s">
        <v>527</v>
      </c>
      <c r="V83" t="s">
        <v>528</v>
      </c>
      <c r="W83" t="s">
        <v>529</v>
      </c>
      <c r="X83">
        <v>21219</v>
      </c>
      <c r="Y83" t="s">
        <v>99</v>
      </c>
      <c r="AA83" t="s">
        <v>526</v>
      </c>
      <c r="AB83" t="s">
        <v>527</v>
      </c>
      <c r="AC83" t="s">
        <v>530</v>
      </c>
      <c r="AH83" t="s">
        <v>531</v>
      </c>
      <c r="AI83">
        <v>3243</v>
      </c>
      <c r="AK83">
        <v>0</v>
      </c>
      <c r="AL83" s="1">
        <v>45674</v>
      </c>
      <c r="AM83">
        <v>1743</v>
      </c>
      <c r="AN83">
        <v>1861979</v>
      </c>
      <c r="AP83" s="1">
        <v>45944</v>
      </c>
      <c r="AQ83">
        <v>1000</v>
      </c>
      <c r="AR83">
        <v>1904532</v>
      </c>
      <c r="AT83" s="1">
        <v>46010</v>
      </c>
      <c r="AU83">
        <v>500</v>
      </c>
      <c r="AV83">
        <v>1916064</v>
      </c>
      <c r="CH83">
        <v>21219</v>
      </c>
    </row>
    <row r="84" spans="1:86" x14ac:dyDescent="0.25">
      <c r="A84">
        <v>571922</v>
      </c>
      <c r="B84">
        <v>102</v>
      </c>
      <c r="C84">
        <v>300980</v>
      </c>
      <c r="D84">
        <v>1</v>
      </c>
      <c r="E84">
        <v>1</v>
      </c>
      <c r="F84">
        <v>210056</v>
      </c>
      <c r="G84">
        <v>210056</v>
      </c>
      <c r="H84" t="s">
        <v>90</v>
      </c>
      <c r="N84" t="s">
        <v>532</v>
      </c>
      <c r="O84">
        <v>210056</v>
      </c>
      <c r="P84" t="s">
        <v>92</v>
      </c>
      <c r="Q84" t="s">
        <v>93</v>
      </c>
      <c r="R84" t="s">
        <v>533</v>
      </c>
      <c r="V84" t="s">
        <v>534</v>
      </c>
      <c r="W84" t="s">
        <v>529</v>
      </c>
      <c r="X84" t="s">
        <v>535</v>
      </c>
      <c r="Y84" t="s">
        <v>99</v>
      </c>
      <c r="AA84" t="s">
        <v>532</v>
      </c>
      <c r="AB84" t="s">
        <v>533</v>
      </c>
      <c r="AC84" t="s">
        <v>536</v>
      </c>
      <c r="AI84">
        <v>912</v>
      </c>
      <c r="AK84">
        <v>0</v>
      </c>
      <c r="AL84" s="1">
        <v>45688</v>
      </c>
      <c r="AM84">
        <v>76</v>
      </c>
      <c r="AN84">
        <v>1864094</v>
      </c>
      <c r="AP84" s="1">
        <v>45719</v>
      </c>
      <c r="AQ84">
        <v>76</v>
      </c>
      <c r="AR84">
        <v>1869092</v>
      </c>
      <c r="AT84" s="1">
        <v>45749</v>
      </c>
      <c r="AU84">
        <v>76</v>
      </c>
      <c r="AV84">
        <v>1873773</v>
      </c>
      <c r="AX84" s="1">
        <v>45777</v>
      </c>
      <c r="AY84">
        <v>76</v>
      </c>
      <c r="AZ84">
        <v>1879097</v>
      </c>
      <c r="BB84" s="1">
        <v>45807</v>
      </c>
      <c r="BC84">
        <v>76</v>
      </c>
      <c r="BD84">
        <v>1883443</v>
      </c>
      <c r="BF84" s="1">
        <v>45841</v>
      </c>
      <c r="BG84">
        <v>76</v>
      </c>
      <c r="BH84">
        <v>1888840</v>
      </c>
      <c r="BJ84" s="1">
        <v>45873</v>
      </c>
      <c r="BK84">
        <v>76</v>
      </c>
      <c r="BL84">
        <v>1893264</v>
      </c>
      <c r="BN84" s="1">
        <v>45898</v>
      </c>
      <c r="BO84">
        <v>76</v>
      </c>
      <c r="BP84">
        <v>1897351</v>
      </c>
      <c r="BR84" s="1">
        <v>45933</v>
      </c>
      <c r="BS84">
        <v>76</v>
      </c>
      <c r="BT84">
        <v>1902431</v>
      </c>
      <c r="BV84" s="1">
        <v>45961</v>
      </c>
      <c r="BW84">
        <v>76</v>
      </c>
      <c r="BX84">
        <v>1906805</v>
      </c>
      <c r="BZ84" s="1">
        <v>45993</v>
      </c>
      <c r="CA84">
        <v>76</v>
      </c>
      <c r="CB84">
        <v>1911878</v>
      </c>
      <c r="CD84" s="1">
        <v>46021</v>
      </c>
      <c r="CE84">
        <v>76</v>
      </c>
      <c r="CF84">
        <v>1916630</v>
      </c>
      <c r="CH84">
        <v>212112635</v>
      </c>
    </row>
    <row r="85" spans="1:86" x14ac:dyDescent="0.25">
      <c r="A85">
        <v>571923</v>
      </c>
      <c r="B85">
        <v>102</v>
      </c>
      <c r="C85">
        <v>300981</v>
      </c>
      <c r="D85">
        <v>1</v>
      </c>
      <c r="E85">
        <v>1</v>
      </c>
      <c r="F85">
        <v>210060</v>
      </c>
      <c r="G85">
        <v>210060</v>
      </c>
      <c r="H85" t="s">
        <v>90</v>
      </c>
      <c r="N85" t="s">
        <v>537</v>
      </c>
      <c r="O85">
        <v>4012048</v>
      </c>
      <c r="P85" t="s">
        <v>92</v>
      </c>
      <c r="Q85" t="s">
        <v>93</v>
      </c>
      <c r="R85" t="s">
        <v>538</v>
      </c>
      <c r="V85" t="s">
        <v>539</v>
      </c>
      <c r="W85" t="s">
        <v>540</v>
      </c>
      <c r="X85" t="s">
        <v>541</v>
      </c>
      <c r="Y85" t="s">
        <v>99</v>
      </c>
      <c r="AA85" t="s">
        <v>537</v>
      </c>
      <c r="AB85" t="s">
        <v>538</v>
      </c>
      <c r="AC85" t="s">
        <v>542</v>
      </c>
      <c r="AH85" t="s">
        <v>543</v>
      </c>
      <c r="AI85">
        <v>456</v>
      </c>
      <c r="AK85">
        <v>0</v>
      </c>
      <c r="AL85" s="1">
        <v>45668</v>
      </c>
      <c r="AM85">
        <v>38</v>
      </c>
      <c r="AN85">
        <v>1859916</v>
      </c>
      <c r="AP85" s="1">
        <v>45699</v>
      </c>
      <c r="AQ85">
        <v>38</v>
      </c>
      <c r="AR85">
        <v>1864982</v>
      </c>
      <c r="AT85" s="1">
        <v>45727</v>
      </c>
      <c r="AU85">
        <v>38</v>
      </c>
      <c r="AV85">
        <v>1869522</v>
      </c>
      <c r="AX85" s="1">
        <v>45758</v>
      </c>
      <c r="AY85">
        <v>38</v>
      </c>
      <c r="AZ85">
        <v>1874419</v>
      </c>
      <c r="BB85" s="1">
        <v>45788</v>
      </c>
      <c r="BC85">
        <v>38</v>
      </c>
      <c r="BD85">
        <v>1879554</v>
      </c>
      <c r="BF85" s="1">
        <v>45819</v>
      </c>
      <c r="BG85">
        <v>38</v>
      </c>
      <c r="BH85">
        <v>1884315</v>
      </c>
      <c r="BJ85" s="1">
        <v>45849</v>
      </c>
      <c r="BK85">
        <v>38</v>
      </c>
      <c r="BL85">
        <v>1889052</v>
      </c>
      <c r="BN85" s="1">
        <v>45880</v>
      </c>
      <c r="BO85">
        <v>38</v>
      </c>
      <c r="BP85">
        <v>1893628</v>
      </c>
      <c r="BR85" s="1">
        <v>45911</v>
      </c>
      <c r="BS85">
        <v>38</v>
      </c>
      <c r="BT85">
        <v>1898322</v>
      </c>
      <c r="BV85" s="1">
        <v>45941</v>
      </c>
      <c r="BW85">
        <v>38</v>
      </c>
      <c r="BX85">
        <v>1902919</v>
      </c>
      <c r="BZ85" s="1">
        <v>45972</v>
      </c>
      <c r="CA85">
        <v>38</v>
      </c>
      <c r="CB85">
        <v>1907496</v>
      </c>
      <c r="CD85" s="1">
        <v>46002</v>
      </c>
      <c r="CE85">
        <v>38</v>
      </c>
      <c r="CF85">
        <v>1912162</v>
      </c>
      <c r="CH85">
        <v>227011918</v>
      </c>
    </row>
    <row r="86" spans="1:86" x14ac:dyDescent="0.25">
      <c r="A86">
        <v>571924</v>
      </c>
      <c r="B86">
        <v>102</v>
      </c>
      <c r="C86">
        <v>300982</v>
      </c>
      <c r="D86">
        <v>1</v>
      </c>
      <c r="E86">
        <v>1</v>
      </c>
      <c r="F86">
        <v>210241</v>
      </c>
      <c r="G86">
        <v>210241</v>
      </c>
      <c r="H86" t="s">
        <v>90</v>
      </c>
      <c r="N86" t="s">
        <v>544</v>
      </c>
      <c r="O86">
        <v>4004172</v>
      </c>
      <c r="P86" t="s">
        <v>92</v>
      </c>
      <c r="Q86" t="s">
        <v>93</v>
      </c>
      <c r="R86" t="s">
        <v>545</v>
      </c>
      <c r="S86" t="s">
        <v>546</v>
      </c>
      <c r="V86" t="s">
        <v>547</v>
      </c>
      <c r="W86" t="s">
        <v>529</v>
      </c>
      <c r="X86" t="s">
        <v>548</v>
      </c>
      <c r="Y86" t="s">
        <v>99</v>
      </c>
      <c r="AA86" t="s">
        <v>544</v>
      </c>
      <c r="AB86" t="s">
        <v>545</v>
      </c>
      <c r="AC86" t="s">
        <v>546</v>
      </c>
      <c r="AD86" t="s">
        <v>549</v>
      </c>
      <c r="AH86" t="s">
        <v>550</v>
      </c>
      <c r="AI86">
        <v>912</v>
      </c>
      <c r="AK86">
        <v>0</v>
      </c>
      <c r="AL86" s="1">
        <v>45667</v>
      </c>
      <c r="AM86">
        <v>76</v>
      </c>
      <c r="AN86">
        <v>1859558</v>
      </c>
      <c r="AP86" s="1">
        <v>45698</v>
      </c>
      <c r="AQ86">
        <v>76</v>
      </c>
      <c r="AR86">
        <v>1864773</v>
      </c>
      <c r="AT86" s="1">
        <v>45726</v>
      </c>
      <c r="AU86">
        <v>76</v>
      </c>
      <c r="AV86">
        <v>1869449</v>
      </c>
      <c r="AX86" s="1">
        <v>45757</v>
      </c>
      <c r="AY86">
        <v>76</v>
      </c>
      <c r="AZ86">
        <v>1874341</v>
      </c>
      <c r="BB86" s="1">
        <v>45787</v>
      </c>
      <c r="BC86">
        <v>76</v>
      </c>
      <c r="BD86">
        <v>1879487</v>
      </c>
      <c r="BF86" s="1">
        <v>45818</v>
      </c>
      <c r="BG86">
        <v>76</v>
      </c>
      <c r="BH86">
        <v>1884237</v>
      </c>
      <c r="BJ86" s="1">
        <v>45848</v>
      </c>
      <c r="BK86">
        <v>76</v>
      </c>
      <c r="BL86">
        <v>1888673</v>
      </c>
      <c r="BN86" s="1">
        <v>45879</v>
      </c>
      <c r="BO86">
        <v>76</v>
      </c>
      <c r="BP86">
        <v>1893558</v>
      </c>
      <c r="BR86" s="1">
        <v>45910</v>
      </c>
      <c r="BS86">
        <v>76</v>
      </c>
      <c r="BT86">
        <v>1898096</v>
      </c>
      <c r="BV86" s="1">
        <v>45940</v>
      </c>
      <c r="BW86">
        <v>76</v>
      </c>
      <c r="BX86">
        <v>1902833</v>
      </c>
      <c r="BZ86" s="1">
        <v>45971</v>
      </c>
      <c r="CA86">
        <v>76</v>
      </c>
      <c r="CB86">
        <v>1907411</v>
      </c>
      <c r="CD86" s="1">
        <v>46001</v>
      </c>
      <c r="CE86">
        <v>76</v>
      </c>
      <c r="CF86">
        <v>1912084</v>
      </c>
      <c r="CH86">
        <v>208661406</v>
      </c>
    </row>
    <row r="87" spans="1:86" x14ac:dyDescent="0.25">
      <c r="A87">
        <v>571925</v>
      </c>
      <c r="B87">
        <v>102</v>
      </c>
      <c r="C87">
        <v>300983</v>
      </c>
      <c r="D87">
        <v>1</v>
      </c>
      <c r="E87">
        <v>1</v>
      </c>
      <c r="F87">
        <v>210301</v>
      </c>
      <c r="G87">
        <v>210301</v>
      </c>
      <c r="H87" t="s">
        <v>90</v>
      </c>
      <c r="N87" t="s">
        <v>551</v>
      </c>
      <c r="O87">
        <v>210301</v>
      </c>
      <c r="P87" t="s">
        <v>92</v>
      </c>
      <c r="Q87" t="s">
        <v>93</v>
      </c>
      <c r="R87" t="s">
        <v>552</v>
      </c>
      <c r="V87" t="s">
        <v>553</v>
      </c>
      <c r="W87" t="s">
        <v>540</v>
      </c>
      <c r="X87" t="s">
        <v>554</v>
      </c>
      <c r="Y87" t="s">
        <v>99</v>
      </c>
      <c r="AA87" t="s">
        <v>551</v>
      </c>
      <c r="AB87" t="s">
        <v>552</v>
      </c>
      <c r="AC87" t="s">
        <v>555</v>
      </c>
      <c r="AH87" t="s">
        <v>556</v>
      </c>
      <c r="AI87">
        <v>988</v>
      </c>
      <c r="AK87">
        <v>0</v>
      </c>
      <c r="AL87" s="1">
        <v>45714</v>
      </c>
      <c r="AM87">
        <v>456</v>
      </c>
      <c r="AN87">
        <v>1867471</v>
      </c>
      <c r="AP87" s="1">
        <v>45823</v>
      </c>
      <c r="AQ87">
        <v>76</v>
      </c>
      <c r="AR87">
        <v>1884637</v>
      </c>
      <c r="AT87" s="1">
        <v>45853</v>
      </c>
      <c r="AU87">
        <v>76</v>
      </c>
      <c r="AV87">
        <v>1889380</v>
      </c>
      <c r="AX87" s="1">
        <v>45884</v>
      </c>
      <c r="AY87">
        <v>76</v>
      </c>
      <c r="AZ87">
        <v>1894192</v>
      </c>
      <c r="BB87" s="1">
        <v>45915</v>
      </c>
      <c r="BC87">
        <v>76</v>
      </c>
      <c r="BD87">
        <v>1898630</v>
      </c>
      <c r="BF87" s="1">
        <v>45945</v>
      </c>
      <c r="BG87">
        <v>76</v>
      </c>
      <c r="BH87">
        <v>1903232</v>
      </c>
      <c r="BJ87" s="1">
        <v>45976</v>
      </c>
      <c r="BK87">
        <v>76</v>
      </c>
      <c r="BL87">
        <v>1907850</v>
      </c>
      <c r="BN87" s="1">
        <v>46006</v>
      </c>
      <c r="BO87">
        <v>76</v>
      </c>
      <c r="BP87">
        <v>1912605</v>
      </c>
      <c r="CH87">
        <v>229801830</v>
      </c>
    </row>
    <row r="88" spans="1:86" x14ac:dyDescent="0.25">
      <c r="A88">
        <v>571926</v>
      </c>
      <c r="B88">
        <v>102</v>
      </c>
      <c r="C88">
        <v>300984</v>
      </c>
      <c r="D88">
        <v>1</v>
      </c>
      <c r="E88">
        <v>1</v>
      </c>
      <c r="F88">
        <v>220111</v>
      </c>
      <c r="G88">
        <v>220111</v>
      </c>
      <c r="H88" t="s">
        <v>90</v>
      </c>
      <c r="N88" t="s">
        <v>557</v>
      </c>
      <c r="O88">
        <v>220111</v>
      </c>
      <c r="P88" t="s">
        <v>92</v>
      </c>
      <c r="Q88" t="s">
        <v>93</v>
      </c>
      <c r="R88" t="s">
        <v>558</v>
      </c>
      <c r="V88" t="s">
        <v>559</v>
      </c>
      <c r="W88" t="s">
        <v>406</v>
      </c>
      <c r="X88">
        <v>55990</v>
      </c>
      <c r="Y88" t="s">
        <v>99</v>
      </c>
      <c r="AA88" t="s">
        <v>557</v>
      </c>
      <c r="AB88" t="s">
        <v>558</v>
      </c>
      <c r="AC88" t="s">
        <v>560</v>
      </c>
      <c r="AH88" t="s">
        <v>561</v>
      </c>
      <c r="AI88">
        <v>456</v>
      </c>
      <c r="AK88">
        <v>0</v>
      </c>
      <c r="AL88" s="1">
        <v>45679</v>
      </c>
      <c r="AM88">
        <v>228</v>
      </c>
      <c r="AN88">
        <v>1862141</v>
      </c>
      <c r="AP88" s="1">
        <v>45951</v>
      </c>
      <c r="AQ88">
        <v>114</v>
      </c>
      <c r="AR88">
        <v>1905198</v>
      </c>
      <c r="AT88" s="1">
        <v>45982</v>
      </c>
      <c r="AU88">
        <v>114</v>
      </c>
      <c r="AV88">
        <v>1911318</v>
      </c>
      <c r="CH88">
        <v>55990</v>
      </c>
    </row>
    <row r="89" spans="1:86" x14ac:dyDescent="0.25">
      <c r="A89">
        <v>571927</v>
      </c>
      <c r="B89">
        <v>102</v>
      </c>
      <c r="C89">
        <v>300985</v>
      </c>
      <c r="D89">
        <v>1</v>
      </c>
      <c r="E89">
        <v>1</v>
      </c>
      <c r="F89">
        <v>220211</v>
      </c>
      <c r="G89">
        <v>220211</v>
      </c>
      <c r="H89" t="s">
        <v>90</v>
      </c>
      <c r="N89" t="s">
        <v>562</v>
      </c>
      <c r="O89">
        <v>4004175</v>
      </c>
      <c r="P89" t="s">
        <v>92</v>
      </c>
      <c r="Q89" t="s">
        <v>93</v>
      </c>
      <c r="R89" t="s">
        <v>563</v>
      </c>
      <c r="S89" t="s">
        <v>564</v>
      </c>
      <c r="V89" t="s">
        <v>565</v>
      </c>
      <c r="W89" t="s">
        <v>406</v>
      </c>
      <c r="X89" t="s">
        <v>566</v>
      </c>
      <c r="Y89" t="s">
        <v>99</v>
      </c>
      <c r="AA89" t="s">
        <v>562</v>
      </c>
      <c r="AB89" t="s">
        <v>563</v>
      </c>
      <c r="AC89" t="s">
        <v>564</v>
      </c>
      <c r="AD89" t="s">
        <v>567</v>
      </c>
      <c r="AI89">
        <v>556</v>
      </c>
      <c r="AK89">
        <v>0</v>
      </c>
      <c r="AL89" s="1">
        <v>45670</v>
      </c>
      <c r="AM89">
        <v>139</v>
      </c>
      <c r="AN89">
        <v>1861738</v>
      </c>
      <c r="AP89" s="1">
        <v>45744</v>
      </c>
      <c r="AQ89">
        <v>139</v>
      </c>
      <c r="AR89">
        <v>1873247</v>
      </c>
      <c r="AT89" s="1">
        <v>45835</v>
      </c>
      <c r="AU89">
        <v>139</v>
      </c>
      <c r="AV89">
        <v>1887976</v>
      </c>
      <c r="AX89" s="1">
        <v>45958</v>
      </c>
      <c r="AY89">
        <v>139</v>
      </c>
      <c r="AZ89">
        <v>1906664</v>
      </c>
      <c r="CH89">
        <v>554092101</v>
      </c>
    </row>
    <row r="90" spans="1:86" x14ac:dyDescent="0.25">
      <c r="A90">
        <v>571928</v>
      </c>
      <c r="B90">
        <v>102</v>
      </c>
      <c r="C90">
        <v>300986</v>
      </c>
      <c r="D90">
        <v>1</v>
      </c>
      <c r="E90">
        <v>1</v>
      </c>
      <c r="F90">
        <v>220291</v>
      </c>
      <c r="G90">
        <v>220291</v>
      </c>
      <c r="H90" t="s">
        <v>90</v>
      </c>
      <c r="N90" t="s">
        <v>568</v>
      </c>
      <c r="O90">
        <v>4004176</v>
      </c>
      <c r="P90" t="s">
        <v>92</v>
      </c>
      <c r="Q90" t="s">
        <v>93</v>
      </c>
      <c r="R90" t="s">
        <v>569</v>
      </c>
      <c r="S90" t="s">
        <v>570</v>
      </c>
      <c r="V90" t="s">
        <v>571</v>
      </c>
      <c r="W90" t="s">
        <v>572</v>
      </c>
      <c r="X90" t="s">
        <v>573</v>
      </c>
      <c r="Y90" t="s">
        <v>99</v>
      </c>
      <c r="AA90" t="s">
        <v>568</v>
      </c>
      <c r="AB90" t="s">
        <v>569</v>
      </c>
      <c r="AC90" t="s">
        <v>570</v>
      </c>
      <c r="AD90" t="s">
        <v>574</v>
      </c>
      <c r="AI90">
        <v>892</v>
      </c>
      <c r="AK90">
        <v>0</v>
      </c>
      <c r="AL90" s="1">
        <v>45826</v>
      </c>
      <c r="AM90">
        <v>386</v>
      </c>
      <c r="AN90">
        <v>1886427</v>
      </c>
      <c r="AP90" s="1">
        <v>45979</v>
      </c>
      <c r="AQ90">
        <v>506</v>
      </c>
      <c r="AR90">
        <v>1910131</v>
      </c>
      <c r="CH90">
        <v>577189493</v>
      </c>
    </row>
    <row r="91" spans="1:86" x14ac:dyDescent="0.25">
      <c r="A91">
        <v>571929</v>
      </c>
      <c r="B91">
        <v>102</v>
      </c>
      <c r="C91">
        <v>300987</v>
      </c>
      <c r="D91">
        <v>1</v>
      </c>
      <c r="E91">
        <v>2</v>
      </c>
      <c r="F91">
        <v>240061</v>
      </c>
      <c r="G91">
        <v>240061</v>
      </c>
      <c r="H91" t="s">
        <v>90</v>
      </c>
      <c r="N91" t="s">
        <v>575</v>
      </c>
      <c r="O91">
        <v>4004178</v>
      </c>
      <c r="P91" t="s">
        <v>92</v>
      </c>
      <c r="Q91" t="s">
        <v>93</v>
      </c>
      <c r="R91" t="s">
        <v>576</v>
      </c>
      <c r="S91" t="s">
        <v>577</v>
      </c>
      <c r="V91" t="s">
        <v>578</v>
      </c>
      <c r="W91" t="s">
        <v>579</v>
      </c>
      <c r="X91" t="s">
        <v>580</v>
      </c>
      <c r="Y91" t="s">
        <v>99</v>
      </c>
      <c r="AA91" t="s">
        <v>575</v>
      </c>
      <c r="AB91" t="s">
        <v>576</v>
      </c>
      <c r="AC91" t="s">
        <v>577</v>
      </c>
      <c r="AD91" t="s">
        <v>581</v>
      </c>
      <c r="AH91" t="s">
        <v>582</v>
      </c>
      <c r="AI91">
        <v>1593</v>
      </c>
      <c r="AK91">
        <v>0</v>
      </c>
      <c r="AL91" s="1">
        <v>45677</v>
      </c>
      <c r="AM91">
        <v>114</v>
      </c>
      <c r="AN91">
        <v>1861689</v>
      </c>
      <c r="AP91" s="1">
        <v>45677</v>
      </c>
      <c r="AQ91">
        <v>25</v>
      </c>
      <c r="AR91">
        <v>1861690</v>
      </c>
      <c r="AT91" s="1">
        <v>45690</v>
      </c>
      <c r="AU91">
        <v>114</v>
      </c>
      <c r="AV91">
        <v>1863978</v>
      </c>
      <c r="AX91" s="1">
        <v>45724</v>
      </c>
      <c r="AY91">
        <v>114</v>
      </c>
      <c r="AZ91">
        <v>1869318</v>
      </c>
      <c r="BB91" s="1">
        <v>45752</v>
      </c>
      <c r="BC91">
        <v>114</v>
      </c>
      <c r="BD91">
        <v>1874029</v>
      </c>
      <c r="BF91" s="1">
        <v>45752</v>
      </c>
      <c r="BG91">
        <v>25</v>
      </c>
      <c r="BH91">
        <v>1874030</v>
      </c>
      <c r="BJ91" s="1">
        <v>45780</v>
      </c>
      <c r="BK91">
        <v>114</v>
      </c>
      <c r="BL91">
        <v>1878788</v>
      </c>
      <c r="BN91" s="1">
        <v>45816</v>
      </c>
      <c r="BO91">
        <v>114</v>
      </c>
      <c r="BP91">
        <v>1884011</v>
      </c>
      <c r="BR91" s="1">
        <v>45851</v>
      </c>
      <c r="BS91">
        <v>114</v>
      </c>
      <c r="BT91">
        <v>1889169</v>
      </c>
      <c r="BV91" s="1">
        <v>45851</v>
      </c>
      <c r="BW91">
        <v>25</v>
      </c>
      <c r="BX91">
        <v>1889170</v>
      </c>
      <c r="BZ91" s="1">
        <v>45878</v>
      </c>
      <c r="CA91">
        <v>114</v>
      </c>
      <c r="CB91">
        <v>1893470</v>
      </c>
      <c r="CD91" s="1">
        <v>45906</v>
      </c>
      <c r="CE91">
        <v>114</v>
      </c>
      <c r="CF91">
        <v>1897797</v>
      </c>
      <c r="CH91">
        <v>186612023</v>
      </c>
    </row>
    <row r="92" spans="1:86" x14ac:dyDescent="0.25">
      <c r="A92">
        <v>571930</v>
      </c>
      <c r="B92">
        <v>102</v>
      </c>
      <c r="C92">
        <v>300987</v>
      </c>
      <c r="D92">
        <v>2</v>
      </c>
      <c r="E92">
        <v>2</v>
      </c>
      <c r="F92">
        <v>240061</v>
      </c>
      <c r="G92">
        <v>240061</v>
      </c>
      <c r="H92" t="s">
        <v>90</v>
      </c>
      <c r="N92" t="s">
        <v>575</v>
      </c>
      <c r="O92">
        <v>4004178</v>
      </c>
      <c r="P92" t="s">
        <v>92</v>
      </c>
      <c r="Q92" t="s">
        <v>93</v>
      </c>
      <c r="R92" t="s">
        <v>576</v>
      </c>
      <c r="S92" t="s">
        <v>577</v>
      </c>
      <c r="V92" t="s">
        <v>578</v>
      </c>
      <c r="W92" t="s">
        <v>579</v>
      </c>
      <c r="X92" t="s">
        <v>580</v>
      </c>
      <c r="Y92" t="s">
        <v>99</v>
      </c>
      <c r="AA92" t="s">
        <v>575</v>
      </c>
      <c r="AB92" t="s">
        <v>576</v>
      </c>
      <c r="AC92" t="s">
        <v>577</v>
      </c>
      <c r="AD92" t="s">
        <v>581</v>
      </c>
      <c r="AH92" t="s">
        <v>582</v>
      </c>
      <c r="AI92">
        <v>1593</v>
      </c>
      <c r="AK92">
        <v>0</v>
      </c>
      <c r="AL92" s="1">
        <v>45934</v>
      </c>
      <c r="AM92">
        <v>76</v>
      </c>
      <c r="AN92">
        <v>1902165</v>
      </c>
      <c r="AP92" s="1">
        <v>45936</v>
      </c>
      <c r="AQ92">
        <v>38</v>
      </c>
      <c r="AR92">
        <v>1902350</v>
      </c>
      <c r="AT92" s="1">
        <v>45970</v>
      </c>
      <c r="AU92">
        <v>76</v>
      </c>
      <c r="AV92">
        <v>1907318</v>
      </c>
      <c r="AX92" s="1">
        <v>45970</v>
      </c>
      <c r="AY92">
        <v>38</v>
      </c>
      <c r="AZ92">
        <v>1907319</v>
      </c>
      <c r="BB92" s="1">
        <v>46004</v>
      </c>
      <c r="BC92">
        <v>76</v>
      </c>
      <c r="BD92">
        <v>1912399</v>
      </c>
      <c r="BF92" s="1">
        <v>46004</v>
      </c>
      <c r="BG92">
        <v>38</v>
      </c>
      <c r="BH92">
        <v>1912400</v>
      </c>
      <c r="BJ92" s="1">
        <v>46004</v>
      </c>
      <c r="BK92">
        <v>50</v>
      </c>
      <c r="BL92">
        <v>1912401</v>
      </c>
      <c r="BN92" s="1">
        <v>46004</v>
      </c>
      <c r="BO92">
        <v>50</v>
      </c>
      <c r="BP92">
        <v>1912402</v>
      </c>
      <c r="BR92" s="1">
        <v>46004</v>
      </c>
      <c r="BS92">
        <v>50</v>
      </c>
      <c r="BT92">
        <v>1912403</v>
      </c>
      <c r="CH92">
        <v>186612023</v>
      </c>
    </row>
    <row r="93" spans="1:86" x14ac:dyDescent="0.25">
      <c r="A93">
        <v>571931</v>
      </c>
      <c r="B93">
        <v>102</v>
      </c>
      <c r="C93">
        <v>300988</v>
      </c>
      <c r="D93">
        <v>1</v>
      </c>
      <c r="E93">
        <v>1</v>
      </c>
      <c r="F93">
        <v>240071</v>
      </c>
      <c r="G93">
        <v>240071</v>
      </c>
      <c r="H93" t="s">
        <v>90</v>
      </c>
      <c r="N93" t="s">
        <v>583</v>
      </c>
      <c r="O93">
        <v>4004179</v>
      </c>
      <c r="P93" t="s">
        <v>92</v>
      </c>
      <c r="Q93" t="s">
        <v>93</v>
      </c>
      <c r="R93" t="s">
        <v>584</v>
      </c>
      <c r="S93" t="s">
        <v>585</v>
      </c>
      <c r="V93" t="s">
        <v>586</v>
      </c>
      <c r="W93" t="s">
        <v>579</v>
      </c>
      <c r="X93" t="s">
        <v>587</v>
      </c>
      <c r="Y93" t="s">
        <v>99</v>
      </c>
      <c r="AA93" t="s">
        <v>583</v>
      </c>
      <c r="AB93" t="s">
        <v>584</v>
      </c>
      <c r="AC93" t="s">
        <v>585</v>
      </c>
      <c r="AD93" t="s">
        <v>588</v>
      </c>
      <c r="AH93" t="s">
        <v>589</v>
      </c>
      <c r="AI93">
        <v>4127</v>
      </c>
      <c r="AK93">
        <v>0</v>
      </c>
      <c r="AL93" s="1">
        <v>45700</v>
      </c>
      <c r="AM93">
        <v>88</v>
      </c>
      <c r="AN93">
        <v>1866470</v>
      </c>
      <c r="AP93" s="1">
        <v>45721</v>
      </c>
      <c r="AQ93">
        <v>643</v>
      </c>
      <c r="AR93">
        <v>1869825</v>
      </c>
      <c r="AT93" s="1">
        <v>45749</v>
      </c>
      <c r="AU93">
        <v>488</v>
      </c>
      <c r="AV93">
        <v>1873698</v>
      </c>
      <c r="AX93" s="1">
        <v>45770</v>
      </c>
      <c r="AY93">
        <v>553</v>
      </c>
      <c r="AZ93">
        <v>1878455</v>
      </c>
      <c r="BB93" s="1">
        <v>45807</v>
      </c>
      <c r="BC93">
        <v>288</v>
      </c>
      <c r="BD93">
        <v>1883394</v>
      </c>
      <c r="BF93" s="1">
        <v>45841</v>
      </c>
      <c r="BG93">
        <v>288</v>
      </c>
      <c r="BH93">
        <v>1888719</v>
      </c>
      <c r="BJ93" s="1">
        <v>45869</v>
      </c>
      <c r="BK93">
        <v>362</v>
      </c>
      <c r="BL93">
        <v>1893024</v>
      </c>
      <c r="BN93" s="1">
        <v>45896</v>
      </c>
      <c r="BO93">
        <v>763</v>
      </c>
      <c r="BP93">
        <v>1896327</v>
      </c>
      <c r="BR93" s="1">
        <v>45933</v>
      </c>
      <c r="BS93">
        <v>88</v>
      </c>
      <c r="BT93">
        <v>1902363</v>
      </c>
      <c r="BV93" s="1">
        <v>45961</v>
      </c>
      <c r="BW93">
        <v>128</v>
      </c>
      <c r="BX93">
        <v>1906733</v>
      </c>
      <c r="BZ93" s="1">
        <v>45996</v>
      </c>
      <c r="CA93">
        <v>438</v>
      </c>
      <c r="CB93">
        <v>1912183</v>
      </c>
      <c r="CH93">
        <v>186122420</v>
      </c>
    </row>
    <row r="94" spans="1:86" x14ac:dyDescent="0.25">
      <c r="A94">
        <v>571932</v>
      </c>
      <c r="B94">
        <v>102</v>
      </c>
      <c r="C94">
        <v>300989</v>
      </c>
      <c r="D94">
        <v>1</v>
      </c>
      <c r="E94">
        <v>1</v>
      </c>
      <c r="F94">
        <v>240121</v>
      </c>
      <c r="G94">
        <v>240121</v>
      </c>
      <c r="H94" t="s">
        <v>90</v>
      </c>
      <c r="N94" t="s">
        <v>590</v>
      </c>
      <c r="O94">
        <v>240121</v>
      </c>
      <c r="P94" t="s">
        <v>92</v>
      </c>
      <c r="Q94" t="s">
        <v>93</v>
      </c>
      <c r="R94" t="s">
        <v>591</v>
      </c>
      <c r="V94" t="s">
        <v>592</v>
      </c>
      <c r="W94" t="s">
        <v>593</v>
      </c>
      <c r="X94" t="s">
        <v>594</v>
      </c>
      <c r="Y94" t="s">
        <v>99</v>
      </c>
      <c r="AA94" t="s">
        <v>590</v>
      </c>
      <c r="AB94" t="s">
        <v>591</v>
      </c>
      <c r="AC94" t="s">
        <v>595</v>
      </c>
      <c r="AH94" t="s">
        <v>596</v>
      </c>
      <c r="AI94">
        <v>304</v>
      </c>
      <c r="AK94">
        <v>0</v>
      </c>
      <c r="AL94" s="1">
        <v>45667</v>
      </c>
      <c r="AM94">
        <v>38</v>
      </c>
      <c r="AN94">
        <v>1861403</v>
      </c>
      <c r="AP94" s="1">
        <v>45744</v>
      </c>
      <c r="AQ94">
        <v>38</v>
      </c>
      <c r="AR94">
        <v>1873454</v>
      </c>
      <c r="AT94" s="1">
        <v>45782</v>
      </c>
      <c r="AU94">
        <v>38</v>
      </c>
      <c r="AV94">
        <v>1879241</v>
      </c>
      <c r="AX94" s="1">
        <v>45814</v>
      </c>
      <c r="AY94">
        <v>38</v>
      </c>
      <c r="AZ94">
        <v>1884100</v>
      </c>
      <c r="BB94" s="1">
        <v>45861</v>
      </c>
      <c r="BC94">
        <v>38</v>
      </c>
      <c r="BD94">
        <v>1891002</v>
      </c>
      <c r="BF94" s="1">
        <v>45889</v>
      </c>
      <c r="BG94">
        <v>38</v>
      </c>
      <c r="BH94">
        <v>1895319</v>
      </c>
      <c r="BJ94" s="1">
        <v>45951</v>
      </c>
      <c r="BK94">
        <v>38</v>
      </c>
      <c r="BL94">
        <v>1905254</v>
      </c>
      <c r="BN94" s="1">
        <v>45993</v>
      </c>
      <c r="BO94">
        <v>38</v>
      </c>
      <c r="BP94">
        <v>1911866</v>
      </c>
      <c r="CH94">
        <v>78450240</v>
      </c>
    </row>
    <row r="95" spans="1:86" x14ac:dyDescent="0.25">
      <c r="A95">
        <v>571933</v>
      </c>
      <c r="B95">
        <v>102</v>
      </c>
      <c r="C95">
        <v>300990</v>
      </c>
      <c r="D95">
        <v>1</v>
      </c>
      <c r="E95">
        <v>1</v>
      </c>
      <c r="F95">
        <v>240260</v>
      </c>
      <c r="G95">
        <v>240260</v>
      </c>
      <c r="H95" t="s">
        <v>90</v>
      </c>
      <c r="N95" t="s">
        <v>597</v>
      </c>
      <c r="O95">
        <v>240260</v>
      </c>
      <c r="P95" t="s">
        <v>92</v>
      </c>
      <c r="Q95" t="s">
        <v>93</v>
      </c>
      <c r="R95" t="s">
        <v>598</v>
      </c>
      <c r="V95" t="s">
        <v>599</v>
      </c>
      <c r="W95" t="s">
        <v>124</v>
      </c>
      <c r="X95">
        <v>12454</v>
      </c>
      <c r="Y95" t="s">
        <v>99</v>
      </c>
      <c r="AA95" t="s">
        <v>597</v>
      </c>
      <c r="AB95" t="s">
        <v>598</v>
      </c>
      <c r="AC95" t="s">
        <v>600</v>
      </c>
      <c r="AI95">
        <v>456</v>
      </c>
      <c r="AK95">
        <v>0</v>
      </c>
      <c r="AL95" s="1">
        <v>45672</v>
      </c>
      <c r="AM95">
        <v>38</v>
      </c>
      <c r="AN95">
        <v>1862053</v>
      </c>
      <c r="AP95" s="1">
        <v>45712</v>
      </c>
      <c r="AQ95">
        <v>38</v>
      </c>
      <c r="AR95">
        <v>1867378</v>
      </c>
      <c r="AT95" s="1">
        <v>45733</v>
      </c>
      <c r="AU95">
        <v>38</v>
      </c>
      <c r="AV95">
        <v>1871004</v>
      </c>
      <c r="AX95" s="1">
        <v>45764</v>
      </c>
      <c r="AY95">
        <v>38</v>
      </c>
      <c r="AZ95">
        <v>1876521</v>
      </c>
      <c r="BB95" s="1">
        <v>45791</v>
      </c>
      <c r="BC95">
        <v>38</v>
      </c>
      <c r="BD95">
        <v>1881863</v>
      </c>
      <c r="BF95" s="1">
        <v>45824</v>
      </c>
      <c r="BG95">
        <v>38</v>
      </c>
      <c r="BH95">
        <v>1885307</v>
      </c>
      <c r="BJ95" s="1">
        <v>45854</v>
      </c>
      <c r="BK95">
        <v>38</v>
      </c>
      <c r="BL95">
        <v>1890682</v>
      </c>
      <c r="BN95" s="1">
        <v>45887</v>
      </c>
      <c r="BO95">
        <v>38</v>
      </c>
      <c r="BP95">
        <v>1895162</v>
      </c>
      <c r="BR95" s="1">
        <v>45916</v>
      </c>
      <c r="BS95">
        <v>38</v>
      </c>
      <c r="BT95">
        <v>1899637</v>
      </c>
      <c r="BV95" s="1">
        <v>45947</v>
      </c>
      <c r="BW95">
        <v>38</v>
      </c>
      <c r="BX95">
        <v>1905016</v>
      </c>
      <c r="BZ95" s="1">
        <v>45979</v>
      </c>
      <c r="CA95">
        <v>38</v>
      </c>
      <c r="CB95">
        <v>1910238</v>
      </c>
      <c r="CD95" s="1">
        <v>46010</v>
      </c>
      <c r="CE95">
        <v>38</v>
      </c>
      <c r="CF95">
        <v>1916117</v>
      </c>
      <c r="CH95">
        <v>12454</v>
      </c>
    </row>
    <row r="96" spans="1:86" x14ac:dyDescent="0.25">
      <c r="A96">
        <v>571934</v>
      </c>
      <c r="B96">
        <v>102</v>
      </c>
      <c r="C96">
        <v>300991</v>
      </c>
      <c r="D96">
        <v>1</v>
      </c>
      <c r="E96">
        <v>1</v>
      </c>
      <c r="F96">
        <v>240351</v>
      </c>
      <c r="G96">
        <v>240351</v>
      </c>
      <c r="H96" t="s">
        <v>90</v>
      </c>
      <c r="N96" t="s">
        <v>601</v>
      </c>
      <c r="O96">
        <v>240351</v>
      </c>
      <c r="P96" t="s">
        <v>92</v>
      </c>
      <c r="Q96" t="s">
        <v>93</v>
      </c>
      <c r="R96" t="s">
        <v>602</v>
      </c>
      <c r="V96" t="s">
        <v>603</v>
      </c>
      <c r="W96" t="s">
        <v>579</v>
      </c>
      <c r="X96" t="s">
        <v>604</v>
      </c>
      <c r="Y96" t="s">
        <v>99</v>
      </c>
      <c r="AA96" t="s">
        <v>601</v>
      </c>
      <c r="AB96" t="s">
        <v>602</v>
      </c>
      <c r="AC96" t="s">
        <v>605</v>
      </c>
      <c r="AI96">
        <v>456</v>
      </c>
      <c r="AK96">
        <v>0</v>
      </c>
      <c r="AL96" s="1">
        <v>45698</v>
      </c>
      <c r="AM96">
        <v>38</v>
      </c>
      <c r="AN96">
        <v>1865031</v>
      </c>
      <c r="AP96" s="1">
        <v>45719</v>
      </c>
      <c r="AQ96">
        <v>38</v>
      </c>
      <c r="AR96">
        <v>1869102</v>
      </c>
      <c r="AT96" s="1">
        <v>45744</v>
      </c>
      <c r="AU96">
        <v>38</v>
      </c>
      <c r="AV96">
        <v>1873438</v>
      </c>
      <c r="AX96" s="1">
        <v>45782</v>
      </c>
      <c r="AY96">
        <v>38</v>
      </c>
      <c r="AZ96">
        <v>1879260</v>
      </c>
      <c r="BB96" s="1">
        <v>45812</v>
      </c>
      <c r="BC96">
        <v>38</v>
      </c>
      <c r="BD96">
        <v>1883866</v>
      </c>
      <c r="BF96" s="1">
        <v>45841</v>
      </c>
      <c r="BG96">
        <v>38</v>
      </c>
      <c r="BH96">
        <v>1888823</v>
      </c>
      <c r="BJ96" s="1">
        <v>45873</v>
      </c>
      <c r="BK96">
        <v>38</v>
      </c>
      <c r="BL96">
        <v>1893274</v>
      </c>
      <c r="BN96" s="1">
        <v>45902</v>
      </c>
      <c r="BO96">
        <v>38</v>
      </c>
      <c r="BP96">
        <v>1897552</v>
      </c>
      <c r="BR96" s="1">
        <v>45930</v>
      </c>
      <c r="BS96">
        <v>38</v>
      </c>
      <c r="BT96">
        <v>1901939</v>
      </c>
      <c r="BV96" s="1">
        <v>45961</v>
      </c>
      <c r="BW96">
        <v>38</v>
      </c>
      <c r="BX96">
        <v>1906794</v>
      </c>
      <c r="BZ96" s="1">
        <v>45993</v>
      </c>
      <c r="CA96">
        <v>38</v>
      </c>
      <c r="CB96">
        <v>1911883</v>
      </c>
      <c r="CD96" s="1">
        <v>46021</v>
      </c>
      <c r="CE96">
        <v>38</v>
      </c>
      <c r="CF96">
        <v>1916613</v>
      </c>
      <c r="CH96">
        <v>184590035</v>
      </c>
    </row>
    <row r="97" spans="1:86" x14ac:dyDescent="0.25">
      <c r="A97">
        <v>571935</v>
      </c>
      <c r="B97">
        <v>102</v>
      </c>
      <c r="C97">
        <v>300992</v>
      </c>
      <c r="D97">
        <v>1</v>
      </c>
      <c r="E97">
        <v>1</v>
      </c>
      <c r="F97">
        <v>240396</v>
      </c>
      <c r="G97">
        <v>240396</v>
      </c>
      <c r="H97" t="s">
        <v>90</v>
      </c>
      <c r="N97" t="s">
        <v>606</v>
      </c>
      <c r="O97">
        <v>4004181</v>
      </c>
      <c r="P97" t="s">
        <v>92</v>
      </c>
      <c r="Q97" t="s">
        <v>93</v>
      </c>
      <c r="R97" t="s">
        <v>607</v>
      </c>
      <c r="S97" t="s">
        <v>608</v>
      </c>
      <c r="V97" t="s">
        <v>609</v>
      </c>
      <c r="W97" t="s">
        <v>124</v>
      </c>
      <c r="X97">
        <v>13856</v>
      </c>
      <c r="Y97" t="s">
        <v>99</v>
      </c>
      <c r="AA97" t="s">
        <v>606</v>
      </c>
      <c r="AB97" t="s">
        <v>607</v>
      </c>
      <c r="AC97" t="s">
        <v>608</v>
      </c>
      <c r="AD97" t="s">
        <v>610</v>
      </c>
      <c r="AH97" t="s">
        <v>611</v>
      </c>
      <c r="AI97">
        <v>1476</v>
      </c>
      <c r="AK97">
        <v>0</v>
      </c>
      <c r="AL97" s="1">
        <v>45691</v>
      </c>
      <c r="AM97">
        <v>114</v>
      </c>
      <c r="AN97">
        <v>1864236</v>
      </c>
      <c r="AP97" s="1">
        <v>45804</v>
      </c>
      <c r="AQ97">
        <v>114</v>
      </c>
      <c r="AR97">
        <v>1883319</v>
      </c>
      <c r="AT97" s="1">
        <v>45898</v>
      </c>
      <c r="AU97">
        <v>114</v>
      </c>
      <c r="AV97">
        <v>1897333</v>
      </c>
      <c r="AX97" s="1">
        <v>45993</v>
      </c>
      <c r="AY97">
        <v>134</v>
      </c>
      <c r="AZ97">
        <v>1911836</v>
      </c>
      <c r="BB97" s="1">
        <v>46021</v>
      </c>
      <c r="BC97">
        <v>500</v>
      </c>
      <c r="BD97">
        <v>1917269</v>
      </c>
      <c r="BF97" s="1">
        <v>46021</v>
      </c>
      <c r="BG97">
        <v>500</v>
      </c>
      <c r="BH97">
        <v>1919400</v>
      </c>
      <c r="CH97">
        <v>13856</v>
      </c>
    </row>
    <row r="98" spans="1:86" x14ac:dyDescent="0.25">
      <c r="A98">
        <v>571936</v>
      </c>
      <c r="B98">
        <v>102</v>
      </c>
      <c r="C98">
        <v>300993</v>
      </c>
      <c r="D98">
        <v>1</v>
      </c>
      <c r="E98">
        <v>1</v>
      </c>
      <c r="F98">
        <v>240400</v>
      </c>
      <c r="G98">
        <v>240400</v>
      </c>
      <c r="H98" t="s">
        <v>90</v>
      </c>
      <c r="N98" t="s">
        <v>612</v>
      </c>
      <c r="O98">
        <v>240400</v>
      </c>
      <c r="P98" t="s">
        <v>92</v>
      </c>
      <c r="Q98" t="s">
        <v>93</v>
      </c>
      <c r="R98" t="s">
        <v>613</v>
      </c>
      <c r="V98" t="s">
        <v>614</v>
      </c>
      <c r="W98" t="s">
        <v>579</v>
      </c>
      <c r="X98">
        <v>18471</v>
      </c>
      <c r="Y98" t="s">
        <v>99</v>
      </c>
      <c r="AA98" t="s">
        <v>612</v>
      </c>
      <c r="AB98" t="s">
        <v>613</v>
      </c>
      <c r="AC98" t="s">
        <v>615</v>
      </c>
      <c r="AI98">
        <v>720</v>
      </c>
      <c r="AK98">
        <v>0</v>
      </c>
      <c r="AL98" s="1">
        <v>45688</v>
      </c>
      <c r="AM98">
        <v>60</v>
      </c>
      <c r="AN98">
        <v>1864070</v>
      </c>
      <c r="AP98" s="1">
        <v>45721</v>
      </c>
      <c r="AQ98">
        <v>60</v>
      </c>
      <c r="AR98">
        <v>1869882</v>
      </c>
      <c r="AT98" s="1">
        <v>45744</v>
      </c>
      <c r="AU98">
        <v>60</v>
      </c>
      <c r="AV98">
        <v>1873265</v>
      </c>
      <c r="AX98" s="1">
        <v>45786</v>
      </c>
      <c r="AY98">
        <v>60</v>
      </c>
      <c r="AZ98">
        <v>1880346</v>
      </c>
      <c r="BB98" s="1">
        <v>45812</v>
      </c>
      <c r="BC98">
        <v>60</v>
      </c>
      <c r="BD98">
        <v>1883894</v>
      </c>
      <c r="BF98" s="1">
        <v>45838</v>
      </c>
      <c r="BG98">
        <v>60</v>
      </c>
      <c r="BH98">
        <v>1887954</v>
      </c>
      <c r="BJ98" s="1">
        <v>45873</v>
      </c>
      <c r="BK98">
        <v>60</v>
      </c>
      <c r="BL98">
        <v>1893295</v>
      </c>
      <c r="BN98" s="1">
        <v>45898</v>
      </c>
      <c r="BO98">
        <v>60</v>
      </c>
      <c r="BP98">
        <v>1897372</v>
      </c>
      <c r="BR98" s="1">
        <v>45930</v>
      </c>
      <c r="BS98">
        <v>60</v>
      </c>
      <c r="BT98">
        <v>1901981</v>
      </c>
      <c r="BV98" s="1">
        <v>45958</v>
      </c>
      <c r="BW98">
        <v>60</v>
      </c>
      <c r="BX98">
        <v>1906713</v>
      </c>
      <c r="BZ98" s="1">
        <v>45993</v>
      </c>
      <c r="CA98">
        <v>60</v>
      </c>
      <c r="CB98">
        <v>1911893</v>
      </c>
      <c r="CD98" s="1">
        <v>46021</v>
      </c>
      <c r="CE98">
        <v>60</v>
      </c>
      <c r="CF98">
        <v>1916681</v>
      </c>
      <c r="CH98">
        <v>18471</v>
      </c>
    </row>
    <row r="99" spans="1:86" x14ac:dyDescent="0.25">
      <c r="A99">
        <v>571937</v>
      </c>
      <c r="B99">
        <v>102</v>
      </c>
      <c r="C99">
        <v>300994</v>
      </c>
      <c r="D99">
        <v>1</v>
      </c>
      <c r="E99">
        <v>1</v>
      </c>
      <c r="F99">
        <v>240409</v>
      </c>
      <c r="G99">
        <v>240409</v>
      </c>
      <c r="H99" t="s">
        <v>90</v>
      </c>
      <c r="N99" t="s">
        <v>616</v>
      </c>
      <c r="O99">
        <v>4004182</v>
      </c>
      <c r="P99" t="s">
        <v>92</v>
      </c>
      <c r="Q99" t="s">
        <v>93</v>
      </c>
      <c r="R99" t="s">
        <v>617</v>
      </c>
      <c r="S99" t="s">
        <v>618</v>
      </c>
      <c r="V99" t="s">
        <v>619</v>
      </c>
      <c r="W99" t="s">
        <v>579</v>
      </c>
      <c r="X99">
        <v>18447</v>
      </c>
      <c r="Y99" t="s">
        <v>99</v>
      </c>
      <c r="AA99" t="s">
        <v>620</v>
      </c>
      <c r="AB99" t="s">
        <v>617</v>
      </c>
      <c r="AC99" t="s">
        <v>618</v>
      </c>
      <c r="AD99" t="s">
        <v>621</v>
      </c>
      <c r="AI99">
        <v>516</v>
      </c>
      <c r="AK99">
        <v>0</v>
      </c>
      <c r="AL99" s="1">
        <v>45712</v>
      </c>
      <c r="AM99">
        <v>43</v>
      </c>
      <c r="AN99">
        <v>1867293</v>
      </c>
      <c r="AP99" s="1">
        <v>45758</v>
      </c>
      <c r="AQ99">
        <v>43</v>
      </c>
      <c r="AR99">
        <v>1875208</v>
      </c>
      <c r="AT99" s="1">
        <v>45796</v>
      </c>
      <c r="AU99">
        <v>43</v>
      </c>
      <c r="AV99">
        <v>1882378</v>
      </c>
      <c r="AX99" s="1">
        <v>45826</v>
      </c>
      <c r="AY99">
        <v>86</v>
      </c>
      <c r="AZ99">
        <v>1886480</v>
      </c>
      <c r="BB99" s="1">
        <v>45887</v>
      </c>
      <c r="BC99">
        <v>86</v>
      </c>
      <c r="BD99">
        <v>1895045</v>
      </c>
      <c r="BF99" s="1">
        <v>45905</v>
      </c>
      <c r="BG99">
        <v>43</v>
      </c>
      <c r="BH99">
        <v>1897894</v>
      </c>
      <c r="BJ99" s="1">
        <v>45919</v>
      </c>
      <c r="BK99">
        <v>43</v>
      </c>
      <c r="BL99">
        <v>1899941</v>
      </c>
      <c r="BN99" s="1">
        <v>45951</v>
      </c>
      <c r="BO99">
        <v>43</v>
      </c>
      <c r="BP99">
        <v>1905097</v>
      </c>
      <c r="BR99" s="1">
        <v>45975</v>
      </c>
      <c r="BS99">
        <v>43</v>
      </c>
      <c r="BT99">
        <v>1909273</v>
      </c>
      <c r="BV99" s="1">
        <v>46021</v>
      </c>
      <c r="BW99">
        <v>43</v>
      </c>
      <c r="BX99">
        <v>1916822</v>
      </c>
      <c r="CH99">
        <v>18447</v>
      </c>
    </row>
    <row r="100" spans="1:86" x14ac:dyDescent="0.25">
      <c r="A100">
        <v>571938</v>
      </c>
      <c r="B100">
        <v>102</v>
      </c>
      <c r="C100">
        <v>300995</v>
      </c>
      <c r="D100">
        <v>1</v>
      </c>
      <c r="E100">
        <v>1</v>
      </c>
      <c r="F100">
        <v>250026</v>
      </c>
      <c r="G100">
        <v>250026</v>
      </c>
      <c r="H100" t="s">
        <v>90</v>
      </c>
      <c r="N100" t="s">
        <v>622</v>
      </c>
      <c r="O100">
        <v>4004183</v>
      </c>
      <c r="P100" t="s">
        <v>92</v>
      </c>
      <c r="Q100" t="s">
        <v>93</v>
      </c>
      <c r="R100" t="s">
        <v>623</v>
      </c>
      <c r="S100" t="s">
        <v>624</v>
      </c>
      <c r="V100" t="s">
        <v>625</v>
      </c>
      <c r="W100" t="s">
        <v>212</v>
      </c>
      <c r="X100">
        <v>48809</v>
      </c>
      <c r="Y100" t="s">
        <v>99</v>
      </c>
      <c r="AA100" t="s">
        <v>622</v>
      </c>
      <c r="AB100" t="s">
        <v>623</v>
      </c>
      <c r="AC100" t="s">
        <v>624</v>
      </c>
      <c r="AD100" t="s">
        <v>626</v>
      </c>
      <c r="AH100" t="s">
        <v>627</v>
      </c>
      <c r="AI100">
        <v>456</v>
      </c>
      <c r="AK100">
        <v>0</v>
      </c>
      <c r="AL100" s="1">
        <v>45658</v>
      </c>
      <c r="AM100">
        <v>38</v>
      </c>
      <c r="AN100">
        <v>1858482</v>
      </c>
      <c r="AP100" s="1">
        <v>45689</v>
      </c>
      <c r="AQ100">
        <v>38</v>
      </c>
      <c r="AR100">
        <v>1863651</v>
      </c>
      <c r="AT100" s="1">
        <v>45717</v>
      </c>
      <c r="AU100">
        <v>38</v>
      </c>
      <c r="AV100">
        <v>1868431</v>
      </c>
      <c r="AX100" s="1">
        <v>45748</v>
      </c>
      <c r="AY100">
        <v>38</v>
      </c>
      <c r="AZ100">
        <v>1873012</v>
      </c>
      <c r="BB100" s="1">
        <v>45778</v>
      </c>
      <c r="BC100">
        <v>38</v>
      </c>
      <c r="BD100">
        <v>1878252</v>
      </c>
      <c r="BF100" s="1">
        <v>45809</v>
      </c>
      <c r="BG100">
        <v>38</v>
      </c>
      <c r="BH100">
        <v>1882990</v>
      </c>
      <c r="BJ100" s="1">
        <v>45839</v>
      </c>
      <c r="BK100">
        <v>38</v>
      </c>
      <c r="BL100">
        <v>1887526</v>
      </c>
      <c r="BN100" s="1">
        <v>45870</v>
      </c>
      <c r="BO100">
        <v>38</v>
      </c>
      <c r="BP100">
        <v>1892453</v>
      </c>
      <c r="BR100" s="1">
        <v>45901</v>
      </c>
      <c r="BS100">
        <v>38</v>
      </c>
      <c r="BT100">
        <v>1896956</v>
      </c>
      <c r="BV100" s="1">
        <v>45931</v>
      </c>
      <c r="BW100">
        <v>38</v>
      </c>
      <c r="BX100">
        <v>1901560</v>
      </c>
      <c r="BZ100" s="1">
        <v>45962</v>
      </c>
      <c r="CA100">
        <v>38</v>
      </c>
      <c r="CB100">
        <v>1906110</v>
      </c>
      <c r="CD100" s="1">
        <v>45992</v>
      </c>
      <c r="CE100">
        <v>38</v>
      </c>
      <c r="CF100">
        <v>1910792</v>
      </c>
      <c r="CH100">
        <v>48809</v>
      </c>
    </row>
    <row r="101" spans="1:86" x14ac:dyDescent="0.25">
      <c r="A101">
        <v>571939</v>
      </c>
      <c r="B101">
        <v>102</v>
      </c>
      <c r="C101">
        <v>300996</v>
      </c>
      <c r="D101">
        <v>1</v>
      </c>
      <c r="E101">
        <v>1</v>
      </c>
      <c r="F101">
        <v>250076</v>
      </c>
      <c r="G101">
        <v>250076</v>
      </c>
      <c r="H101" t="s">
        <v>90</v>
      </c>
      <c r="N101" t="s">
        <v>628</v>
      </c>
      <c r="O101">
        <v>4004184</v>
      </c>
      <c r="P101" t="s">
        <v>92</v>
      </c>
      <c r="Q101" t="s">
        <v>93</v>
      </c>
      <c r="R101" t="s">
        <v>629</v>
      </c>
      <c r="S101" t="s">
        <v>630</v>
      </c>
      <c r="V101" t="s">
        <v>631</v>
      </c>
      <c r="W101" t="s">
        <v>212</v>
      </c>
      <c r="X101" t="s">
        <v>632</v>
      </c>
      <c r="Y101" t="s">
        <v>99</v>
      </c>
      <c r="AA101" t="s">
        <v>628</v>
      </c>
      <c r="AB101" t="s">
        <v>629</v>
      </c>
      <c r="AC101" t="s">
        <v>630</v>
      </c>
      <c r="AD101" t="s">
        <v>633</v>
      </c>
      <c r="AH101" t="s">
        <v>634</v>
      </c>
      <c r="AI101">
        <v>506</v>
      </c>
      <c r="AK101">
        <v>0</v>
      </c>
      <c r="AL101" s="1">
        <v>45681</v>
      </c>
      <c r="AM101">
        <v>38</v>
      </c>
      <c r="AN101">
        <v>1862627</v>
      </c>
      <c r="AP101" s="1">
        <v>45707</v>
      </c>
      <c r="AQ101">
        <v>38</v>
      </c>
      <c r="AR101">
        <v>1866789</v>
      </c>
      <c r="AT101" s="1">
        <v>45744</v>
      </c>
      <c r="AU101">
        <v>38</v>
      </c>
      <c r="AV101">
        <v>1873255</v>
      </c>
      <c r="AX101" s="1">
        <v>45772</v>
      </c>
      <c r="AY101">
        <v>38</v>
      </c>
      <c r="AZ101">
        <v>1878524</v>
      </c>
      <c r="BB101" s="1">
        <v>45791</v>
      </c>
      <c r="BC101">
        <v>38</v>
      </c>
      <c r="BD101">
        <v>1881837</v>
      </c>
      <c r="BF101" s="1">
        <v>45807</v>
      </c>
      <c r="BG101">
        <v>38</v>
      </c>
      <c r="BH101">
        <v>1883419</v>
      </c>
      <c r="BJ101" s="1">
        <v>45852</v>
      </c>
      <c r="BK101">
        <v>63</v>
      </c>
      <c r="BL101">
        <v>1890225</v>
      </c>
      <c r="BN101" s="1">
        <v>45877</v>
      </c>
      <c r="BO101">
        <v>38</v>
      </c>
      <c r="BP101">
        <v>1893735</v>
      </c>
      <c r="BR101" s="1">
        <v>45909</v>
      </c>
      <c r="BS101">
        <v>38</v>
      </c>
      <c r="BT101">
        <v>1898257</v>
      </c>
      <c r="BV101" s="1">
        <v>45923</v>
      </c>
      <c r="BW101">
        <v>38</v>
      </c>
      <c r="BX101">
        <v>1900337</v>
      </c>
      <c r="BZ101" s="1">
        <v>45958</v>
      </c>
      <c r="CA101">
        <v>38</v>
      </c>
      <c r="CB101">
        <v>1906660</v>
      </c>
      <c r="CD101" s="1">
        <v>46003</v>
      </c>
      <c r="CE101">
        <v>63</v>
      </c>
      <c r="CF101">
        <v>1913114</v>
      </c>
      <c r="CH101">
        <v>496639325</v>
      </c>
    </row>
    <row r="102" spans="1:86" x14ac:dyDescent="0.25">
      <c r="A102">
        <v>571940</v>
      </c>
      <c r="B102">
        <v>102</v>
      </c>
      <c r="C102">
        <v>300997</v>
      </c>
      <c r="D102">
        <v>1</v>
      </c>
      <c r="E102">
        <v>1</v>
      </c>
      <c r="F102">
        <v>250095</v>
      </c>
      <c r="G102">
        <v>250095</v>
      </c>
      <c r="H102" t="s">
        <v>90</v>
      </c>
      <c r="N102" t="s">
        <v>635</v>
      </c>
      <c r="O102">
        <v>250095</v>
      </c>
      <c r="P102" t="s">
        <v>92</v>
      </c>
      <c r="Q102" t="s">
        <v>93</v>
      </c>
      <c r="R102" t="s">
        <v>636</v>
      </c>
      <c r="V102" t="s">
        <v>637</v>
      </c>
      <c r="W102" t="s">
        <v>212</v>
      </c>
      <c r="X102" t="s">
        <v>638</v>
      </c>
      <c r="Y102" t="s">
        <v>99</v>
      </c>
      <c r="AA102" t="s">
        <v>635</v>
      </c>
      <c r="AB102" t="s">
        <v>636</v>
      </c>
      <c r="AC102" t="s">
        <v>639</v>
      </c>
      <c r="AH102" t="s">
        <v>640</v>
      </c>
      <c r="AI102">
        <v>456</v>
      </c>
      <c r="AK102">
        <v>0</v>
      </c>
      <c r="AL102" s="1">
        <v>45692</v>
      </c>
      <c r="AM102">
        <v>456</v>
      </c>
      <c r="AN102">
        <v>1864225</v>
      </c>
      <c r="CH102">
        <v>493198594</v>
      </c>
    </row>
    <row r="103" spans="1:86" x14ac:dyDescent="0.25">
      <c r="A103">
        <v>571941</v>
      </c>
      <c r="B103">
        <v>102</v>
      </c>
      <c r="C103">
        <v>300998</v>
      </c>
      <c r="D103">
        <v>1</v>
      </c>
      <c r="E103">
        <v>1</v>
      </c>
      <c r="F103">
        <v>250236</v>
      </c>
      <c r="G103">
        <v>250236</v>
      </c>
      <c r="H103" t="s">
        <v>90</v>
      </c>
      <c r="N103" t="s">
        <v>641</v>
      </c>
      <c r="O103">
        <v>250236</v>
      </c>
      <c r="P103" t="s">
        <v>92</v>
      </c>
      <c r="Q103" t="s">
        <v>93</v>
      </c>
      <c r="R103" t="s">
        <v>642</v>
      </c>
      <c r="V103" t="s">
        <v>643</v>
      </c>
      <c r="W103" t="s">
        <v>212</v>
      </c>
      <c r="X103" t="s">
        <v>644</v>
      </c>
      <c r="Y103" t="s">
        <v>99</v>
      </c>
      <c r="AA103" t="s">
        <v>641</v>
      </c>
      <c r="AB103" t="s">
        <v>642</v>
      </c>
      <c r="AC103" t="s">
        <v>645</v>
      </c>
      <c r="AH103" t="s">
        <v>646</v>
      </c>
      <c r="AI103">
        <v>912</v>
      </c>
      <c r="AK103">
        <v>0</v>
      </c>
      <c r="AL103" s="1">
        <v>45672</v>
      </c>
      <c r="AM103">
        <v>76</v>
      </c>
      <c r="AN103">
        <v>1860519</v>
      </c>
      <c r="AP103" s="1">
        <v>45703</v>
      </c>
      <c r="AQ103">
        <v>76</v>
      </c>
      <c r="AR103">
        <v>1865610</v>
      </c>
      <c r="AT103" s="1">
        <v>45731</v>
      </c>
      <c r="AU103">
        <v>76</v>
      </c>
      <c r="AV103">
        <v>1870071</v>
      </c>
      <c r="AX103" s="1">
        <v>45762</v>
      </c>
      <c r="AY103">
        <v>76</v>
      </c>
      <c r="AZ103">
        <v>1874863</v>
      </c>
      <c r="BB103" s="1">
        <v>45792</v>
      </c>
      <c r="BC103">
        <v>76</v>
      </c>
      <c r="BD103">
        <v>1879984</v>
      </c>
      <c r="BF103" s="1">
        <v>45823</v>
      </c>
      <c r="BG103">
        <v>76</v>
      </c>
      <c r="BH103">
        <v>1884638</v>
      </c>
      <c r="BJ103" s="1">
        <v>45853</v>
      </c>
      <c r="BK103">
        <v>76</v>
      </c>
      <c r="BL103">
        <v>1889381</v>
      </c>
      <c r="BN103" s="1">
        <v>45884</v>
      </c>
      <c r="BO103">
        <v>76</v>
      </c>
      <c r="BP103">
        <v>1894193</v>
      </c>
      <c r="BR103" s="1">
        <v>45915</v>
      </c>
      <c r="BS103">
        <v>76</v>
      </c>
      <c r="BT103">
        <v>1898631</v>
      </c>
      <c r="BV103" s="1">
        <v>45945</v>
      </c>
      <c r="BW103">
        <v>76</v>
      </c>
      <c r="BX103">
        <v>1903233</v>
      </c>
      <c r="BZ103" s="1">
        <v>45976</v>
      </c>
      <c r="CA103">
        <v>76</v>
      </c>
      <c r="CB103">
        <v>1907851</v>
      </c>
      <c r="CD103" s="1">
        <v>46006</v>
      </c>
      <c r="CE103">
        <v>76</v>
      </c>
      <c r="CF103">
        <v>1912606</v>
      </c>
      <c r="CH103">
        <v>495086023</v>
      </c>
    </row>
    <row r="104" spans="1:86" x14ac:dyDescent="0.25">
      <c r="A104">
        <v>571942</v>
      </c>
      <c r="B104">
        <v>102</v>
      </c>
      <c r="C104">
        <v>300999</v>
      </c>
      <c r="D104">
        <v>1</v>
      </c>
      <c r="E104">
        <v>1</v>
      </c>
      <c r="F104">
        <v>250332</v>
      </c>
      <c r="G104">
        <v>250332</v>
      </c>
      <c r="H104" t="s">
        <v>90</v>
      </c>
      <c r="N104" t="s">
        <v>647</v>
      </c>
      <c r="O104">
        <v>4004185</v>
      </c>
      <c r="P104" t="s">
        <v>92</v>
      </c>
      <c r="Q104" t="s">
        <v>93</v>
      </c>
      <c r="R104" t="s">
        <v>648</v>
      </c>
      <c r="S104" t="s">
        <v>649</v>
      </c>
      <c r="V104" t="s">
        <v>650</v>
      </c>
      <c r="W104" t="s">
        <v>212</v>
      </c>
      <c r="X104" t="s">
        <v>651</v>
      </c>
      <c r="Y104" t="s">
        <v>99</v>
      </c>
      <c r="AA104" t="s">
        <v>647</v>
      </c>
      <c r="AB104" t="s">
        <v>648</v>
      </c>
      <c r="AC104" t="s">
        <v>649</v>
      </c>
      <c r="AD104" t="s">
        <v>652</v>
      </c>
      <c r="AI104">
        <v>912</v>
      </c>
      <c r="AK104">
        <v>0</v>
      </c>
      <c r="AL104" s="1">
        <v>45749</v>
      </c>
      <c r="AM104">
        <v>228</v>
      </c>
      <c r="AN104">
        <v>1873727</v>
      </c>
      <c r="AP104" s="1">
        <v>45831</v>
      </c>
      <c r="AQ104">
        <v>228</v>
      </c>
      <c r="AR104">
        <v>1886326</v>
      </c>
      <c r="AT104" s="1">
        <v>45916</v>
      </c>
      <c r="AU104">
        <v>152</v>
      </c>
      <c r="AV104">
        <v>1899550</v>
      </c>
      <c r="AX104" s="1">
        <v>45975</v>
      </c>
      <c r="AY104">
        <v>304</v>
      </c>
      <c r="AZ104">
        <v>1909278</v>
      </c>
      <c r="CH104">
        <v>488500350</v>
      </c>
    </row>
    <row r="105" spans="1:86" x14ac:dyDescent="0.25">
      <c r="A105">
        <v>571943</v>
      </c>
      <c r="B105">
        <v>102</v>
      </c>
      <c r="C105">
        <v>301000</v>
      </c>
      <c r="D105">
        <v>1</v>
      </c>
      <c r="E105">
        <v>2</v>
      </c>
      <c r="F105">
        <v>250350</v>
      </c>
      <c r="G105">
        <v>250350</v>
      </c>
      <c r="H105" t="s">
        <v>90</v>
      </c>
      <c r="N105" t="s">
        <v>653</v>
      </c>
      <c r="O105">
        <v>4006540</v>
      </c>
      <c r="P105" t="s">
        <v>92</v>
      </c>
      <c r="Q105" t="s">
        <v>93</v>
      </c>
      <c r="R105" t="s">
        <v>654</v>
      </c>
      <c r="S105" t="s">
        <v>655</v>
      </c>
      <c r="V105" t="s">
        <v>656</v>
      </c>
      <c r="W105" t="s">
        <v>212</v>
      </c>
      <c r="X105">
        <v>49659</v>
      </c>
      <c r="Y105" t="s">
        <v>99</v>
      </c>
      <c r="AA105" t="s">
        <v>653</v>
      </c>
      <c r="AB105" t="s">
        <v>654</v>
      </c>
      <c r="AC105" t="s">
        <v>655</v>
      </c>
      <c r="AD105" t="s">
        <v>657</v>
      </c>
      <c r="AH105" t="s">
        <v>658</v>
      </c>
      <c r="AI105">
        <v>481</v>
      </c>
      <c r="AK105">
        <v>0</v>
      </c>
      <c r="AL105" s="1">
        <v>45682</v>
      </c>
      <c r="AM105">
        <v>38</v>
      </c>
      <c r="AN105">
        <v>1862201</v>
      </c>
      <c r="AP105" s="1">
        <v>45713</v>
      </c>
      <c r="AQ105">
        <v>38</v>
      </c>
      <c r="AR105">
        <v>1866869</v>
      </c>
      <c r="AT105" s="1">
        <v>45741</v>
      </c>
      <c r="AU105">
        <v>38</v>
      </c>
      <c r="AV105">
        <v>1871658</v>
      </c>
      <c r="AX105" s="1">
        <v>45772</v>
      </c>
      <c r="AY105">
        <v>38</v>
      </c>
      <c r="AZ105">
        <v>1876719</v>
      </c>
      <c r="BB105" s="1">
        <v>45802</v>
      </c>
      <c r="BC105">
        <v>38</v>
      </c>
      <c r="BD105">
        <v>1881395</v>
      </c>
      <c r="BF105" s="1">
        <v>45833</v>
      </c>
      <c r="BG105">
        <v>38</v>
      </c>
      <c r="BH105">
        <v>1886042</v>
      </c>
      <c r="BJ105" s="1">
        <v>45863</v>
      </c>
      <c r="BK105">
        <v>38</v>
      </c>
      <c r="BL105">
        <v>1891027</v>
      </c>
      <c r="BN105" s="1">
        <v>45894</v>
      </c>
      <c r="BO105">
        <v>38</v>
      </c>
      <c r="BP105">
        <v>1895482</v>
      </c>
      <c r="BR105" s="1">
        <v>45900</v>
      </c>
      <c r="BS105">
        <v>0</v>
      </c>
      <c r="BT105">
        <v>1896471</v>
      </c>
      <c r="BU105">
        <v>0</v>
      </c>
      <c r="BV105" s="1">
        <v>45907</v>
      </c>
      <c r="BW105">
        <v>25</v>
      </c>
      <c r="BX105">
        <v>1897861</v>
      </c>
      <c r="BZ105" s="1">
        <v>45925</v>
      </c>
      <c r="CA105">
        <v>38</v>
      </c>
      <c r="CB105">
        <v>1900079</v>
      </c>
      <c r="CD105" s="1">
        <v>45955</v>
      </c>
      <c r="CE105">
        <v>38</v>
      </c>
      <c r="CF105">
        <v>1904638</v>
      </c>
      <c r="CH105">
        <v>49659</v>
      </c>
    </row>
    <row r="106" spans="1:86" x14ac:dyDescent="0.25">
      <c r="A106">
        <v>571944</v>
      </c>
      <c r="B106">
        <v>102</v>
      </c>
      <c r="C106">
        <v>301000</v>
      </c>
      <c r="D106">
        <v>2</v>
      </c>
      <c r="E106">
        <v>2</v>
      </c>
      <c r="F106">
        <v>250350</v>
      </c>
      <c r="G106">
        <v>250350</v>
      </c>
      <c r="H106" t="s">
        <v>90</v>
      </c>
      <c r="N106" t="s">
        <v>653</v>
      </c>
      <c r="O106">
        <v>4006540</v>
      </c>
      <c r="P106" t="s">
        <v>92</v>
      </c>
      <c r="Q106" t="s">
        <v>93</v>
      </c>
      <c r="R106" t="s">
        <v>654</v>
      </c>
      <c r="S106" t="s">
        <v>655</v>
      </c>
      <c r="V106" t="s">
        <v>656</v>
      </c>
      <c r="W106" t="s">
        <v>212</v>
      </c>
      <c r="X106">
        <v>49659</v>
      </c>
      <c r="Y106" t="s">
        <v>99</v>
      </c>
      <c r="AA106" t="s">
        <v>653</v>
      </c>
      <c r="AB106" t="s">
        <v>654</v>
      </c>
      <c r="AC106" t="s">
        <v>655</v>
      </c>
      <c r="AD106" t="s">
        <v>657</v>
      </c>
      <c r="AH106" t="s">
        <v>658</v>
      </c>
      <c r="AI106">
        <v>481</v>
      </c>
      <c r="AK106">
        <v>0</v>
      </c>
      <c r="AL106" s="1">
        <v>45986</v>
      </c>
      <c r="AM106">
        <v>38</v>
      </c>
      <c r="AN106">
        <v>1909381</v>
      </c>
      <c r="AP106" s="1">
        <v>46016</v>
      </c>
      <c r="AQ106">
        <v>38</v>
      </c>
      <c r="AR106">
        <v>1914203</v>
      </c>
      <c r="CH106">
        <v>49659</v>
      </c>
    </row>
    <row r="107" spans="1:86" x14ac:dyDescent="0.25">
      <c r="A107">
        <v>571945</v>
      </c>
      <c r="B107">
        <v>102</v>
      </c>
      <c r="C107">
        <v>301001</v>
      </c>
      <c r="D107">
        <v>1</v>
      </c>
      <c r="E107">
        <v>1</v>
      </c>
      <c r="F107">
        <v>250411</v>
      </c>
      <c r="G107">
        <v>250411</v>
      </c>
      <c r="H107" t="s">
        <v>90</v>
      </c>
      <c r="N107" t="s">
        <v>659</v>
      </c>
      <c r="O107">
        <v>4008535</v>
      </c>
      <c r="P107" t="s">
        <v>92</v>
      </c>
      <c r="Q107" t="s">
        <v>93</v>
      </c>
      <c r="R107" t="s">
        <v>660</v>
      </c>
      <c r="S107" t="s">
        <v>661</v>
      </c>
      <c r="V107" t="s">
        <v>662</v>
      </c>
      <c r="W107" t="s">
        <v>212</v>
      </c>
      <c r="X107">
        <v>49668</v>
      </c>
      <c r="Y107" t="s">
        <v>99</v>
      </c>
      <c r="AA107" t="s">
        <v>659</v>
      </c>
      <c r="AB107" t="s">
        <v>660</v>
      </c>
      <c r="AC107" t="s">
        <v>661</v>
      </c>
      <c r="AD107" t="s">
        <v>663</v>
      </c>
      <c r="AH107" t="s">
        <v>664</v>
      </c>
      <c r="AI107">
        <v>501.7</v>
      </c>
      <c r="AK107">
        <v>0</v>
      </c>
      <c r="AL107" s="1">
        <v>45925</v>
      </c>
      <c r="AM107">
        <v>501.7</v>
      </c>
      <c r="AN107">
        <v>1900505</v>
      </c>
      <c r="CH107">
        <v>49668</v>
      </c>
    </row>
    <row r="108" spans="1:86" x14ac:dyDescent="0.25">
      <c r="A108">
        <v>571946</v>
      </c>
      <c r="B108">
        <v>102</v>
      </c>
      <c r="C108">
        <v>301002</v>
      </c>
      <c r="D108">
        <v>1</v>
      </c>
      <c r="E108">
        <v>1</v>
      </c>
      <c r="F108">
        <v>250430</v>
      </c>
      <c r="G108">
        <v>250430</v>
      </c>
      <c r="H108" t="s">
        <v>90</v>
      </c>
      <c r="N108" t="s">
        <v>665</v>
      </c>
      <c r="O108">
        <v>4004189</v>
      </c>
      <c r="P108" t="s">
        <v>92</v>
      </c>
      <c r="Q108" t="s">
        <v>93</v>
      </c>
      <c r="R108" t="s">
        <v>666</v>
      </c>
      <c r="S108" t="s">
        <v>667</v>
      </c>
      <c r="V108" t="s">
        <v>668</v>
      </c>
      <c r="W108" t="s">
        <v>212</v>
      </c>
      <c r="X108" t="s">
        <v>669</v>
      </c>
      <c r="Y108" t="s">
        <v>99</v>
      </c>
      <c r="AA108" t="s">
        <v>665</v>
      </c>
      <c r="AB108" t="s">
        <v>666</v>
      </c>
      <c r="AC108" t="s">
        <v>667</v>
      </c>
      <c r="AD108" t="s">
        <v>670</v>
      </c>
      <c r="AH108" t="s">
        <v>671</v>
      </c>
      <c r="AI108">
        <v>1884</v>
      </c>
      <c r="AK108">
        <v>0</v>
      </c>
      <c r="AL108" s="1">
        <v>45683</v>
      </c>
      <c r="AM108">
        <v>157</v>
      </c>
      <c r="AN108">
        <v>1862467</v>
      </c>
      <c r="AP108" s="1">
        <v>45714</v>
      </c>
      <c r="AQ108">
        <v>157</v>
      </c>
      <c r="AR108">
        <v>1867149</v>
      </c>
      <c r="AT108" s="1">
        <v>45742</v>
      </c>
      <c r="AU108">
        <v>157</v>
      </c>
      <c r="AV108">
        <v>1871935</v>
      </c>
      <c r="AX108" s="1">
        <v>45773</v>
      </c>
      <c r="AY108">
        <v>157</v>
      </c>
      <c r="AZ108">
        <v>1877153</v>
      </c>
      <c r="BB108" s="1">
        <v>45803</v>
      </c>
      <c r="BC108">
        <v>157</v>
      </c>
      <c r="BD108">
        <v>1881666</v>
      </c>
      <c r="BF108" s="1">
        <v>45834</v>
      </c>
      <c r="BG108">
        <v>157</v>
      </c>
      <c r="BH108">
        <v>1886566</v>
      </c>
      <c r="BJ108" s="1">
        <v>45864</v>
      </c>
      <c r="BK108">
        <v>157</v>
      </c>
      <c r="BL108">
        <v>1891302</v>
      </c>
      <c r="BN108" s="1">
        <v>45895</v>
      </c>
      <c r="BO108">
        <v>157</v>
      </c>
      <c r="BP108">
        <v>1895749</v>
      </c>
      <c r="BR108" s="1">
        <v>45926</v>
      </c>
      <c r="BS108">
        <v>157</v>
      </c>
      <c r="BT108">
        <v>1900531</v>
      </c>
      <c r="BV108" s="1">
        <v>45956</v>
      </c>
      <c r="BW108">
        <v>157</v>
      </c>
      <c r="BX108">
        <v>1904905</v>
      </c>
      <c r="BZ108" s="1">
        <v>45987</v>
      </c>
      <c r="CA108">
        <v>157</v>
      </c>
      <c r="CB108">
        <v>1909649</v>
      </c>
      <c r="CD108" s="1">
        <v>46017</v>
      </c>
      <c r="CE108">
        <v>157</v>
      </c>
      <c r="CF108">
        <v>1914457</v>
      </c>
      <c r="CH108">
        <v>488589138</v>
      </c>
    </row>
    <row r="109" spans="1:86" x14ac:dyDescent="0.25">
      <c r="A109">
        <v>571947</v>
      </c>
      <c r="B109">
        <v>102</v>
      </c>
      <c r="C109">
        <v>301003</v>
      </c>
      <c r="D109">
        <v>1</v>
      </c>
      <c r="E109">
        <v>1</v>
      </c>
      <c r="F109">
        <v>250489</v>
      </c>
      <c r="G109">
        <v>250489</v>
      </c>
      <c r="H109" t="s">
        <v>90</v>
      </c>
      <c r="N109" t="s">
        <v>672</v>
      </c>
      <c r="O109">
        <v>4008531</v>
      </c>
      <c r="P109" t="s">
        <v>92</v>
      </c>
      <c r="Q109" t="s">
        <v>93</v>
      </c>
      <c r="R109" t="s">
        <v>673</v>
      </c>
      <c r="S109" t="s">
        <v>674</v>
      </c>
      <c r="V109" t="s">
        <v>675</v>
      </c>
      <c r="W109" t="s">
        <v>212</v>
      </c>
      <c r="X109" t="s">
        <v>676</v>
      </c>
      <c r="Y109" t="s">
        <v>99</v>
      </c>
      <c r="AA109" t="s">
        <v>672</v>
      </c>
      <c r="AB109" t="s">
        <v>673</v>
      </c>
      <c r="AC109" t="s">
        <v>674</v>
      </c>
      <c r="AD109" t="s">
        <v>677</v>
      </c>
      <c r="AI109">
        <v>912</v>
      </c>
      <c r="AK109">
        <v>0</v>
      </c>
      <c r="AL109" s="1">
        <v>45807</v>
      </c>
      <c r="AM109">
        <v>456</v>
      </c>
      <c r="AN109">
        <v>1883398</v>
      </c>
      <c r="AP109" s="1">
        <v>45954</v>
      </c>
      <c r="AQ109">
        <v>456</v>
      </c>
      <c r="AR109">
        <v>1906519</v>
      </c>
      <c r="CH109">
        <v>497279225</v>
      </c>
    </row>
    <row r="110" spans="1:86" x14ac:dyDescent="0.25">
      <c r="A110">
        <v>571948</v>
      </c>
      <c r="B110">
        <v>102</v>
      </c>
      <c r="C110">
        <v>301004</v>
      </c>
      <c r="D110">
        <v>1</v>
      </c>
      <c r="E110">
        <v>1</v>
      </c>
      <c r="F110">
        <v>250510</v>
      </c>
      <c r="G110">
        <v>250510</v>
      </c>
      <c r="H110" t="s">
        <v>90</v>
      </c>
      <c r="N110" t="s">
        <v>678</v>
      </c>
      <c r="O110">
        <v>4004191</v>
      </c>
      <c r="P110" t="s">
        <v>92</v>
      </c>
      <c r="Q110" t="s">
        <v>93</v>
      </c>
      <c r="R110" t="s">
        <v>679</v>
      </c>
      <c r="S110" t="s">
        <v>680</v>
      </c>
      <c r="V110" t="s">
        <v>681</v>
      </c>
      <c r="W110" t="s">
        <v>212</v>
      </c>
      <c r="X110" t="s">
        <v>682</v>
      </c>
      <c r="Y110" t="s">
        <v>99</v>
      </c>
      <c r="AA110" t="s">
        <v>678</v>
      </c>
      <c r="AB110" t="s">
        <v>679</v>
      </c>
      <c r="AC110" t="s">
        <v>680</v>
      </c>
      <c r="AD110" t="s">
        <v>683</v>
      </c>
      <c r="AH110" t="s">
        <v>684</v>
      </c>
      <c r="AI110">
        <v>456</v>
      </c>
      <c r="AK110">
        <v>0</v>
      </c>
      <c r="AL110" s="1">
        <v>45672</v>
      </c>
      <c r="AM110">
        <v>38</v>
      </c>
      <c r="AN110">
        <v>1860179</v>
      </c>
      <c r="AP110" s="1">
        <v>45703</v>
      </c>
      <c r="AQ110">
        <v>38</v>
      </c>
      <c r="AR110">
        <v>1865276</v>
      </c>
      <c r="AT110" s="1">
        <v>45731</v>
      </c>
      <c r="AU110">
        <v>38</v>
      </c>
      <c r="AV110">
        <v>1869985</v>
      </c>
      <c r="AX110" s="1">
        <v>45762</v>
      </c>
      <c r="AY110">
        <v>38</v>
      </c>
      <c r="AZ110">
        <v>1874778</v>
      </c>
      <c r="BB110" s="1">
        <v>45792</v>
      </c>
      <c r="BC110">
        <v>38</v>
      </c>
      <c r="BD110">
        <v>1879898</v>
      </c>
      <c r="BF110" s="1">
        <v>45823</v>
      </c>
      <c r="BG110">
        <v>38</v>
      </c>
      <c r="BH110">
        <v>1884553</v>
      </c>
      <c r="BJ110" s="1">
        <v>45853</v>
      </c>
      <c r="BK110">
        <v>38</v>
      </c>
      <c r="BL110">
        <v>1889298</v>
      </c>
      <c r="BN110" s="1">
        <v>45884</v>
      </c>
      <c r="BO110">
        <v>38</v>
      </c>
      <c r="BP110">
        <v>1894125</v>
      </c>
      <c r="BR110" s="1">
        <v>45915</v>
      </c>
      <c r="BS110">
        <v>38</v>
      </c>
      <c r="BT110">
        <v>1898564</v>
      </c>
      <c r="BV110" s="1">
        <v>45945</v>
      </c>
      <c r="BW110">
        <v>38</v>
      </c>
      <c r="BX110">
        <v>1903163</v>
      </c>
      <c r="BZ110" s="1">
        <v>45976</v>
      </c>
      <c r="CA110">
        <v>38</v>
      </c>
      <c r="CB110">
        <v>1907782</v>
      </c>
      <c r="CD110" s="1">
        <v>46006</v>
      </c>
      <c r="CE110">
        <v>38</v>
      </c>
      <c r="CF110">
        <v>1912540</v>
      </c>
      <c r="CH110">
        <v>496558288</v>
      </c>
    </row>
    <row r="111" spans="1:86" x14ac:dyDescent="0.25">
      <c r="A111">
        <v>571949</v>
      </c>
      <c r="B111">
        <v>102</v>
      </c>
      <c r="C111">
        <v>301005</v>
      </c>
      <c r="D111">
        <v>1</v>
      </c>
      <c r="E111">
        <v>1</v>
      </c>
      <c r="F111">
        <v>250541</v>
      </c>
      <c r="G111">
        <v>250541</v>
      </c>
      <c r="H111" t="s">
        <v>90</v>
      </c>
      <c r="N111" t="s">
        <v>685</v>
      </c>
      <c r="O111">
        <v>4011598</v>
      </c>
      <c r="P111" t="s">
        <v>92</v>
      </c>
      <c r="Q111" t="s">
        <v>93</v>
      </c>
      <c r="R111" t="s">
        <v>686</v>
      </c>
      <c r="V111" t="s">
        <v>687</v>
      </c>
      <c r="W111" t="s">
        <v>212</v>
      </c>
      <c r="X111">
        <v>49783</v>
      </c>
      <c r="Y111" t="s">
        <v>99</v>
      </c>
      <c r="AA111" t="s">
        <v>685</v>
      </c>
      <c r="AB111" t="s">
        <v>686</v>
      </c>
      <c r="AC111" t="s">
        <v>688</v>
      </c>
      <c r="AH111" t="s">
        <v>689</v>
      </c>
      <c r="AI111">
        <v>1912</v>
      </c>
      <c r="AK111">
        <v>0</v>
      </c>
      <c r="AL111" s="1">
        <v>45685</v>
      </c>
      <c r="AM111">
        <v>38</v>
      </c>
      <c r="AN111">
        <v>1863039</v>
      </c>
      <c r="AP111" s="1">
        <v>45716</v>
      </c>
      <c r="AQ111">
        <v>38</v>
      </c>
      <c r="AR111">
        <v>1867884</v>
      </c>
      <c r="AT111" s="1">
        <v>45744</v>
      </c>
      <c r="AU111">
        <v>38</v>
      </c>
      <c r="AV111">
        <v>1872416</v>
      </c>
      <c r="AX111" s="1">
        <v>45775</v>
      </c>
      <c r="AY111">
        <v>38</v>
      </c>
      <c r="AZ111">
        <v>1877602</v>
      </c>
      <c r="BB111" s="1">
        <v>45805</v>
      </c>
      <c r="BC111">
        <v>0</v>
      </c>
      <c r="BD111">
        <v>1882185</v>
      </c>
      <c r="BE111">
        <v>0</v>
      </c>
      <c r="BF111" s="1">
        <v>45873</v>
      </c>
      <c r="BG111">
        <v>114</v>
      </c>
      <c r="BH111">
        <v>1892870</v>
      </c>
      <c r="BJ111" s="1">
        <v>45897</v>
      </c>
      <c r="BK111">
        <v>38</v>
      </c>
      <c r="BL111">
        <v>1896244</v>
      </c>
      <c r="BN111" s="1">
        <v>45928</v>
      </c>
      <c r="BO111">
        <v>38</v>
      </c>
      <c r="BP111">
        <v>1900971</v>
      </c>
      <c r="BR111" s="1">
        <v>45951</v>
      </c>
      <c r="BS111">
        <v>570</v>
      </c>
      <c r="BT111">
        <v>1905250</v>
      </c>
      <c r="BV111" s="1">
        <v>46021</v>
      </c>
      <c r="BW111">
        <v>1000</v>
      </c>
      <c r="BX111">
        <v>1916586</v>
      </c>
      <c r="CH111">
        <v>49783</v>
      </c>
    </row>
    <row r="112" spans="1:86" x14ac:dyDescent="0.25">
      <c r="A112">
        <v>571950</v>
      </c>
      <c r="B112">
        <v>102</v>
      </c>
      <c r="C112">
        <v>301006</v>
      </c>
      <c r="D112">
        <v>1</v>
      </c>
      <c r="E112">
        <v>1</v>
      </c>
      <c r="F112">
        <v>250601</v>
      </c>
      <c r="G112">
        <v>250601</v>
      </c>
      <c r="H112" t="s">
        <v>90</v>
      </c>
      <c r="N112" t="s">
        <v>690</v>
      </c>
      <c r="O112">
        <v>4010749</v>
      </c>
      <c r="P112" t="s">
        <v>92</v>
      </c>
      <c r="Q112" t="s">
        <v>93</v>
      </c>
      <c r="R112" t="s">
        <v>691</v>
      </c>
      <c r="S112" t="s">
        <v>692</v>
      </c>
      <c r="V112" t="s">
        <v>693</v>
      </c>
      <c r="W112" t="s">
        <v>212</v>
      </c>
      <c r="X112">
        <v>49346</v>
      </c>
      <c r="Y112" t="s">
        <v>99</v>
      </c>
      <c r="AA112" t="s">
        <v>690</v>
      </c>
      <c r="AB112" t="s">
        <v>691</v>
      </c>
      <c r="AC112" t="s">
        <v>692</v>
      </c>
      <c r="AD112" t="s">
        <v>694</v>
      </c>
      <c r="AH112" t="s">
        <v>695</v>
      </c>
      <c r="AI112">
        <v>1845</v>
      </c>
      <c r="AK112">
        <v>0</v>
      </c>
      <c r="AL112" s="1">
        <v>45667</v>
      </c>
      <c r="AM112">
        <v>853</v>
      </c>
      <c r="AN112">
        <v>1861443</v>
      </c>
      <c r="AP112" s="1">
        <v>45695</v>
      </c>
      <c r="AQ112">
        <v>228</v>
      </c>
      <c r="AR112">
        <v>1864907</v>
      </c>
      <c r="AT112" s="1">
        <v>45772</v>
      </c>
      <c r="AU112">
        <v>228</v>
      </c>
      <c r="AV112">
        <v>1878527</v>
      </c>
      <c r="AX112" s="1">
        <v>45835</v>
      </c>
      <c r="AY112">
        <v>228</v>
      </c>
      <c r="AZ112">
        <v>1888025</v>
      </c>
      <c r="BB112" s="1">
        <v>45944</v>
      </c>
      <c r="BC112">
        <v>228</v>
      </c>
      <c r="BD112">
        <v>1904431</v>
      </c>
      <c r="BF112" s="1">
        <v>45972</v>
      </c>
      <c r="BG112">
        <v>80</v>
      </c>
      <c r="BH112">
        <v>1907515</v>
      </c>
      <c r="CH112">
        <v>49346</v>
      </c>
    </row>
    <row r="113" spans="1:86" x14ac:dyDescent="0.25">
      <c r="A113">
        <v>571951</v>
      </c>
      <c r="B113">
        <v>102</v>
      </c>
      <c r="C113">
        <v>301007</v>
      </c>
      <c r="D113">
        <v>1</v>
      </c>
      <c r="E113">
        <v>1</v>
      </c>
      <c r="F113">
        <v>260071</v>
      </c>
      <c r="G113">
        <v>260071</v>
      </c>
      <c r="H113" t="s">
        <v>90</v>
      </c>
      <c r="N113" t="s">
        <v>628</v>
      </c>
      <c r="O113">
        <v>4004193</v>
      </c>
      <c r="P113" t="s">
        <v>92</v>
      </c>
      <c r="Q113" t="s">
        <v>93</v>
      </c>
      <c r="R113" t="s">
        <v>696</v>
      </c>
      <c r="S113" t="s">
        <v>697</v>
      </c>
      <c r="V113" t="s">
        <v>185</v>
      </c>
      <c r="W113" t="s">
        <v>698</v>
      </c>
      <c r="X113" t="s">
        <v>699</v>
      </c>
      <c r="Y113" t="s">
        <v>99</v>
      </c>
      <c r="AA113" t="s">
        <v>628</v>
      </c>
      <c r="AB113" t="s">
        <v>696</v>
      </c>
      <c r="AC113" t="s">
        <v>697</v>
      </c>
      <c r="AD113" t="s">
        <v>700</v>
      </c>
      <c r="AH113" t="s">
        <v>701</v>
      </c>
      <c r="AI113">
        <v>1428</v>
      </c>
      <c r="AK113">
        <v>0</v>
      </c>
      <c r="AL113" s="1">
        <v>45688</v>
      </c>
      <c r="AM113">
        <v>714</v>
      </c>
      <c r="AN113">
        <v>1864131</v>
      </c>
      <c r="AP113" s="1">
        <v>45849</v>
      </c>
      <c r="AQ113">
        <v>714</v>
      </c>
      <c r="AR113">
        <v>1890251</v>
      </c>
      <c r="CH113">
        <v>437249210</v>
      </c>
    </row>
    <row r="114" spans="1:86" x14ac:dyDescent="0.25">
      <c r="A114">
        <v>571952</v>
      </c>
      <c r="B114">
        <v>102</v>
      </c>
      <c r="C114">
        <v>301008</v>
      </c>
      <c r="D114">
        <v>1</v>
      </c>
      <c r="E114">
        <v>1</v>
      </c>
      <c r="F114">
        <v>260200</v>
      </c>
      <c r="G114">
        <v>260200</v>
      </c>
      <c r="H114" t="s">
        <v>90</v>
      </c>
      <c r="N114" t="s">
        <v>702</v>
      </c>
      <c r="O114">
        <v>260200</v>
      </c>
      <c r="P114" t="s">
        <v>92</v>
      </c>
      <c r="Q114" t="s">
        <v>93</v>
      </c>
      <c r="R114" t="s">
        <v>703</v>
      </c>
      <c r="V114" t="s">
        <v>704</v>
      </c>
      <c r="W114" t="s">
        <v>698</v>
      </c>
      <c r="X114">
        <v>45424</v>
      </c>
      <c r="Y114" t="s">
        <v>99</v>
      </c>
      <c r="AA114" t="s">
        <v>702</v>
      </c>
      <c r="AB114" t="s">
        <v>703</v>
      </c>
      <c r="AC114" t="s">
        <v>705</v>
      </c>
      <c r="AI114">
        <v>7298.5</v>
      </c>
      <c r="AK114">
        <v>0</v>
      </c>
      <c r="AL114" s="1">
        <v>45702</v>
      </c>
      <c r="AM114">
        <v>1620</v>
      </c>
      <c r="AN114">
        <v>1866738</v>
      </c>
      <c r="AP114" s="1">
        <v>45775</v>
      </c>
      <c r="AQ114">
        <v>4930</v>
      </c>
      <c r="AR114">
        <v>1878613</v>
      </c>
      <c r="AT114" s="1">
        <v>45877</v>
      </c>
      <c r="AU114">
        <v>748.5</v>
      </c>
      <c r="AV114">
        <v>1893768</v>
      </c>
      <c r="CH114">
        <v>45424</v>
      </c>
    </row>
    <row r="115" spans="1:86" x14ac:dyDescent="0.25">
      <c r="A115">
        <v>571953</v>
      </c>
      <c r="B115">
        <v>102</v>
      </c>
      <c r="C115">
        <v>301009</v>
      </c>
      <c r="D115">
        <v>1</v>
      </c>
      <c r="E115">
        <v>1</v>
      </c>
      <c r="F115">
        <v>260206</v>
      </c>
      <c r="G115">
        <v>260206</v>
      </c>
      <c r="H115" t="s">
        <v>90</v>
      </c>
      <c r="N115" t="s">
        <v>706</v>
      </c>
      <c r="O115">
        <v>4004196</v>
      </c>
      <c r="P115" t="s">
        <v>92</v>
      </c>
      <c r="Q115" t="s">
        <v>93</v>
      </c>
      <c r="R115" t="s">
        <v>707</v>
      </c>
      <c r="S115" t="s">
        <v>708</v>
      </c>
      <c r="V115" t="s">
        <v>709</v>
      </c>
      <c r="W115" t="s">
        <v>698</v>
      </c>
      <c r="X115" t="s">
        <v>710</v>
      </c>
      <c r="Y115" t="s">
        <v>99</v>
      </c>
      <c r="AA115" t="s">
        <v>706</v>
      </c>
      <c r="AB115" t="s">
        <v>707</v>
      </c>
      <c r="AC115" t="s">
        <v>708</v>
      </c>
      <c r="AD115" t="s">
        <v>711</v>
      </c>
      <c r="AI115">
        <v>456</v>
      </c>
      <c r="AK115">
        <v>0</v>
      </c>
      <c r="AL115" s="1">
        <v>45765</v>
      </c>
      <c r="AM115">
        <v>456</v>
      </c>
      <c r="AN115">
        <v>1875712</v>
      </c>
      <c r="CH115">
        <v>454242751</v>
      </c>
    </row>
    <row r="116" spans="1:86" x14ac:dyDescent="0.25">
      <c r="A116">
        <v>571954</v>
      </c>
      <c r="B116">
        <v>102</v>
      </c>
      <c r="C116">
        <v>301010</v>
      </c>
      <c r="D116">
        <v>1</v>
      </c>
      <c r="E116">
        <v>1</v>
      </c>
      <c r="F116">
        <v>260230</v>
      </c>
      <c r="G116">
        <v>260230</v>
      </c>
      <c r="H116" t="s">
        <v>90</v>
      </c>
      <c r="N116" t="s">
        <v>712</v>
      </c>
      <c r="O116">
        <v>4006812</v>
      </c>
      <c r="P116" t="s">
        <v>92</v>
      </c>
      <c r="Q116" t="s">
        <v>93</v>
      </c>
      <c r="R116" t="s">
        <v>713</v>
      </c>
      <c r="S116" t="s">
        <v>714</v>
      </c>
      <c r="V116" t="s">
        <v>715</v>
      </c>
      <c r="W116" t="s">
        <v>698</v>
      </c>
      <c r="X116" t="s">
        <v>716</v>
      </c>
      <c r="Y116" t="s">
        <v>99</v>
      </c>
      <c r="AA116" t="s">
        <v>712</v>
      </c>
      <c r="AB116" t="s">
        <v>713</v>
      </c>
      <c r="AC116" t="s">
        <v>714</v>
      </c>
      <c r="AD116" t="s">
        <v>717</v>
      </c>
      <c r="AH116" t="s">
        <v>718</v>
      </c>
      <c r="AI116">
        <v>1368</v>
      </c>
      <c r="AK116">
        <v>0</v>
      </c>
      <c r="AL116" s="1">
        <v>46014</v>
      </c>
      <c r="AM116">
        <v>1368</v>
      </c>
      <c r="AN116">
        <v>1916325</v>
      </c>
      <c r="CH116">
        <v>448331151</v>
      </c>
    </row>
    <row r="117" spans="1:86" x14ac:dyDescent="0.25">
      <c r="A117">
        <v>571955</v>
      </c>
      <c r="B117">
        <v>102</v>
      </c>
      <c r="C117">
        <v>301011</v>
      </c>
      <c r="D117">
        <v>1</v>
      </c>
      <c r="E117">
        <v>1</v>
      </c>
      <c r="F117">
        <v>260259</v>
      </c>
      <c r="G117">
        <v>260259</v>
      </c>
      <c r="H117" t="s">
        <v>90</v>
      </c>
      <c r="N117" t="s">
        <v>719</v>
      </c>
      <c r="O117">
        <v>260259</v>
      </c>
      <c r="P117" t="s">
        <v>92</v>
      </c>
      <c r="Q117" t="s">
        <v>93</v>
      </c>
      <c r="R117" t="s">
        <v>720</v>
      </c>
      <c r="V117" t="s">
        <v>721</v>
      </c>
      <c r="W117" t="s">
        <v>698</v>
      </c>
      <c r="X117">
        <v>43746</v>
      </c>
      <c r="Y117" t="s">
        <v>99</v>
      </c>
      <c r="AA117" t="s">
        <v>719</v>
      </c>
      <c r="AB117" t="s">
        <v>720</v>
      </c>
      <c r="AC117" t="s">
        <v>722</v>
      </c>
      <c r="AH117" t="s">
        <v>723</v>
      </c>
      <c r="AI117">
        <v>912</v>
      </c>
      <c r="AK117">
        <v>0</v>
      </c>
      <c r="AL117" s="1">
        <v>45730</v>
      </c>
      <c r="AM117">
        <v>912</v>
      </c>
      <c r="AN117">
        <v>1871109</v>
      </c>
      <c r="CH117">
        <v>43746</v>
      </c>
    </row>
    <row r="118" spans="1:86" x14ac:dyDescent="0.25">
      <c r="A118">
        <v>571956</v>
      </c>
      <c r="B118">
        <v>102</v>
      </c>
      <c r="C118">
        <v>301012</v>
      </c>
      <c r="D118">
        <v>1</v>
      </c>
      <c r="E118">
        <v>2</v>
      </c>
      <c r="F118">
        <v>260316</v>
      </c>
      <c r="G118">
        <v>260316</v>
      </c>
      <c r="H118" t="s">
        <v>90</v>
      </c>
      <c r="N118" t="s">
        <v>724</v>
      </c>
      <c r="O118">
        <v>260316</v>
      </c>
      <c r="P118" t="s">
        <v>92</v>
      </c>
      <c r="Q118" t="s">
        <v>93</v>
      </c>
      <c r="R118" t="s">
        <v>725</v>
      </c>
      <c r="V118" t="s">
        <v>726</v>
      </c>
      <c r="W118" t="s">
        <v>698</v>
      </c>
      <c r="X118" t="s">
        <v>727</v>
      </c>
      <c r="Y118" t="s">
        <v>99</v>
      </c>
      <c r="AA118" t="s">
        <v>724</v>
      </c>
      <c r="AB118" t="s">
        <v>725</v>
      </c>
      <c r="AC118" t="s">
        <v>728</v>
      </c>
      <c r="AH118" t="s">
        <v>729</v>
      </c>
      <c r="AI118">
        <v>756</v>
      </c>
      <c r="AK118">
        <v>0</v>
      </c>
      <c r="AL118" s="1">
        <v>45679</v>
      </c>
      <c r="AM118">
        <v>38</v>
      </c>
      <c r="AN118">
        <v>1862096</v>
      </c>
      <c r="AP118" s="1">
        <v>45712</v>
      </c>
      <c r="AQ118">
        <v>38</v>
      </c>
      <c r="AR118">
        <v>1867370</v>
      </c>
      <c r="AT118" s="1">
        <v>45730</v>
      </c>
      <c r="AU118">
        <v>38</v>
      </c>
      <c r="AV118">
        <v>1871054</v>
      </c>
      <c r="AX118" s="1">
        <v>45768</v>
      </c>
      <c r="AY118">
        <v>38</v>
      </c>
      <c r="AZ118">
        <v>1877694</v>
      </c>
      <c r="BB118" s="1">
        <v>45789</v>
      </c>
      <c r="BC118">
        <v>38</v>
      </c>
      <c r="BD118">
        <v>1880592</v>
      </c>
      <c r="BF118" s="1">
        <v>45819</v>
      </c>
      <c r="BG118">
        <v>38</v>
      </c>
      <c r="BH118">
        <v>1885195</v>
      </c>
      <c r="BJ118" s="1">
        <v>45859</v>
      </c>
      <c r="BK118">
        <v>38</v>
      </c>
      <c r="BL118">
        <v>1890834</v>
      </c>
      <c r="BN118" s="1">
        <v>45887</v>
      </c>
      <c r="BO118">
        <v>38</v>
      </c>
      <c r="BP118">
        <v>1895169</v>
      </c>
      <c r="BR118" s="1">
        <v>45915</v>
      </c>
      <c r="BS118">
        <v>200</v>
      </c>
      <c r="BT118">
        <v>1899003</v>
      </c>
      <c r="BV118" s="1">
        <v>45923</v>
      </c>
      <c r="BW118">
        <v>38</v>
      </c>
      <c r="BX118">
        <v>1900448</v>
      </c>
      <c r="BZ118" s="1">
        <v>45937</v>
      </c>
      <c r="CA118">
        <v>100</v>
      </c>
      <c r="CB118">
        <v>1917513</v>
      </c>
      <c r="CD118" s="1">
        <v>45954</v>
      </c>
      <c r="CE118">
        <v>38</v>
      </c>
      <c r="CF118">
        <v>1906600</v>
      </c>
      <c r="CH118">
        <v>449061101</v>
      </c>
    </row>
    <row r="119" spans="1:86" x14ac:dyDescent="0.25">
      <c r="A119">
        <v>571957</v>
      </c>
      <c r="B119">
        <v>102</v>
      </c>
      <c r="C119">
        <v>301012</v>
      </c>
      <c r="D119">
        <v>2</v>
      </c>
      <c r="E119">
        <v>2</v>
      </c>
      <c r="F119">
        <v>260316</v>
      </c>
      <c r="G119">
        <v>260316</v>
      </c>
      <c r="H119" t="s">
        <v>90</v>
      </c>
      <c r="N119" t="s">
        <v>724</v>
      </c>
      <c r="O119">
        <v>260316</v>
      </c>
      <c r="P119" t="s">
        <v>92</v>
      </c>
      <c r="Q119" t="s">
        <v>93</v>
      </c>
      <c r="R119" t="s">
        <v>725</v>
      </c>
      <c r="V119" t="s">
        <v>726</v>
      </c>
      <c r="W119" t="s">
        <v>698</v>
      </c>
      <c r="X119" t="s">
        <v>727</v>
      </c>
      <c r="Y119" t="s">
        <v>99</v>
      </c>
      <c r="AA119" t="s">
        <v>724</v>
      </c>
      <c r="AB119" t="s">
        <v>725</v>
      </c>
      <c r="AC119" t="s">
        <v>728</v>
      </c>
      <c r="AH119" t="s">
        <v>729</v>
      </c>
      <c r="AI119">
        <v>756</v>
      </c>
      <c r="AK119">
        <v>0</v>
      </c>
      <c r="AL119" s="1">
        <v>45987</v>
      </c>
      <c r="AM119">
        <v>38</v>
      </c>
      <c r="AN119">
        <v>1911571</v>
      </c>
      <c r="AP119" s="1">
        <v>46021</v>
      </c>
      <c r="AQ119">
        <v>38</v>
      </c>
      <c r="AR119">
        <v>1916596</v>
      </c>
      <c r="CH119">
        <v>449061101</v>
      </c>
    </row>
    <row r="120" spans="1:86" x14ac:dyDescent="0.25">
      <c r="A120">
        <v>571958</v>
      </c>
      <c r="B120">
        <v>102</v>
      </c>
      <c r="C120">
        <v>301013</v>
      </c>
      <c r="D120">
        <v>1</v>
      </c>
      <c r="E120">
        <v>1</v>
      </c>
      <c r="F120">
        <v>260362</v>
      </c>
      <c r="G120">
        <v>260362</v>
      </c>
      <c r="H120" t="s">
        <v>90</v>
      </c>
      <c r="N120" t="s">
        <v>730</v>
      </c>
      <c r="O120">
        <v>260362</v>
      </c>
      <c r="P120" t="s">
        <v>92</v>
      </c>
      <c r="Q120" t="s">
        <v>93</v>
      </c>
      <c r="R120" t="s">
        <v>731</v>
      </c>
      <c r="V120" t="s">
        <v>732</v>
      </c>
      <c r="W120" t="s">
        <v>698</v>
      </c>
      <c r="X120" t="s">
        <v>733</v>
      </c>
      <c r="Y120" t="s">
        <v>99</v>
      </c>
      <c r="AA120" t="s">
        <v>730</v>
      </c>
      <c r="AB120" t="s">
        <v>731</v>
      </c>
      <c r="AC120" t="s">
        <v>734</v>
      </c>
      <c r="AI120">
        <v>152</v>
      </c>
      <c r="AK120">
        <v>0</v>
      </c>
      <c r="AL120" s="1">
        <v>45667</v>
      </c>
      <c r="AM120">
        <v>38</v>
      </c>
      <c r="AN120">
        <v>1861479</v>
      </c>
      <c r="AP120" s="1">
        <v>45695</v>
      </c>
      <c r="AQ120">
        <v>38</v>
      </c>
      <c r="AR120">
        <v>1864934</v>
      </c>
      <c r="AT120" s="1">
        <v>45723</v>
      </c>
      <c r="AU120">
        <v>38</v>
      </c>
      <c r="AV120">
        <v>1869754</v>
      </c>
      <c r="AX120" s="1">
        <v>45758</v>
      </c>
      <c r="AY120">
        <v>38</v>
      </c>
      <c r="AZ120">
        <v>1874677</v>
      </c>
      <c r="CH120">
        <v>457200041</v>
      </c>
    </row>
    <row r="121" spans="1:86" x14ac:dyDescent="0.25">
      <c r="A121">
        <v>571959</v>
      </c>
      <c r="B121">
        <v>102</v>
      </c>
      <c r="C121">
        <v>301014</v>
      </c>
      <c r="D121">
        <v>1</v>
      </c>
      <c r="E121">
        <v>1</v>
      </c>
      <c r="F121">
        <v>270043</v>
      </c>
      <c r="G121">
        <v>270043</v>
      </c>
      <c r="H121" t="s">
        <v>90</v>
      </c>
      <c r="N121" t="s">
        <v>735</v>
      </c>
      <c r="O121">
        <v>4004327</v>
      </c>
      <c r="P121" t="s">
        <v>92</v>
      </c>
      <c r="Q121" t="s">
        <v>93</v>
      </c>
      <c r="R121" t="s">
        <v>736</v>
      </c>
      <c r="S121" t="s">
        <v>737</v>
      </c>
      <c r="V121" t="s">
        <v>738</v>
      </c>
      <c r="W121" t="s">
        <v>579</v>
      </c>
      <c r="X121" t="s">
        <v>739</v>
      </c>
      <c r="Y121" t="s">
        <v>99</v>
      </c>
      <c r="AA121" t="s">
        <v>735</v>
      </c>
      <c r="AB121" t="s">
        <v>736</v>
      </c>
      <c r="AC121" t="s">
        <v>737</v>
      </c>
      <c r="AD121" t="s">
        <v>740</v>
      </c>
      <c r="AH121" t="s">
        <v>741</v>
      </c>
      <c r="AI121">
        <v>342</v>
      </c>
      <c r="AK121">
        <v>0</v>
      </c>
      <c r="AL121" s="1">
        <v>45684</v>
      </c>
      <c r="AM121">
        <v>38</v>
      </c>
      <c r="AN121">
        <v>1862703</v>
      </c>
      <c r="AP121" s="1">
        <v>45719</v>
      </c>
      <c r="AQ121">
        <v>38</v>
      </c>
      <c r="AR121">
        <v>1869045</v>
      </c>
      <c r="AT121" s="1">
        <v>45749</v>
      </c>
      <c r="AU121">
        <v>38</v>
      </c>
      <c r="AV121">
        <v>1873748</v>
      </c>
      <c r="AX121" s="1">
        <v>45789</v>
      </c>
      <c r="AY121">
        <v>38</v>
      </c>
      <c r="AZ121">
        <v>1880545</v>
      </c>
      <c r="BB121" s="1">
        <v>45835</v>
      </c>
      <c r="BC121">
        <v>38</v>
      </c>
      <c r="BD121">
        <v>1887975</v>
      </c>
      <c r="BF121" s="1">
        <v>45845</v>
      </c>
      <c r="BG121">
        <v>38</v>
      </c>
      <c r="BH121">
        <v>1888932</v>
      </c>
      <c r="BJ121" s="1">
        <v>45965</v>
      </c>
      <c r="BK121">
        <v>114</v>
      </c>
      <c r="BL121">
        <v>1907038</v>
      </c>
      <c r="CH121">
        <v>167010703</v>
      </c>
    </row>
    <row r="122" spans="1:86" x14ac:dyDescent="0.25">
      <c r="A122">
        <v>571960</v>
      </c>
      <c r="B122">
        <v>102</v>
      </c>
      <c r="C122">
        <v>301015</v>
      </c>
      <c r="D122">
        <v>1</v>
      </c>
      <c r="E122">
        <v>1</v>
      </c>
      <c r="F122">
        <v>270101</v>
      </c>
      <c r="G122">
        <v>270101</v>
      </c>
      <c r="H122" t="s">
        <v>90</v>
      </c>
      <c r="N122" t="s">
        <v>742</v>
      </c>
      <c r="O122">
        <v>4008444</v>
      </c>
      <c r="P122" t="s">
        <v>92</v>
      </c>
      <c r="Q122" t="s">
        <v>93</v>
      </c>
      <c r="R122" t="s">
        <v>743</v>
      </c>
      <c r="S122" t="s">
        <v>744</v>
      </c>
      <c r="V122" t="s">
        <v>745</v>
      </c>
      <c r="W122" t="s">
        <v>579</v>
      </c>
      <c r="X122">
        <v>16313</v>
      </c>
      <c r="Y122" t="s">
        <v>99</v>
      </c>
      <c r="AA122" t="s">
        <v>742</v>
      </c>
      <c r="AB122" t="s">
        <v>743</v>
      </c>
      <c r="AC122" t="s">
        <v>744</v>
      </c>
      <c r="AD122" t="s">
        <v>746</v>
      </c>
      <c r="AI122">
        <v>912</v>
      </c>
      <c r="AK122">
        <v>0</v>
      </c>
      <c r="AL122" s="1">
        <v>45682</v>
      </c>
      <c r="AM122">
        <v>76</v>
      </c>
      <c r="AN122">
        <v>1862433</v>
      </c>
      <c r="AP122" s="1">
        <v>45713</v>
      </c>
      <c r="AQ122">
        <v>76</v>
      </c>
      <c r="AR122">
        <v>1867103</v>
      </c>
      <c r="AT122" s="1">
        <v>45741</v>
      </c>
      <c r="AU122">
        <v>76</v>
      </c>
      <c r="AV122">
        <v>1871888</v>
      </c>
      <c r="AX122" s="1">
        <v>45772</v>
      </c>
      <c r="AY122">
        <v>76</v>
      </c>
      <c r="AZ122">
        <v>1876958</v>
      </c>
      <c r="BB122" s="1">
        <v>45802</v>
      </c>
      <c r="BC122">
        <v>76</v>
      </c>
      <c r="BD122">
        <v>1881632</v>
      </c>
      <c r="BF122" s="1">
        <v>45833</v>
      </c>
      <c r="BG122">
        <v>76</v>
      </c>
      <c r="BH122">
        <v>1886271</v>
      </c>
      <c r="BJ122" s="1">
        <v>45863</v>
      </c>
      <c r="BK122">
        <v>76</v>
      </c>
      <c r="BL122">
        <v>1891256</v>
      </c>
      <c r="BN122" s="1">
        <v>45894</v>
      </c>
      <c r="BO122">
        <v>76</v>
      </c>
      <c r="BP122">
        <v>1895712</v>
      </c>
      <c r="BR122" s="1">
        <v>45925</v>
      </c>
      <c r="BS122">
        <v>76</v>
      </c>
      <c r="BT122">
        <v>1900300</v>
      </c>
      <c r="BV122" s="1">
        <v>45955</v>
      </c>
      <c r="BW122">
        <v>76</v>
      </c>
      <c r="BX122">
        <v>1904865</v>
      </c>
      <c r="BZ122" s="1">
        <v>45986</v>
      </c>
      <c r="CA122">
        <v>76</v>
      </c>
      <c r="CB122">
        <v>1909604</v>
      </c>
      <c r="CD122" s="1">
        <v>46016</v>
      </c>
      <c r="CE122">
        <v>76</v>
      </c>
      <c r="CF122">
        <v>1914417</v>
      </c>
      <c r="CH122">
        <v>16313</v>
      </c>
    </row>
    <row r="123" spans="1:86" x14ac:dyDescent="0.25">
      <c r="A123">
        <v>571961</v>
      </c>
      <c r="B123">
        <v>102</v>
      </c>
      <c r="C123">
        <v>301016</v>
      </c>
      <c r="D123">
        <v>1</v>
      </c>
      <c r="E123">
        <v>1</v>
      </c>
      <c r="F123">
        <v>270156</v>
      </c>
      <c r="G123">
        <v>270156</v>
      </c>
      <c r="H123" t="s">
        <v>90</v>
      </c>
      <c r="N123" t="s">
        <v>747</v>
      </c>
      <c r="O123">
        <v>4006465</v>
      </c>
      <c r="P123" t="s">
        <v>92</v>
      </c>
      <c r="Q123" t="s">
        <v>93</v>
      </c>
      <c r="R123" t="s">
        <v>748</v>
      </c>
      <c r="V123" t="s">
        <v>749</v>
      </c>
      <c r="W123" t="s">
        <v>579</v>
      </c>
      <c r="X123" t="s">
        <v>750</v>
      </c>
      <c r="Y123" t="s">
        <v>99</v>
      </c>
      <c r="AA123" t="s">
        <v>747</v>
      </c>
      <c r="AB123" t="s">
        <v>748</v>
      </c>
      <c r="AC123" t="s">
        <v>751</v>
      </c>
      <c r="AH123" t="s">
        <v>752</v>
      </c>
      <c r="AI123">
        <v>912</v>
      </c>
      <c r="AK123">
        <v>0</v>
      </c>
      <c r="AL123" s="1">
        <v>45670</v>
      </c>
      <c r="AM123">
        <v>76</v>
      </c>
      <c r="AN123">
        <v>1861531</v>
      </c>
      <c r="AP123" s="1">
        <v>45691</v>
      </c>
      <c r="AQ123">
        <v>76</v>
      </c>
      <c r="AR123">
        <v>1864238</v>
      </c>
      <c r="AT123" s="1">
        <v>45721</v>
      </c>
      <c r="AU123">
        <v>76</v>
      </c>
      <c r="AV123">
        <v>1869810</v>
      </c>
      <c r="AX123" s="1">
        <v>45758</v>
      </c>
      <c r="AY123">
        <v>76</v>
      </c>
      <c r="AZ123">
        <v>1875527</v>
      </c>
      <c r="BB123" s="1">
        <v>45784</v>
      </c>
      <c r="BC123">
        <v>76</v>
      </c>
      <c r="BD123">
        <v>1879632</v>
      </c>
      <c r="BF123" s="1">
        <v>45817</v>
      </c>
      <c r="BG123">
        <v>76</v>
      </c>
      <c r="BH123">
        <v>1885157</v>
      </c>
      <c r="BJ123" s="1">
        <v>45854</v>
      </c>
      <c r="BK123">
        <v>76</v>
      </c>
      <c r="BL123">
        <v>1890654</v>
      </c>
      <c r="BN123" s="1">
        <v>45875</v>
      </c>
      <c r="BO123">
        <v>76</v>
      </c>
      <c r="BP123">
        <v>1893396</v>
      </c>
      <c r="BR123" s="1">
        <v>45909</v>
      </c>
      <c r="BS123">
        <v>76</v>
      </c>
      <c r="BT123">
        <v>1898267</v>
      </c>
      <c r="BV123" s="1">
        <v>45937</v>
      </c>
      <c r="BW123">
        <v>76</v>
      </c>
      <c r="BX123">
        <v>1902650</v>
      </c>
      <c r="BZ123" s="1">
        <v>45965</v>
      </c>
      <c r="CA123">
        <v>76</v>
      </c>
      <c r="CB123">
        <v>1907079</v>
      </c>
      <c r="CD123" s="1">
        <v>46000</v>
      </c>
      <c r="CE123">
        <v>76</v>
      </c>
      <c r="CF123">
        <v>1913031</v>
      </c>
      <c r="CH123">
        <v>169150674</v>
      </c>
    </row>
    <row r="124" spans="1:86" x14ac:dyDescent="0.25">
      <c r="A124">
        <v>571962</v>
      </c>
      <c r="B124">
        <v>102</v>
      </c>
      <c r="C124">
        <v>301017</v>
      </c>
      <c r="D124">
        <v>1</v>
      </c>
      <c r="E124">
        <v>1</v>
      </c>
      <c r="F124">
        <v>270171</v>
      </c>
      <c r="G124">
        <v>270171</v>
      </c>
      <c r="H124" t="s">
        <v>90</v>
      </c>
      <c r="N124" t="s">
        <v>753</v>
      </c>
      <c r="O124">
        <v>270171</v>
      </c>
      <c r="P124" t="s">
        <v>92</v>
      </c>
      <c r="Q124" t="s">
        <v>93</v>
      </c>
      <c r="R124" t="s">
        <v>754</v>
      </c>
      <c r="V124" t="s">
        <v>755</v>
      </c>
      <c r="W124" t="s">
        <v>579</v>
      </c>
      <c r="X124" t="s">
        <v>756</v>
      </c>
      <c r="Y124" t="s">
        <v>99</v>
      </c>
      <c r="AA124" t="s">
        <v>753</v>
      </c>
      <c r="AB124" t="s">
        <v>754</v>
      </c>
      <c r="AC124" t="s">
        <v>757</v>
      </c>
      <c r="AH124" t="s">
        <v>758</v>
      </c>
      <c r="AI124">
        <v>481</v>
      </c>
      <c r="AK124">
        <v>0</v>
      </c>
      <c r="AL124" s="1">
        <v>45670</v>
      </c>
      <c r="AM124">
        <v>76</v>
      </c>
      <c r="AN124">
        <v>1861789</v>
      </c>
      <c r="AP124" s="1">
        <v>45744</v>
      </c>
      <c r="AQ124">
        <v>76</v>
      </c>
      <c r="AR124">
        <v>1873374</v>
      </c>
      <c r="AT124" s="1">
        <v>45786</v>
      </c>
      <c r="AU124">
        <v>76</v>
      </c>
      <c r="AV124">
        <v>1879737</v>
      </c>
      <c r="AX124" s="1">
        <v>45856</v>
      </c>
      <c r="AY124">
        <v>76</v>
      </c>
      <c r="AZ124">
        <v>1890745</v>
      </c>
      <c r="BB124" s="1">
        <v>45916</v>
      </c>
      <c r="BC124">
        <v>76</v>
      </c>
      <c r="BD124">
        <v>1899574</v>
      </c>
      <c r="BF124" s="1">
        <v>45965</v>
      </c>
      <c r="BG124">
        <v>101</v>
      </c>
      <c r="BH124">
        <v>1907037</v>
      </c>
      <c r="CH124">
        <v>158012847</v>
      </c>
    </row>
    <row r="125" spans="1:86" x14ac:dyDescent="0.25">
      <c r="A125">
        <v>571963</v>
      </c>
      <c r="B125">
        <v>102</v>
      </c>
      <c r="C125">
        <v>301018</v>
      </c>
      <c r="D125">
        <v>1</v>
      </c>
      <c r="E125">
        <v>2</v>
      </c>
      <c r="F125">
        <v>270260</v>
      </c>
      <c r="G125">
        <v>270260</v>
      </c>
      <c r="H125" t="s">
        <v>90</v>
      </c>
      <c r="N125" t="s">
        <v>759</v>
      </c>
      <c r="O125">
        <v>4005593</v>
      </c>
      <c r="P125" t="s">
        <v>92</v>
      </c>
      <c r="Q125" t="s">
        <v>93</v>
      </c>
      <c r="R125" t="s">
        <v>760</v>
      </c>
      <c r="V125" t="s">
        <v>761</v>
      </c>
      <c r="W125" t="s">
        <v>579</v>
      </c>
      <c r="X125" t="s">
        <v>762</v>
      </c>
      <c r="Y125" t="s">
        <v>99</v>
      </c>
      <c r="AA125" t="s">
        <v>759</v>
      </c>
      <c r="AB125" t="s">
        <v>760</v>
      </c>
      <c r="AC125" t="s">
        <v>763</v>
      </c>
      <c r="AH125" t="s">
        <v>764</v>
      </c>
      <c r="AI125">
        <v>1968</v>
      </c>
      <c r="AK125">
        <v>0</v>
      </c>
      <c r="AL125" s="1">
        <v>45664</v>
      </c>
      <c r="AM125">
        <v>50</v>
      </c>
      <c r="AN125">
        <v>1861797</v>
      </c>
      <c r="AP125" s="1">
        <v>45664</v>
      </c>
      <c r="AQ125">
        <v>114</v>
      </c>
      <c r="AR125">
        <v>1861798</v>
      </c>
      <c r="AT125" s="1">
        <v>45693</v>
      </c>
      <c r="AU125">
        <v>114</v>
      </c>
      <c r="AV125">
        <v>1864824</v>
      </c>
      <c r="AX125" s="1">
        <v>45693</v>
      </c>
      <c r="AY125">
        <v>50</v>
      </c>
      <c r="AZ125">
        <v>1864825</v>
      </c>
      <c r="BB125" s="1">
        <v>45721</v>
      </c>
      <c r="BC125">
        <v>114</v>
      </c>
      <c r="BD125">
        <v>1869778</v>
      </c>
      <c r="BF125" s="1">
        <v>45721</v>
      </c>
      <c r="BG125">
        <v>50</v>
      </c>
      <c r="BH125">
        <v>1869779</v>
      </c>
      <c r="BJ125" s="1">
        <v>45754</v>
      </c>
      <c r="BK125">
        <v>114</v>
      </c>
      <c r="BL125">
        <v>1874576</v>
      </c>
      <c r="BN125" s="1">
        <v>45754</v>
      </c>
      <c r="BO125">
        <v>50</v>
      </c>
      <c r="BP125">
        <v>1874577</v>
      </c>
      <c r="BR125" s="1">
        <v>45786</v>
      </c>
      <c r="BS125">
        <v>50</v>
      </c>
      <c r="BT125">
        <v>1879708</v>
      </c>
      <c r="BV125" s="1">
        <v>45786</v>
      </c>
      <c r="BW125">
        <v>114</v>
      </c>
      <c r="BX125">
        <v>1879709</v>
      </c>
      <c r="BZ125" s="1">
        <v>45833</v>
      </c>
      <c r="CA125">
        <v>50</v>
      </c>
      <c r="CB125">
        <v>1887804</v>
      </c>
      <c r="CD125" s="1">
        <v>45833</v>
      </c>
      <c r="CE125">
        <v>114</v>
      </c>
      <c r="CF125">
        <v>1887805</v>
      </c>
      <c r="CH125">
        <v>168350140</v>
      </c>
    </row>
    <row r="126" spans="1:86" x14ac:dyDescent="0.25">
      <c r="A126">
        <v>571964</v>
      </c>
      <c r="B126">
        <v>102</v>
      </c>
      <c r="C126">
        <v>301018</v>
      </c>
      <c r="D126">
        <v>2</v>
      </c>
      <c r="E126">
        <v>2</v>
      </c>
      <c r="F126">
        <v>270260</v>
      </c>
      <c r="G126">
        <v>270260</v>
      </c>
      <c r="H126" t="s">
        <v>90</v>
      </c>
      <c r="N126" t="s">
        <v>759</v>
      </c>
      <c r="O126">
        <v>4005593</v>
      </c>
      <c r="P126" t="s">
        <v>92</v>
      </c>
      <c r="Q126" t="s">
        <v>93</v>
      </c>
      <c r="R126" t="s">
        <v>760</v>
      </c>
      <c r="V126" t="s">
        <v>761</v>
      </c>
      <c r="W126" t="s">
        <v>579</v>
      </c>
      <c r="X126" t="s">
        <v>762</v>
      </c>
      <c r="Y126" t="s">
        <v>99</v>
      </c>
      <c r="AA126" t="s">
        <v>759</v>
      </c>
      <c r="AB126" t="s">
        <v>760</v>
      </c>
      <c r="AC126" t="s">
        <v>763</v>
      </c>
      <c r="AH126" t="s">
        <v>764</v>
      </c>
      <c r="AI126">
        <v>1968</v>
      </c>
      <c r="AK126">
        <v>0</v>
      </c>
      <c r="AL126" s="1">
        <v>45869</v>
      </c>
      <c r="AM126">
        <v>50</v>
      </c>
      <c r="AN126">
        <v>1893030</v>
      </c>
      <c r="AP126" s="1">
        <v>45869</v>
      </c>
      <c r="AQ126">
        <v>114</v>
      </c>
      <c r="AR126">
        <v>1893031</v>
      </c>
      <c r="AT126" s="1">
        <v>45887</v>
      </c>
      <c r="AU126">
        <v>50</v>
      </c>
      <c r="AV126">
        <v>1895041</v>
      </c>
      <c r="AX126" s="1">
        <v>45887</v>
      </c>
      <c r="AY126">
        <v>114</v>
      </c>
      <c r="AZ126">
        <v>1895042</v>
      </c>
      <c r="BB126" s="1">
        <v>45909</v>
      </c>
      <c r="BC126">
        <v>50</v>
      </c>
      <c r="BD126">
        <v>1898142</v>
      </c>
      <c r="BF126" s="1">
        <v>45909</v>
      </c>
      <c r="BG126">
        <v>114</v>
      </c>
      <c r="BH126">
        <v>1898143</v>
      </c>
      <c r="BJ126" s="1">
        <v>45937</v>
      </c>
      <c r="BK126">
        <v>50</v>
      </c>
      <c r="BL126">
        <v>1902564</v>
      </c>
      <c r="BN126" s="1">
        <v>45937</v>
      </c>
      <c r="BO126">
        <v>114</v>
      </c>
      <c r="BP126">
        <v>1902565</v>
      </c>
      <c r="BR126" s="1">
        <v>45971</v>
      </c>
      <c r="BS126">
        <v>50</v>
      </c>
      <c r="BT126">
        <v>1908737</v>
      </c>
      <c r="BV126" s="1">
        <v>45971</v>
      </c>
      <c r="BW126">
        <v>114</v>
      </c>
      <c r="BX126">
        <v>1908738</v>
      </c>
      <c r="BZ126" s="1">
        <v>46010</v>
      </c>
      <c r="CA126">
        <v>50</v>
      </c>
      <c r="CB126">
        <v>1916163</v>
      </c>
      <c r="CD126" s="1">
        <v>46010</v>
      </c>
      <c r="CE126">
        <v>114</v>
      </c>
      <c r="CF126">
        <v>1916164</v>
      </c>
      <c r="CH126">
        <v>168350140</v>
      </c>
    </row>
    <row r="127" spans="1:86" x14ac:dyDescent="0.25">
      <c r="A127">
        <v>571965</v>
      </c>
      <c r="B127">
        <v>102</v>
      </c>
      <c r="C127">
        <v>301019</v>
      </c>
      <c r="D127">
        <v>1</v>
      </c>
      <c r="E127">
        <v>1</v>
      </c>
      <c r="F127">
        <v>270401</v>
      </c>
      <c r="G127">
        <v>270401</v>
      </c>
      <c r="H127" t="s">
        <v>90</v>
      </c>
      <c r="N127" t="s">
        <v>765</v>
      </c>
      <c r="O127">
        <v>4004332</v>
      </c>
      <c r="P127" t="s">
        <v>766</v>
      </c>
      <c r="Q127" t="s">
        <v>93</v>
      </c>
      <c r="R127" t="s">
        <v>767</v>
      </c>
      <c r="S127" t="s">
        <v>768</v>
      </c>
      <c r="V127" t="s">
        <v>769</v>
      </c>
      <c r="W127" t="s">
        <v>579</v>
      </c>
      <c r="X127" t="s">
        <v>770</v>
      </c>
      <c r="Y127" t="s">
        <v>99</v>
      </c>
      <c r="AA127" t="s">
        <v>771</v>
      </c>
      <c r="AB127" t="s">
        <v>767</v>
      </c>
      <c r="AC127" t="s">
        <v>768</v>
      </c>
      <c r="AD127" t="s">
        <v>772</v>
      </c>
      <c r="AH127" t="s">
        <v>773</v>
      </c>
      <c r="AI127">
        <v>456</v>
      </c>
      <c r="AK127">
        <v>0</v>
      </c>
      <c r="AL127" s="1">
        <v>45695</v>
      </c>
      <c r="AM127">
        <v>76</v>
      </c>
      <c r="AN127">
        <v>1864948</v>
      </c>
      <c r="AP127" s="1">
        <v>45733</v>
      </c>
      <c r="AQ127">
        <v>38</v>
      </c>
      <c r="AR127">
        <v>1870995</v>
      </c>
      <c r="AT127" s="1">
        <v>45775</v>
      </c>
      <c r="AU127">
        <v>38</v>
      </c>
      <c r="AV127">
        <v>1878622</v>
      </c>
      <c r="AX127" s="1">
        <v>45796</v>
      </c>
      <c r="AY127">
        <v>38</v>
      </c>
      <c r="AZ127">
        <v>1882325</v>
      </c>
      <c r="BB127" s="1">
        <v>45841</v>
      </c>
      <c r="BC127">
        <v>38</v>
      </c>
      <c r="BD127">
        <v>1888812</v>
      </c>
      <c r="BF127" s="1">
        <v>45867</v>
      </c>
      <c r="BG127">
        <v>38</v>
      </c>
      <c r="BH127">
        <v>1891934</v>
      </c>
      <c r="BJ127" s="1">
        <v>45902</v>
      </c>
      <c r="BK127">
        <v>38</v>
      </c>
      <c r="BL127">
        <v>1897532</v>
      </c>
      <c r="BN127" s="1">
        <v>45923</v>
      </c>
      <c r="BO127">
        <v>38</v>
      </c>
      <c r="BP127">
        <v>1900443</v>
      </c>
      <c r="BR127" s="1">
        <v>45951</v>
      </c>
      <c r="BS127">
        <v>38</v>
      </c>
      <c r="BT127">
        <v>1905243</v>
      </c>
      <c r="BV127" s="1">
        <v>45979</v>
      </c>
      <c r="BW127">
        <v>38</v>
      </c>
      <c r="BX127">
        <v>1910225</v>
      </c>
      <c r="BZ127" s="1">
        <v>46021</v>
      </c>
      <c r="CA127">
        <v>38</v>
      </c>
      <c r="CB127">
        <v>1916591</v>
      </c>
      <c r="CH127">
        <v>177519013</v>
      </c>
    </row>
    <row r="128" spans="1:86" x14ac:dyDescent="0.25">
      <c r="A128">
        <v>571966</v>
      </c>
      <c r="B128">
        <v>102</v>
      </c>
      <c r="C128">
        <v>301020</v>
      </c>
      <c r="D128">
        <v>1</v>
      </c>
      <c r="E128">
        <v>1</v>
      </c>
      <c r="F128">
        <v>270550</v>
      </c>
      <c r="G128">
        <v>270550</v>
      </c>
      <c r="H128" t="s">
        <v>90</v>
      </c>
      <c r="N128" t="s">
        <v>774</v>
      </c>
      <c r="O128">
        <v>4004333</v>
      </c>
      <c r="P128" t="s">
        <v>92</v>
      </c>
      <c r="Q128" t="s">
        <v>93</v>
      </c>
      <c r="R128" t="s">
        <v>775</v>
      </c>
      <c r="S128" t="s">
        <v>776</v>
      </c>
      <c r="V128" t="s">
        <v>777</v>
      </c>
      <c r="W128" t="s">
        <v>579</v>
      </c>
      <c r="X128">
        <v>16301</v>
      </c>
      <c r="Y128" t="s">
        <v>99</v>
      </c>
      <c r="AA128" t="s">
        <v>774</v>
      </c>
      <c r="AB128" t="s">
        <v>775</v>
      </c>
      <c r="AC128" t="s">
        <v>776</v>
      </c>
      <c r="AD128" t="s">
        <v>778</v>
      </c>
      <c r="AI128">
        <v>1185.5999999999999</v>
      </c>
      <c r="AK128">
        <v>0</v>
      </c>
      <c r="AL128" s="1">
        <v>45670</v>
      </c>
      <c r="AM128">
        <v>456.12</v>
      </c>
      <c r="AN128">
        <v>1860032</v>
      </c>
      <c r="AP128" s="1">
        <v>45777</v>
      </c>
      <c r="AQ128">
        <v>176.24</v>
      </c>
      <c r="AR128">
        <v>1877684</v>
      </c>
      <c r="AT128" s="1">
        <v>46013</v>
      </c>
      <c r="AU128">
        <v>553.24</v>
      </c>
      <c r="AV128">
        <v>1913993</v>
      </c>
      <c r="CH128">
        <v>16301</v>
      </c>
    </row>
    <row r="129" spans="1:86" x14ac:dyDescent="0.25">
      <c r="A129">
        <v>571967</v>
      </c>
      <c r="B129">
        <v>102</v>
      </c>
      <c r="C129">
        <v>301021</v>
      </c>
      <c r="D129">
        <v>1</v>
      </c>
      <c r="E129">
        <v>1</v>
      </c>
      <c r="F129">
        <v>270750</v>
      </c>
      <c r="G129">
        <v>270750</v>
      </c>
      <c r="H129" t="s">
        <v>90</v>
      </c>
      <c r="N129" t="s">
        <v>779</v>
      </c>
      <c r="O129">
        <v>270750</v>
      </c>
      <c r="P129" t="s">
        <v>92</v>
      </c>
      <c r="Q129" t="s">
        <v>93</v>
      </c>
      <c r="R129" t="s">
        <v>780</v>
      </c>
      <c r="S129" t="s">
        <v>781</v>
      </c>
      <c r="V129" t="s">
        <v>782</v>
      </c>
      <c r="W129" t="s">
        <v>579</v>
      </c>
      <c r="X129" t="s">
        <v>783</v>
      </c>
      <c r="Y129" t="s">
        <v>99</v>
      </c>
      <c r="AA129" t="s">
        <v>779</v>
      </c>
      <c r="AB129" t="s">
        <v>780</v>
      </c>
      <c r="AC129" t="s">
        <v>781</v>
      </c>
      <c r="AD129" t="s">
        <v>784</v>
      </c>
      <c r="AH129" t="s">
        <v>785</v>
      </c>
      <c r="AI129">
        <v>4059</v>
      </c>
      <c r="AK129">
        <v>0</v>
      </c>
      <c r="AL129" s="1">
        <v>45672</v>
      </c>
      <c r="AM129">
        <v>125</v>
      </c>
      <c r="AN129">
        <v>1862046</v>
      </c>
      <c r="AP129" s="1">
        <v>45714</v>
      </c>
      <c r="AQ129">
        <v>125</v>
      </c>
      <c r="AR129">
        <v>1867431</v>
      </c>
      <c r="AT129" s="1">
        <v>45730</v>
      </c>
      <c r="AU129">
        <v>2684</v>
      </c>
      <c r="AV129">
        <v>1869703</v>
      </c>
      <c r="AX129" s="1">
        <v>45730</v>
      </c>
      <c r="AY129">
        <v>125</v>
      </c>
      <c r="AZ129">
        <v>1871056</v>
      </c>
      <c r="BB129" s="1">
        <v>45761</v>
      </c>
      <c r="BC129">
        <v>125</v>
      </c>
      <c r="BD129">
        <v>1876307</v>
      </c>
      <c r="BF129" s="1">
        <v>45796</v>
      </c>
      <c r="BG129">
        <v>125</v>
      </c>
      <c r="BH129">
        <v>1882328</v>
      </c>
      <c r="BJ129" s="1">
        <v>45826</v>
      </c>
      <c r="BK129">
        <v>125</v>
      </c>
      <c r="BL129">
        <v>1886435</v>
      </c>
      <c r="BN129" s="1">
        <v>45847</v>
      </c>
      <c r="BO129">
        <v>125</v>
      </c>
      <c r="BP129">
        <v>1890208</v>
      </c>
      <c r="BR129" s="1">
        <v>45896</v>
      </c>
      <c r="BS129">
        <v>125</v>
      </c>
      <c r="BT129">
        <v>1896398</v>
      </c>
      <c r="BV129" s="1">
        <v>45916</v>
      </c>
      <c r="BW129">
        <v>125</v>
      </c>
      <c r="BX129">
        <v>1899624</v>
      </c>
      <c r="BZ129" s="1">
        <v>45944</v>
      </c>
      <c r="CA129">
        <v>125</v>
      </c>
      <c r="CB129">
        <v>1904542</v>
      </c>
      <c r="CD129" s="1">
        <v>45975</v>
      </c>
      <c r="CE129">
        <v>125</v>
      </c>
      <c r="CF129">
        <v>1909358</v>
      </c>
    </row>
    <row r="130" spans="1:86" x14ac:dyDescent="0.25">
      <c r="A130">
        <v>571968</v>
      </c>
      <c r="B130">
        <v>102</v>
      </c>
      <c r="C130">
        <v>301022</v>
      </c>
      <c r="D130">
        <v>1</v>
      </c>
      <c r="E130">
        <v>1</v>
      </c>
      <c r="F130">
        <v>270893</v>
      </c>
      <c r="G130">
        <v>270893</v>
      </c>
      <c r="H130" t="s">
        <v>90</v>
      </c>
      <c r="N130" t="s">
        <v>786</v>
      </c>
      <c r="O130">
        <v>4004334</v>
      </c>
      <c r="P130" t="s">
        <v>92</v>
      </c>
      <c r="Q130" t="s">
        <v>93</v>
      </c>
      <c r="R130" t="s">
        <v>787</v>
      </c>
      <c r="S130" t="s">
        <v>788</v>
      </c>
      <c r="V130" t="s">
        <v>789</v>
      </c>
      <c r="W130" t="s">
        <v>579</v>
      </c>
      <c r="X130">
        <v>16371</v>
      </c>
      <c r="Y130" t="s">
        <v>99</v>
      </c>
      <c r="AA130" t="s">
        <v>786</v>
      </c>
      <c r="AB130" t="s">
        <v>787</v>
      </c>
      <c r="AC130" t="s">
        <v>788</v>
      </c>
      <c r="AD130" t="s">
        <v>790</v>
      </c>
      <c r="AH130" t="s">
        <v>791</v>
      </c>
      <c r="AI130">
        <v>1200</v>
      </c>
      <c r="AK130">
        <v>0</v>
      </c>
      <c r="AL130" s="1">
        <v>45672</v>
      </c>
      <c r="AM130">
        <v>100</v>
      </c>
      <c r="AN130">
        <v>1860353</v>
      </c>
      <c r="AP130" s="1">
        <v>45703</v>
      </c>
      <c r="AQ130">
        <v>100</v>
      </c>
      <c r="AR130">
        <v>1865448</v>
      </c>
      <c r="AT130" s="1">
        <v>45731</v>
      </c>
      <c r="AU130">
        <v>100</v>
      </c>
      <c r="AV130">
        <v>1870323</v>
      </c>
      <c r="AX130" s="1">
        <v>45762</v>
      </c>
      <c r="AY130">
        <v>100</v>
      </c>
      <c r="AZ130">
        <v>1875111</v>
      </c>
      <c r="BB130" s="1">
        <v>45792</v>
      </c>
      <c r="BC130">
        <v>100</v>
      </c>
      <c r="BD130">
        <v>1880222</v>
      </c>
      <c r="BF130" s="1">
        <v>45823</v>
      </c>
      <c r="BG130">
        <v>100</v>
      </c>
      <c r="BH130">
        <v>1884885</v>
      </c>
      <c r="BJ130" s="1">
        <v>45853</v>
      </c>
      <c r="BK130">
        <v>100</v>
      </c>
      <c r="BL130">
        <v>1889622</v>
      </c>
      <c r="BN130" s="1">
        <v>45884</v>
      </c>
      <c r="BO130">
        <v>100</v>
      </c>
      <c r="BP130">
        <v>1894427</v>
      </c>
      <c r="BR130" s="1">
        <v>45915</v>
      </c>
      <c r="BS130">
        <v>100</v>
      </c>
      <c r="BT130">
        <v>1898873</v>
      </c>
      <c r="BV130" s="1">
        <v>45945</v>
      </c>
      <c r="BW130">
        <v>100</v>
      </c>
      <c r="BX130">
        <v>1903472</v>
      </c>
      <c r="BZ130" s="1">
        <v>45976</v>
      </c>
      <c r="CA130">
        <v>100</v>
      </c>
      <c r="CB130">
        <v>1908084</v>
      </c>
      <c r="CD130" s="1">
        <v>46006</v>
      </c>
      <c r="CE130">
        <v>100</v>
      </c>
      <c r="CF130">
        <v>1912845</v>
      </c>
      <c r="CH130">
        <v>16371</v>
      </c>
    </row>
    <row r="131" spans="1:86" x14ac:dyDescent="0.25">
      <c r="A131">
        <v>571969</v>
      </c>
      <c r="B131">
        <v>102</v>
      </c>
      <c r="C131">
        <v>301023</v>
      </c>
      <c r="D131">
        <v>1</v>
      </c>
      <c r="E131">
        <v>1</v>
      </c>
      <c r="F131">
        <v>280160</v>
      </c>
      <c r="G131">
        <v>280160</v>
      </c>
      <c r="H131" t="s">
        <v>90</v>
      </c>
      <c r="N131" t="s">
        <v>792</v>
      </c>
      <c r="O131">
        <v>4004335</v>
      </c>
      <c r="P131" t="s">
        <v>92</v>
      </c>
      <c r="Q131" t="s">
        <v>93</v>
      </c>
      <c r="R131" t="s">
        <v>793</v>
      </c>
      <c r="S131" t="s">
        <v>794</v>
      </c>
      <c r="V131" t="s">
        <v>795</v>
      </c>
      <c r="W131" t="s">
        <v>796</v>
      </c>
      <c r="X131" t="s">
        <v>797</v>
      </c>
      <c r="Y131" t="s">
        <v>99</v>
      </c>
      <c r="AA131" t="s">
        <v>792</v>
      </c>
      <c r="AB131" t="s">
        <v>793</v>
      </c>
      <c r="AC131" t="s">
        <v>794</v>
      </c>
      <c r="AD131" t="s">
        <v>798</v>
      </c>
      <c r="AH131" t="s">
        <v>799</v>
      </c>
      <c r="AI131">
        <v>912</v>
      </c>
      <c r="AK131">
        <v>0</v>
      </c>
      <c r="AL131" s="1">
        <v>45731</v>
      </c>
      <c r="AM131">
        <v>912</v>
      </c>
      <c r="AN131">
        <v>1870324</v>
      </c>
      <c r="CH131">
        <v>731102144</v>
      </c>
    </row>
    <row r="132" spans="1:86" x14ac:dyDescent="0.25">
      <c r="A132">
        <v>571970</v>
      </c>
      <c r="B132">
        <v>102</v>
      </c>
      <c r="C132">
        <v>301024</v>
      </c>
      <c r="D132">
        <v>1</v>
      </c>
      <c r="E132">
        <v>1</v>
      </c>
      <c r="F132">
        <v>280360</v>
      </c>
      <c r="G132">
        <v>280360</v>
      </c>
      <c r="H132" t="s">
        <v>90</v>
      </c>
      <c r="N132" t="s">
        <v>800</v>
      </c>
      <c r="O132">
        <v>280360</v>
      </c>
      <c r="P132" t="s">
        <v>92</v>
      </c>
      <c r="Q132" t="s">
        <v>93</v>
      </c>
      <c r="R132" t="s">
        <v>801</v>
      </c>
      <c r="V132" t="s">
        <v>802</v>
      </c>
      <c r="W132" t="s">
        <v>146</v>
      </c>
      <c r="X132" t="s">
        <v>803</v>
      </c>
      <c r="Y132" t="s">
        <v>99</v>
      </c>
      <c r="AA132" t="s">
        <v>800</v>
      </c>
      <c r="AB132" t="s">
        <v>801</v>
      </c>
      <c r="AC132" t="s">
        <v>804</v>
      </c>
      <c r="AI132">
        <v>456</v>
      </c>
      <c r="AK132">
        <v>0</v>
      </c>
      <c r="AL132" s="1">
        <v>45675</v>
      </c>
      <c r="AM132">
        <v>38</v>
      </c>
      <c r="AN132">
        <v>1861272</v>
      </c>
      <c r="AP132" s="1">
        <v>45706</v>
      </c>
      <c r="AQ132">
        <v>38</v>
      </c>
      <c r="AR132">
        <v>1866153</v>
      </c>
      <c r="AT132" s="1">
        <v>45734</v>
      </c>
      <c r="AU132">
        <v>38</v>
      </c>
      <c r="AV132">
        <v>1870865</v>
      </c>
      <c r="AX132" s="1">
        <v>45765</v>
      </c>
      <c r="AY132">
        <v>38</v>
      </c>
      <c r="AZ132">
        <v>1875903</v>
      </c>
      <c r="BB132" s="1">
        <v>45795</v>
      </c>
      <c r="BC132">
        <v>38</v>
      </c>
      <c r="BD132">
        <v>1880937</v>
      </c>
      <c r="BF132" s="1">
        <v>45826</v>
      </c>
      <c r="BG132">
        <v>38</v>
      </c>
      <c r="BH132">
        <v>1885623</v>
      </c>
      <c r="BJ132" s="1">
        <v>45856</v>
      </c>
      <c r="BK132">
        <v>38</v>
      </c>
      <c r="BL132">
        <v>1890167</v>
      </c>
      <c r="BN132" s="1">
        <v>45887</v>
      </c>
      <c r="BO132">
        <v>38</v>
      </c>
      <c r="BP132">
        <v>1894972</v>
      </c>
      <c r="BR132" s="1">
        <v>45918</v>
      </c>
      <c r="BS132">
        <v>38</v>
      </c>
      <c r="BT132">
        <v>1899530</v>
      </c>
      <c r="BV132" s="1">
        <v>45948</v>
      </c>
      <c r="BW132">
        <v>38</v>
      </c>
      <c r="BX132">
        <v>1904029</v>
      </c>
      <c r="BZ132" s="1">
        <v>45979</v>
      </c>
      <c r="CA132">
        <v>38</v>
      </c>
      <c r="CB132">
        <v>1908654</v>
      </c>
      <c r="CD132" s="1">
        <v>46009</v>
      </c>
      <c r="CE132">
        <v>38</v>
      </c>
      <c r="CF132">
        <v>1913584</v>
      </c>
      <c r="CH132">
        <v>657070043</v>
      </c>
    </row>
    <row r="133" spans="1:86" x14ac:dyDescent="0.25">
      <c r="A133">
        <v>571971</v>
      </c>
      <c r="B133">
        <v>102</v>
      </c>
      <c r="C133">
        <v>301025</v>
      </c>
      <c r="D133">
        <v>1</v>
      </c>
      <c r="E133">
        <v>1</v>
      </c>
      <c r="F133">
        <v>290120</v>
      </c>
      <c r="G133">
        <v>290120</v>
      </c>
      <c r="H133" t="s">
        <v>90</v>
      </c>
      <c r="N133" t="s">
        <v>805</v>
      </c>
      <c r="O133">
        <v>4004338</v>
      </c>
      <c r="P133" t="s">
        <v>92</v>
      </c>
      <c r="Q133" t="s">
        <v>93</v>
      </c>
      <c r="R133" t="s">
        <v>806</v>
      </c>
      <c r="S133" t="s">
        <v>807</v>
      </c>
      <c r="V133" t="s">
        <v>808</v>
      </c>
      <c r="W133" t="s">
        <v>809</v>
      </c>
      <c r="X133" t="s">
        <v>810</v>
      </c>
      <c r="Y133" t="s">
        <v>99</v>
      </c>
      <c r="AA133" t="s">
        <v>805</v>
      </c>
      <c r="AB133" t="s">
        <v>806</v>
      </c>
      <c r="AC133" t="s">
        <v>807</v>
      </c>
      <c r="AD133" t="s">
        <v>811</v>
      </c>
      <c r="AH133" t="s">
        <v>812</v>
      </c>
      <c r="AI133">
        <v>912</v>
      </c>
      <c r="AK133">
        <v>0</v>
      </c>
      <c r="AL133" s="1">
        <v>45662</v>
      </c>
      <c r="AM133">
        <v>76</v>
      </c>
      <c r="AN133">
        <v>1858979</v>
      </c>
      <c r="AP133" s="1">
        <v>45693</v>
      </c>
      <c r="AQ133">
        <v>76</v>
      </c>
      <c r="AR133">
        <v>1864404</v>
      </c>
      <c r="AT133" s="1">
        <v>45721</v>
      </c>
      <c r="AU133">
        <v>76</v>
      </c>
      <c r="AV133">
        <v>1868930</v>
      </c>
      <c r="AX133" s="1">
        <v>45752</v>
      </c>
      <c r="AY133">
        <v>76</v>
      </c>
      <c r="AZ133">
        <v>1873963</v>
      </c>
      <c r="BB133" s="1">
        <v>45782</v>
      </c>
      <c r="BC133">
        <v>76</v>
      </c>
      <c r="BD133">
        <v>1878930</v>
      </c>
      <c r="BF133" s="1">
        <v>45813</v>
      </c>
      <c r="BG133">
        <v>76</v>
      </c>
      <c r="BH133">
        <v>1883686</v>
      </c>
      <c r="BJ133" s="1">
        <v>45843</v>
      </c>
      <c r="BK133">
        <v>76</v>
      </c>
      <c r="BL133">
        <v>1888247</v>
      </c>
      <c r="BN133" s="1">
        <v>45874</v>
      </c>
      <c r="BO133">
        <v>76</v>
      </c>
      <c r="BP133">
        <v>1892959</v>
      </c>
      <c r="BR133" s="1">
        <v>45905</v>
      </c>
      <c r="BS133">
        <v>76</v>
      </c>
      <c r="BT133">
        <v>1897706</v>
      </c>
      <c r="BV133" s="1">
        <v>45935</v>
      </c>
      <c r="BW133">
        <v>76</v>
      </c>
      <c r="BX133">
        <v>1902260</v>
      </c>
      <c r="BZ133" s="1">
        <v>45966</v>
      </c>
      <c r="CA133">
        <v>76</v>
      </c>
      <c r="CB133">
        <v>1906977</v>
      </c>
      <c r="CD133" s="1">
        <v>45996</v>
      </c>
      <c r="CE133">
        <v>76</v>
      </c>
      <c r="CF133">
        <v>1911443</v>
      </c>
      <c r="CH133">
        <v>973440059</v>
      </c>
    </row>
    <row r="134" spans="1:86" x14ac:dyDescent="0.25">
      <c r="A134">
        <v>571972</v>
      </c>
      <c r="B134">
        <v>102</v>
      </c>
      <c r="C134">
        <v>301026</v>
      </c>
      <c r="D134">
        <v>1</v>
      </c>
      <c r="E134">
        <v>2</v>
      </c>
      <c r="F134">
        <v>290370</v>
      </c>
      <c r="G134">
        <v>290370</v>
      </c>
      <c r="H134" t="s">
        <v>90</v>
      </c>
      <c r="N134" t="s">
        <v>813</v>
      </c>
      <c r="O134">
        <v>290370</v>
      </c>
      <c r="P134" t="s">
        <v>92</v>
      </c>
      <c r="Q134" t="s">
        <v>93</v>
      </c>
      <c r="R134" t="s">
        <v>814</v>
      </c>
      <c r="V134" t="s">
        <v>815</v>
      </c>
      <c r="W134" t="s">
        <v>809</v>
      </c>
      <c r="X134" t="s">
        <v>816</v>
      </c>
      <c r="Y134" t="s">
        <v>99</v>
      </c>
      <c r="AA134" t="s">
        <v>813</v>
      </c>
      <c r="AB134" t="s">
        <v>814</v>
      </c>
      <c r="AC134" t="s">
        <v>817</v>
      </c>
      <c r="AH134" t="s">
        <v>818</v>
      </c>
      <c r="AI134">
        <v>2458</v>
      </c>
      <c r="AK134">
        <v>0</v>
      </c>
      <c r="AL134" s="1">
        <v>45667</v>
      </c>
      <c r="AM134">
        <v>114</v>
      </c>
      <c r="AN134">
        <v>1859501</v>
      </c>
      <c r="AP134" s="1">
        <v>45698</v>
      </c>
      <c r="AQ134">
        <v>114</v>
      </c>
      <c r="AR134">
        <v>1864726</v>
      </c>
      <c r="AT134" s="1">
        <v>45702</v>
      </c>
      <c r="AU134">
        <v>150</v>
      </c>
      <c r="AV134">
        <v>1866682</v>
      </c>
      <c r="AX134" s="1">
        <v>45726</v>
      </c>
      <c r="AY134">
        <v>114</v>
      </c>
      <c r="AZ134">
        <v>1869418</v>
      </c>
      <c r="BB134" s="1">
        <v>45757</v>
      </c>
      <c r="BC134">
        <v>114</v>
      </c>
      <c r="BD134">
        <v>1874279</v>
      </c>
      <c r="BF134" s="1">
        <v>45787</v>
      </c>
      <c r="BG134">
        <v>114</v>
      </c>
      <c r="BH134">
        <v>1879432</v>
      </c>
      <c r="BJ134" s="1">
        <v>45811</v>
      </c>
      <c r="BK134">
        <v>740</v>
      </c>
      <c r="BL134">
        <v>1883535</v>
      </c>
      <c r="BN134" s="1">
        <v>45818</v>
      </c>
      <c r="BO134">
        <v>114</v>
      </c>
      <c r="BP134">
        <v>1884181</v>
      </c>
      <c r="BR134" s="1">
        <v>45831</v>
      </c>
      <c r="BS134">
        <v>100</v>
      </c>
      <c r="BT134">
        <v>1885954</v>
      </c>
      <c r="BV134" s="1">
        <v>45844</v>
      </c>
      <c r="BW134">
        <v>100</v>
      </c>
      <c r="BX134">
        <v>1888421</v>
      </c>
      <c r="BZ134" s="1">
        <v>45848</v>
      </c>
      <c r="CA134">
        <v>114</v>
      </c>
      <c r="CB134">
        <v>1888615</v>
      </c>
      <c r="CD134" s="1">
        <v>45879</v>
      </c>
      <c r="CE134">
        <v>114</v>
      </c>
      <c r="CF134">
        <v>1893510</v>
      </c>
      <c r="CH134">
        <v>973052061</v>
      </c>
    </row>
    <row r="135" spans="1:86" x14ac:dyDescent="0.25">
      <c r="A135">
        <v>571973</v>
      </c>
      <c r="B135">
        <v>102</v>
      </c>
      <c r="C135">
        <v>301026</v>
      </c>
      <c r="D135">
        <v>2</v>
      </c>
      <c r="E135">
        <v>2</v>
      </c>
      <c r="F135">
        <v>290370</v>
      </c>
      <c r="G135">
        <v>290370</v>
      </c>
      <c r="H135" t="s">
        <v>90</v>
      </c>
      <c r="N135" t="s">
        <v>813</v>
      </c>
      <c r="O135">
        <v>290370</v>
      </c>
      <c r="P135" t="s">
        <v>92</v>
      </c>
      <c r="Q135" t="s">
        <v>93</v>
      </c>
      <c r="R135" t="s">
        <v>814</v>
      </c>
      <c r="V135" t="s">
        <v>815</v>
      </c>
      <c r="W135" t="s">
        <v>809</v>
      </c>
      <c r="X135" t="s">
        <v>816</v>
      </c>
      <c r="Y135" t="s">
        <v>99</v>
      </c>
      <c r="AA135" t="s">
        <v>813</v>
      </c>
      <c r="AB135" t="s">
        <v>814</v>
      </c>
      <c r="AC135" t="s">
        <v>817</v>
      </c>
      <c r="AH135" t="s">
        <v>818</v>
      </c>
      <c r="AI135">
        <v>2458</v>
      </c>
      <c r="AK135">
        <v>0</v>
      </c>
      <c r="AL135" s="1">
        <v>45910</v>
      </c>
      <c r="AM135">
        <v>114</v>
      </c>
      <c r="AN135">
        <v>1898043</v>
      </c>
      <c r="AP135" s="1">
        <v>45940</v>
      </c>
      <c r="AQ135">
        <v>114</v>
      </c>
      <c r="AR135">
        <v>1902775</v>
      </c>
      <c r="AT135" s="1">
        <v>45971</v>
      </c>
      <c r="AU135">
        <v>114</v>
      </c>
      <c r="AV135">
        <v>1907355</v>
      </c>
      <c r="AX135" s="1">
        <v>46001</v>
      </c>
      <c r="AY135">
        <v>114</v>
      </c>
      <c r="AZ135">
        <v>1912032</v>
      </c>
      <c r="CH135">
        <v>973052061</v>
      </c>
    </row>
    <row r="136" spans="1:86" x14ac:dyDescent="0.25">
      <c r="A136">
        <v>571974</v>
      </c>
      <c r="B136">
        <v>102</v>
      </c>
      <c r="C136">
        <v>301027</v>
      </c>
      <c r="D136">
        <v>1</v>
      </c>
      <c r="E136">
        <v>1</v>
      </c>
      <c r="F136">
        <v>290381</v>
      </c>
      <c r="G136">
        <v>290381</v>
      </c>
      <c r="H136" t="s">
        <v>90</v>
      </c>
      <c r="N136" t="s">
        <v>819</v>
      </c>
      <c r="O136">
        <v>290381</v>
      </c>
      <c r="P136" t="s">
        <v>92</v>
      </c>
      <c r="Q136" t="s">
        <v>93</v>
      </c>
      <c r="R136" t="s">
        <v>820</v>
      </c>
      <c r="V136" t="s">
        <v>821</v>
      </c>
      <c r="W136" t="s">
        <v>809</v>
      </c>
      <c r="X136" t="s">
        <v>822</v>
      </c>
      <c r="Y136" t="s">
        <v>99</v>
      </c>
      <c r="AA136" t="s">
        <v>819</v>
      </c>
      <c r="AB136" t="s">
        <v>820</v>
      </c>
      <c r="AC136" t="s">
        <v>823</v>
      </c>
      <c r="AH136" t="s">
        <v>824</v>
      </c>
      <c r="AI136">
        <v>456</v>
      </c>
      <c r="AK136">
        <v>0</v>
      </c>
      <c r="AL136" s="1">
        <v>45684</v>
      </c>
      <c r="AM136">
        <v>38</v>
      </c>
      <c r="AN136">
        <v>1862720</v>
      </c>
      <c r="AP136" s="1">
        <v>45712</v>
      </c>
      <c r="AQ136">
        <v>38</v>
      </c>
      <c r="AR136">
        <v>1867371</v>
      </c>
      <c r="AT136" s="1">
        <v>45728</v>
      </c>
      <c r="AU136">
        <v>38</v>
      </c>
      <c r="AV136">
        <v>1870967</v>
      </c>
      <c r="AX136" s="1">
        <v>45761</v>
      </c>
      <c r="AY136">
        <v>38</v>
      </c>
      <c r="AZ136">
        <v>1876304</v>
      </c>
      <c r="BB136" s="1">
        <v>45796</v>
      </c>
      <c r="BC136">
        <v>38</v>
      </c>
      <c r="BD136">
        <v>1882329</v>
      </c>
      <c r="BF136" s="1">
        <v>45849</v>
      </c>
      <c r="BG136">
        <v>38</v>
      </c>
      <c r="BH136">
        <v>1890299</v>
      </c>
      <c r="BJ136" s="1">
        <v>45877</v>
      </c>
      <c r="BK136">
        <v>38</v>
      </c>
      <c r="BL136">
        <v>1893791</v>
      </c>
      <c r="BN136" s="1">
        <v>45944</v>
      </c>
      <c r="BO136">
        <v>38</v>
      </c>
      <c r="BP136">
        <v>1904533</v>
      </c>
      <c r="BR136" s="1">
        <v>45944</v>
      </c>
      <c r="BS136">
        <v>38</v>
      </c>
      <c r="BT136">
        <v>1904534</v>
      </c>
      <c r="BV136" s="1">
        <v>45987</v>
      </c>
      <c r="BW136">
        <v>38</v>
      </c>
      <c r="BX136">
        <v>1911572</v>
      </c>
      <c r="BZ136" s="1">
        <v>46000</v>
      </c>
      <c r="CA136">
        <v>38</v>
      </c>
      <c r="CB136">
        <v>1913029</v>
      </c>
      <c r="CD136" s="1">
        <v>46010</v>
      </c>
      <c r="CE136">
        <v>38</v>
      </c>
      <c r="CF136">
        <v>1916062</v>
      </c>
      <c r="CH136">
        <v>974773530</v>
      </c>
    </row>
    <row r="137" spans="1:86" x14ac:dyDescent="0.25">
      <c r="A137">
        <v>571975</v>
      </c>
      <c r="B137">
        <v>102</v>
      </c>
      <c r="C137">
        <v>301028</v>
      </c>
      <c r="D137">
        <v>1</v>
      </c>
      <c r="E137">
        <v>2</v>
      </c>
      <c r="F137">
        <v>290443</v>
      </c>
      <c r="G137">
        <v>290443</v>
      </c>
      <c r="H137" t="s">
        <v>90</v>
      </c>
      <c r="N137" t="s">
        <v>825</v>
      </c>
      <c r="O137">
        <v>4007965</v>
      </c>
      <c r="P137" t="s">
        <v>92</v>
      </c>
      <c r="Q137" t="s">
        <v>93</v>
      </c>
      <c r="R137" t="s">
        <v>826</v>
      </c>
      <c r="S137" t="s">
        <v>827</v>
      </c>
      <c r="V137" t="s">
        <v>828</v>
      </c>
      <c r="W137" t="s">
        <v>809</v>
      </c>
      <c r="X137" t="s">
        <v>829</v>
      </c>
      <c r="Y137" t="s">
        <v>99</v>
      </c>
      <c r="AA137" t="s">
        <v>825</v>
      </c>
      <c r="AB137" t="s">
        <v>826</v>
      </c>
      <c r="AC137" t="s">
        <v>827</v>
      </c>
      <c r="AD137" t="s">
        <v>830</v>
      </c>
      <c r="AH137" t="s">
        <v>831</v>
      </c>
      <c r="AI137">
        <v>1292</v>
      </c>
      <c r="AK137">
        <v>0</v>
      </c>
      <c r="AL137" s="1">
        <v>45691</v>
      </c>
      <c r="AM137">
        <v>76</v>
      </c>
      <c r="AN137">
        <v>1864239</v>
      </c>
      <c r="AP137" s="1">
        <v>45712</v>
      </c>
      <c r="AQ137">
        <v>76</v>
      </c>
      <c r="AR137">
        <v>1867372</v>
      </c>
      <c r="AT137" s="1">
        <v>45744</v>
      </c>
      <c r="AU137">
        <v>76</v>
      </c>
      <c r="AV137">
        <v>1873260</v>
      </c>
      <c r="AX137" s="1">
        <v>45768</v>
      </c>
      <c r="AY137">
        <v>76</v>
      </c>
      <c r="AZ137">
        <v>1877693</v>
      </c>
      <c r="BB137" s="1">
        <v>45804</v>
      </c>
      <c r="BC137">
        <v>76</v>
      </c>
      <c r="BD137">
        <v>1883318</v>
      </c>
      <c r="BF137" s="1">
        <v>45835</v>
      </c>
      <c r="BG137">
        <v>114</v>
      </c>
      <c r="BH137">
        <v>1888371</v>
      </c>
      <c r="BJ137" s="1">
        <v>45861</v>
      </c>
      <c r="BK137">
        <v>114</v>
      </c>
      <c r="BL137">
        <v>1890980</v>
      </c>
      <c r="BN137" s="1">
        <v>45889</v>
      </c>
      <c r="BO137">
        <v>114</v>
      </c>
      <c r="BP137">
        <v>1895303</v>
      </c>
      <c r="BR137" s="1">
        <v>45889</v>
      </c>
      <c r="BS137">
        <v>114</v>
      </c>
      <c r="BT137">
        <v>1895304</v>
      </c>
      <c r="BV137" s="1">
        <v>45912</v>
      </c>
      <c r="BW137">
        <v>114</v>
      </c>
      <c r="BX137">
        <v>1899208</v>
      </c>
      <c r="BZ137" s="1">
        <v>45937</v>
      </c>
      <c r="CA137">
        <v>114</v>
      </c>
      <c r="CB137">
        <v>1902658</v>
      </c>
      <c r="CD137" s="1">
        <v>45971</v>
      </c>
      <c r="CE137">
        <v>114</v>
      </c>
      <c r="CF137">
        <v>1908898</v>
      </c>
      <c r="CH137">
        <v>973960957</v>
      </c>
    </row>
    <row r="138" spans="1:86" x14ac:dyDescent="0.25">
      <c r="A138">
        <v>571976</v>
      </c>
      <c r="B138">
        <v>102</v>
      </c>
      <c r="C138">
        <v>301028</v>
      </c>
      <c r="D138">
        <v>2</v>
      </c>
      <c r="E138">
        <v>2</v>
      </c>
      <c r="F138">
        <v>290443</v>
      </c>
      <c r="G138">
        <v>290443</v>
      </c>
      <c r="H138" t="s">
        <v>90</v>
      </c>
      <c r="N138" t="s">
        <v>825</v>
      </c>
      <c r="O138">
        <v>4007965</v>
      </c>
      <c r="P138" t="s">
        <v>92</v>
      </c>
      <c r="Q138" t="s">
        <v>93</v>
      </c>
      <c r="R138" t="s">
        <v>826</v>
      </c>
      <c r="S138" t="s">
        <v>827</v>
      </c>
      <c r="V138" t="s">
        <v>828</v>
      </c>
      <c r="W138" t="s">
        <v>809</v>
      </c>
      <c r="X138" t="s">
        <v>829</v>
      </c>
      <c r="Y138" t="s">
        <v>99</v>
      </c>
      <c r="AA138" t="s">
        <v>825</v>
      </c>
      <c r="AB138" t="s">
        <v>826</v>
      </c>
      <c r="AC138" t="s">
        <v>827</v>
      </c>
      <c r="AD138" t="s">
        <v>830</v>
      </c>
      <c r="AH138" t="s">
        <v>831</v>
      </c>
      <c r="AI138">
        <v>1292</v>
      </c>
      <c r="AK138">
        <v>0</v>
      </c>
      <c r="AL138" s="1">
        <v>46017</v>
      </c>
      <c r="AM138">
        <v>114</v>
      </c>
      <c r="AN138">
        <v>1916454</v>
      </c>
      <c r="CH138">
        <v>973960957</v>
      </c>
    </row>
    <row r="139" spans="1:86" x14ac:dyDescent="0.25">
      <c r="A139">
        <v>571977</v>
      </c>
      <c r="B139">
        <v>102</v>
      </c>
      <c r="C139">
        <v>301029</v>
      </c>
      <c r="D139">
        <v>1</v>
      </c>
      <c r="E139">
        <v>1</v>
      </c>
      <c r="F139">
        <v>300040</v>
      </c>
      <c r="G139">
        <v>300040</v>
      </c>
      <c r="H139" t="s">
        <v>90</v>
      </c>
      <c r="N139" t="s">
        <v>832</v>
      </c>
      <c r="O139">
        <v>4007285</v>
      </c>
      <c r="P139" t="s">
        <v>92</v>
      </c>
      <c r="Q139" t="s">
        <v>93</v>
      </c>
      <c r="R139" t="s">
        <v>833</v>
      </c>
      <c r="S139" t="s">
        <v>834</v>
      </c>
      <c r="V139" t="s">
        <v>835</v>
      </c>
      <c r="W139" t="s">
        <v>146</v>
      </c>
      <c r="X139" t="s">
        <v>836</v>
      </c>
      <c r="Y139" t="s">
        <v>99</v>
      </c>
      <c r="AA139" t="s">
        <v>832</v>
      </c>
      <c r="AB139" t="s">
        <v>833</v>
      </c>
      <c r="AC139" t="s">
        <v>834</v>
      </c>
      <c r="AD139" t="s">
        <v>837</v>
      </c>
      <c r="AH139" t="s">
        <v>838</v>
      </c>
      <c r="AI139">
        <v>506</v>
      </c>
      <c r="AK139">
        <v>0</v>
      </c>
      <c r="AL139" s="1">
        <v>46013</v>
      </c>
      <c r="AM139">
        <v>506</v>
      </c>
      <c r="AN139">
        <v>1914001</v>
      </c>
      <c r="CH139">
        <v>646010851</v>
      </c>
    </row>
    <row r="140" spans="1:86" x14ac:dyDescent="0.25">
      <c r="A140">
        <v>571978</v>
      </c>
      <c r="B140">
        <v>102</v>
      </c>
      <c r="C140">
        <v>301030</v>
      </c>
      <c r="D140">
        <v>1</v>
      </c>
      <c r="E140">
        <v>1</v>
      </c>
      <c r="F140">
        <v>310001</v>
      </c>
      <c r="G140">
        <v>310001</v>
      </c>
      <c r="H140" t="s">
        <v>90</v>
      </c>
      <c r="N140" t="s">
        <v>839</v>
      </c>
      <c r="O140">
        <v>4005469</v>
      </c>
      <c r="P140" t="s">
        <v>92</v>
      </c>
      <c r="Q140" t="s">
        <v>93</v>
      </c>
      <c r="R140" t="s">
        <v>840</v>
      </c>
      <c r="V140" t="s">
        <v>841</v>
      </c>
      <c r="W140" t="s">
        <v>105</v>
      </c>
      <c r="X140" t="s">
        <v>842</v>
      </c>
      <c r="Y140" t="s">
        <v>99</v>
      </c>
      <c r="AA140" t="s">
        <v>839</v>
      </c>
      <c r="AB140" t="s">
        <v>840</v>
      </c>
      <c r="AC140" t="s">
        <v>843</v>
      </c>
      <c r="AI140">
        <v>912</v>
      </c>
      <c r="AK140">
        <v>0</v>
      </c>
      <c r="AL140" s="1">
        <v>45675</v>
      </c>
      <c r="AM140">
        <v>228</v>
      </c>
      <c r="AN140">
        <v>1861283</v>
      </c>
      <c r="AP140" s="1">
        <v>45765</v>
      </c>
      <c r="AQ140">
        <v>228</v>
      </c>
      <c r="AR140">
        <v>1875915</v>
      </c>
      <c r="AT140" s="1">
        <v>45856</v>
      </c>
      <c r="AU140">
        <v>228</v>
      </c>
      <c r="AV140">
        <v>1890178</v>
      </c>
      <c r="AX140" s="1">
        <v>45948</v>
      </c>
      <c r="AY140">
        <v>228</v>
      </c>
      <c r="AZ140">
        <v>1904035</v>
      </c>
      <c r="CH140">
        <v>926263407</v>
      </c>
    </row>
    <row r="141" spans="1:86" x14ac:dyDescent="0.25">
      <c r="A141">
        <v>571979</v>
      </c>
      <c r="B141">
        <v>102</v>
      </c>
      <c r="C141">
        <v>301031</v>
      </c>
      <c r="D141">
        <v>1</v>
      </c>
      <c r="E141">
        <v>1</v>
      </c>
      <c r="F141">
        <v>320130</v>
      </c>
      <c r="G141">
        <v>320130</v>
      </c>
      <c r="H141" t="s">
        <v>90</v>
      </c>
      <c r="N141" t="s">
        <v>844</v>
      </c>
      <c r="O141">
        <v>4011042</v>
      </c>
      <c r="P141" t="s">
        <v>92</v>
      </c>
      <c r="Q141" t="s">
        <v>93</v>
      </c>
      <c r="R141" t="s">
        <v>845</v>
      </c>
      <c r="S141" t="s">
        <v>846</v>
      </c>
      <c r="V141" t="s">
        <v>847</v>
      </c>
      <c r="W141" t="s">
        <v>192</v>
      </c>
      <c r="X141">
        <v>98802</v>
      </c>
      <c r="Y141" t="s">
        <v>99</v>
      </c>
      <c r="AA141" t="s">
        <v>844</v>
      </c>
      <c r="AB141" t="s">
        <v>845</v>
      </c>
      <c r="AC141" t="s">
        <v>846</v>
      </c>
      <c r="AD141" t="s">
        <v>848</v>
      </c>
      <c r="AH141" t="s">
        <v>849</v>
      </c>
      <c r="AI141">
        <v>456</v>
      </c>
      <c r="AK141">
        <v>0</v>
      </c>
      <c r="AL141" s="1">
        <v>45678</v>
      </c>
      <c r="AM141">
        <v>38</v>
      </c>
      <c r="AN141">
        <v>1861693</v>
      </c>
      <c r="AP141" s="1">
        <v>45709</v>
      </c>
      <c r="AQ141">
        <v>38</v>
      </c>
      <c r="AR141">
        <v>1866393</v>
      </c>
      <c r="AT141" s="1">
        <v>45737</v>
      </c>
      <c r="AU141">
        <v>38</v>
      </c>
      <c r="AV141">
        <v>1871320</v>
      </c>
      <c r="AX141" s="1">
        <v>45768</v>
      </c>
      <c r="AY141">
        <v>38</v>
      </c>
      <c r="AZ141">
        <v>1876102</v>
      </c>
      <c r="BB141" s="1">
        <v>45798</v>
      </c>
      <c r="BC141">
        <v>38</v>
      </c>
      <c r="BD141">
        <v>1881163</v>
      </c>
      <c r="BF141" s="1">
        <v>45829</v>
      </c>
      <c r="BG141">
        <v>38</v>
      </c>
      <c r="BH141">
        <v>1885843</v>
      </c>
      <c r="BJ141" s="1">
        <v>45859</v>
      </c>
      <c r="BK141">
        <v>38</v>
      </c>
      <c r="BL141">
        <v>1890512</v>
      </c>
      <c r="BN141" s="1">
        <v>45890</v>
      </c>
      <c r="BO141">
        <v>38</v>
      </c>
      <c r="BP141">
        <v>1895330</v>
      </c>
      <c r="BR141" s="1">
        <v>45921</v>
      </c>
      <c r="BS141">
        <v>38</v>
      </c>
      <c r="BT141">
        <v>1899884</v>
      </c>
      <c r="BV141" s="1">
        <v>45951</v>
      </c>
      <c r="BW141">
        <v>38</v>
      </c>
      <c r="BX141">
        <v>1904248</v>
      </c>
      <c r="BZ141" s="1">
        <v>45982</v>
      </c>
      <c r="CA141">
        <v>38</v>
      </c>
      <c r="CB141">
        <v>1909097</v>
      </c>
      <c r="CD141" s="1">
        <v>46012</v>
      </c>
      <c r="CE141">
        <v>38</v>
      </c>
      <c r="CF141">
        <v>1913934</v>
      </c>
      <c r="CH141">
        <v>98802</v>
      </c>
    </row>
    <row r="142" spans="1:86" x14ac:dyDescent="0.25">
      <c r="A142">
        <v>571980</v>
      </c>
      <c r="B142">
        <v>102</v>
      </c>
      <c r="C142">
        <v>301032</v>
      </c>
      <c r="D142">
        <v>1</v>
      </c>
      <c r="E142">
        <v>2</v>
      </c>
      <c r="F142">
        <v>320181</v>
      </c>
      <c r="G142">
        <v>320181</v>
      </c>
      <c r="H142" t="s">
        <v>90</v>
      </c>
      <c r="N142" t="s">
        <v>850</v>
      </c>
      <c r="O142">
        <v>320181</v>
      </c>
      <c r="P142" t="s">
        <v>92</v>
      </c>
      <c r="Q142" t="s">
        <v>93</v>
      </c>
      <c r="R142" t="s">
        <v>851</v>
      </c>
      <c r="V142" t="s">
        <v>852</v>
      </c>
      <c r="W142" t="s">
        <v>192</v>
      </c>
      <c r="X142" t="s">
        <v>853</v>
      </c>
      <c r="Y142" t="s">
        <v>99</v>
      </c>
      <c r="AA142" t="s">
        <v>850</v>
      </c>
      <c r="AB142" t="s">
        <v>851</v>
      </c>
      <c r="AC142" t="s">
        <v>854</v>
      </c>
      <c r="AH142" t="s">
        <v>855</v>
      </c>
      <c r="AI142">
        <v>1482</v>
      </c>
      <c r="AK142">
        <v>0</v>
      </c>
      <c r="AL142" s="1">
        <v>45674</v>
      </c>
      <c r="AM142">
        <v>114</v>
      </c>
      <c r="AN142">
        <v>1861991</v>
      </c>
      <c r="AP142" s="1">
        <v>45707</v>
      </c>
      <c r="AQ142">
        <v>114</v>
      </c>
      <c r="AR142">
        <v>1866849</v>
      </c>
      <c r="AT142" s="1">
        <v>45754</v>
      </c>
      <c r="AU142">
        <v>114</v>
      </c>
      <c r="AV142">
        <v>1874605</v>
      </c>
      <c r="AX142" s="1">
        <v>45779</v>
      </c>
      <c r="AY142">
        <v>114</v>
      </c>
      <c r="AZ142">
        <v>1879218</v>
      </c>
      <c r="BB142" s="1">
        <v>45793</v>
      </c>
      <c r="BC142">
        <v>114</v>
      </c>
      <c r="BD142">
        <v>1881258</v>
      </c>
      <c r="BF142" s="1">
        <v>45812</v>
      </c>
      <c r="BG142">
        <v>114</v>
      </c>
      <c r="BH142">
        <v>1883860</v>
      </c>
      <c r="BJ142" s="1">
        <v>45849</v>
      </c>
      <c r="BK142">
        <v>114</v>
      </c>
      <c r="BL142">
        <v>1890298</v>
      </c>
      <c r="BN142" s="1">
        <v>45882</v>
      </c>
      <c r="BO142">
        <v>114</v>
      </c>
      <c r="BP142">
        <v>1893997</v>
      </c>
      <c r="BR142" s="1">
        <v>45902</v>
      </c>
      <c r="BS142">
        <v>114</v>
      </c>
      <c r="BT142">
        <v>1897535</v>
      </c>
      <c r="BV142" s="1">
        <v>45923</v>
      </c>
      <c r="BW142">
        <v>114</v>
      </c>
      <c r="BX142">
        <v>1900444</v>
      </c>
      <c r="BZ142" s="1">
        <v>45951</v>
      </c>
      <c r="CA142">
        <v>114</v>
      </c>
      <c r="CB142">
        <v>1905245</v>
      </c>
      <c r="CD142" s="1">
        <v>45979</v>
      </c>
      <c r="CE142">
        <v>114</v>
      </c>
      <c r="CF142">
        <v>1910228</v>
      </c>
      <c r="CH142">
        <v>985502931</v>
      </c>
    </row>
    <row r="143" spans="1:86" x14ac:dyDescent="0.25">
      <c r="A143">
        <v>571981</v>
      </c>
      <c r="B143">
        <v>102</v>
      </c>
      <c r="C143">
        <v>301032</v>
      </c>
      <c r="D143">
        <v>2</v>
      </c>
      <c r="E143">
        <v>2</v>
      </c>
      <c r="F143">
        <v>320181</v>
      </c>
      <c r="G143">
        <v>320181</v>
      </c>
      <c r="H143" t="s">
        <v>90</v>
      </c>
      <c r="N143" t="s">
        <v>850</v>
      </c>
      <c r="O143">
        <v>320181</v>
      </c>
      <c r="P143" t="s">
        <v>92</v>
      </c>
      <c r="Q143" t="s">
        <v>93</v>
      </c>
      <c r="R143" t="s">
        <v>851</v>
      </c>
      <c r="V143" t="s">
        <v>852</v>
      </c>
      <c r="W143" t="s">
        <v>192</v>
      </c>
      <c r="X143" t="s">
        <v>853</v>
      </c>
      <c r="Y143" t="s">
        <v>99</v>
      </c>
      <c r="AA143" t="s">
        <v>850</v>
      </c>
      <c r="AB143" t="s">
        <v>851</v>
      </c>
      <c r="AC143" t="s">
        <v>854</v>
      </c>
      <c r="AH143" t="s">
        <v>855</v>
      </c>
      <c r="AI143">
        <v>1482</v>
      </c>
      <c r="AK143">
        <v>0</v>
      </c>
      <c r="AL143" s="1">
        <v>46021</v>
      </c>
      <c r="AM143">
        <v>114</v>
      </c>
      <c r="AN143">
        <v>1916812</v>
      </c>
      <c r="CH143">
        <v>985502931</v>
      </c>
    </row>
    <row r="144" spans="1:86" x14ac:dyDescent="0.25">
      <c r="A144">
        <v>571982</v>
      </c>
      <c r="B144">
        <v>102</v>
      </c>
      <c r="C144">
        <v>301033</v>
      </c>
      <c r="D144">
        <v>1</v>
      </c>
      <c r="E144">
        <v>1</v>
      </c>
      <c r="F144">
        <v>320290</v>
      </c>
      <c r="G144">
        <v>320290</v>
      </c>
      <c r="H144" t="s">
        <v>90</v>
      </c>
      <c r="N144" t="s">
        <v>856</v>
      </c>
      <c r="O144">
        <v>4002958</v>
      </c>
      <c r="P144" t="s">
        <v>92</v>
      </c>
      <c r="Q144" t="s">
        <v>93</v>
      </c>
      <c r="R144" t="s">
        <v>744</v>
      </c>
      <c r="V144" t="s">
        <v>857</v>
      </c>
      <c r="W144" t="s">
        <v>192</v>
      </c>
      <c r="X144">
        <v>98841</v>
      </c>
      <c r="Y144" t="s">
        <v>99</v>
      </c>
      <c r="AA144" t="s">
        <v>856</v>
      </c>
      <c r="AB144" t="s">
        <v>744</v>
      </c>
      <c r="AC144" t="s">
        <v>858</v>
      </c>
      <c r="AH144" t="s">
        <v>859</v>
      </c>
      <c r="AI144">
        <v>912</v>
      </c>
      <c r="AK144">
        <v>0</v>
      </c>
      <c r="AL144" s="1">
        <v>45664</v>
      </c>
      <c r="AM144">
        <v>76</v>
      </c>
      <c r="AN144">
        <v>1859108</v>
      </c>
      <c r="AP144" s="1">
        <v>45695</v>
      </c>
      <c r="AQ144">
        <v>76</v>
      </c>
      <c r="AR144">
        <v>1864570</v>
      </c>
      <c r="AT144" s="1">
        <v>45723</v>
      </c>
      <c r="AU144">
        <v>76</v>
      </c>
      <c r="AV144">
        <v>1869235</v>
      </c>
      <c r="AX144" s="1">
        <v>45754</v>
      </c>
      <c r="AY144">
        <v>76</v>
      </c>
      <c r="AZ144">
        <v>1874095</v>
      </c>
      <c r="BB144" s="1">
        <v>45784</v>
      </c>
      <c r="BC144">
        <v>76</v>
      </c>
      <c r="BD144">
        <v>1879135</v>
      </c>
      <c r="BF144" s="1">
        <v>45815</v>
      </c>
      <c r="BG144">
        <v>76</v>
      </c>
      <c r="BH144">
        <v>1883934</v>
      </c>
      <c r="BJ144" s="1">
        <v>45845</v>
      </c>
      <c r="BK144">
        <v>76</v>
      </c>
      <c r="BL144">
        <v>1888449</v>
      </c>
      <c r="BN144" s="1">
        <v>45876</v>
      </c>
      <c r="BO144">
        <v>76</v>
      </c>
      <c r="BP144">
        <v>1893166</v>
      </c>
      <c r="BR144" s="1">
        <v>45907</v>
      </c>
      <c r="BS144">
        <v>76</v>
      </c>
      <c r="BT144">
        <v>1897820</v>
      </c>
      <c r="BV144" s="1">
        <v>45937</v>
      </c>
      <c r="BW144">
        <v>76</v>
      </c>
      <c r="BX144">
        <v>1902476</v>
      </c>
      <c r="BZ144" s="1">
        <v>45968</v>
      </c>
      <c r="CA144">
        <v>76</v>
      </c>
      <c r="CB144">
        <v>1907201</v>
      </c>
      <c r="CD144" s="1">
        <v>45998</v>
      </c>
      <c r="CE144">
        <v>76</v>
      </c>
      <c r="CF144">
        <v>1911676</v>
      </c>
      <c r="CH144">
        <v>98841</v>
      </c>
    </row>
    <row r="145" spans="1:86" x14ac:dyDescent="0.25">
      <c r="A145">
        <v>571983</v>
      </c>
      <c r="B145">
        <v>102</v>
      </c>
      <c r="C145">
        <v>301034</v>
      </c>
      <c r="D145">
        <v>1</v>
      </c>
      <c r="E145">
        <v>1</v>
      </c>
      <c r="F145">
        <v>320326</v>
      </c>
      <c r="G145">
        <v>320326</v>
      </c>
      <c r="H145" t="s">
        <v>90</v>
      </c>
      <c r="N145" t="s">
        <v>860</v>
      </c>
      <c r="O145">
        <v>4004349</v>
      </c>
      <c r="P145" t="s">
        <v>92</v>
      </c>
      <c r="Q145" t="s">
        <v>93</v>
      </c>
      <c r="R145" t="s">
        <v>660</v>
      </c>
      <c r="S145" t="s">
        <v>861</v>
      </c>
      <c r="V145" t="s">
        <v>862</v>
      </c>
      <c r="W145" t="s">
        <v>192</v>
      </c>
      <c r="X145" t="s">
        <v>863</v>
      </c>
      <c r="Y145" t="s">
        <v>99</v>
      </c>
      <c r="AA145" t="s">
        <v>860</v>
      </c>
      <c r="AB145" t="s">
        <v>660</v>
      </c>
      <c r="AC145" t="s">
        <v>861</v>
      </c>
      <c r="AD145" t="s">
        <v>864</v>
      </c>
      <c r="AI145">
        <v>646</v>
      </c>
      <c r="AK145">
        <v>0</v>
      </c>
      <c r="AL145" s="1">
        <v>45674</v>
      </c>
      <c r="AM145">
        <v>152</v>
      </c>
      <c r="AN145">
        <v>1861993</v>
      </c>
      <c r="AP145" s="1">
        <v>45770</v>
      </c>
      <c r="AQ145">
        <v>152</v>
      </c>
      <c r="AR145">
        <v>1878506</v>
      </c>
      <c r="AT145" s="1">
        <v>45810</v>
      </c>
      <c r="AU145">
        <v>114</v>
      </c>
      <c r="AV145">
        <v>1883491</v>
      </c>
      <c r="AX145" s="1">
        <v>45877</v>
      </c>
      <c r="AY145">
        <v>114</v>
      </c>
      <c r="AZ145">
        <v>1893799</v>
      </c>
      <c r="BB145" s="1">
        <v>45971</v>
      </c>
      <c r="BC145">
        <v>114</v>
      </c>
      <c r="BD145">
        <v>1908905</v>
      </c>
      <c r="CH145">
        <v>988481378</v>
      </c>
    </row>
    <row r="146" spans="1:86" x14ac:dyDescent="0.25">
      <c r="A146">
        <v>571984</v>
      </c>
      <c r="B146">
        <v>102</v>
      </c>
      <c r="C146">
        <v>301035</v>
      </c>
      <c r="D146">
        <v>1</v>
      </c>
      <c r="E146">
        <v>1</v>
      </c>
      <c r="F146">
        <v>320440</v>
      </c>
      <c r="G146">
        <v>320440</v>
      </c>
      <c r="H146" t="s">
        <v>90</v>
      </c>
      <c r="N146" t="s">
        <v>865</v>
      </c>
      <c r="O146">
        <v>320440</v>
      </c>
      <c r="P146" t="s">
        <v>92</v>
      </c>
      <c r="Q146" t="s">
        <v>93</v>
      </c>
      <c r="R146" t="s">
        <v>866</v>
      </c>
      <c r="V146" t="s">
        <v>867</v>
      </c>
      <c r="W146" t="s">
        <v>192</v>
      </c>
      <c r="X146" t="s">
        <v>868</v>
      </c>
      <c r="Y146" t="s">
        <v>99</v>
      </c>
      <c r="AA146" t="s">
        <v>865</v>
      </c>
      <c r="AB146" t="s">
        <v>866</v>
      </c>
      <c r="AC146" t="s">
        <v>869</v>
      </c>
      <c r="AI146">
        <v>1800</v>
      </c>
      <c r="AK146">
        <v>0</v>
      </c>
      <c r="AL146" s="1">
        <v>45786</v>
      </c>
      <c r="AM146">
        <v>1800</v>
      </c>
      <c r="AN146">
        <v>1880314</v>
      </c>
      <c r="CH146">
        <v>981182841</v>
      </c>
    </row>
    <row r="147" spans="1:86" x14ac:dyDescent="0.25">
      <c r="A147">
        <v>571985</v>
      </c>
      <c r="B147">
        <v>102</v>
      </c>
      <c r="C147">
        <v>301036</v>
      </c>
      <c r="D147">
        <v>1</v>
      </c>
      <c r="E147">
        <v>1</v>
      </c>
      <c r="F147">
        <v>330000</v>
      </c>
      <c r="G147">
        <v>330000</v>
      </c>
      <c r="H147" t="s">
        <v>90</v>
      </c>
      <c r="N147" t="s">
        <v>870</v>
      </c>
      <c r="O147">
        <v>4010281</v>
      </c>
      <c r="P147" t="s">
        <v>92</v>
      </c>
      <c r="Q147" t="s">
        <v>93</v>
      </c>
      <c r="R147" t="s">
        <v>871</v>
      </c>
      <c r="V147" t="s">
        <v>872</v>
      </c>
      <c r="W147" t="s">
        <v>579</v>
      </c>
      <c r="X147" t="s">
        <v>873</v>
      </c>
      <c r="Y147" t="s">
        <v>99</v>
      </c>
      <c r="AA147" t="s">
        <v>870</v>
      </c>
      <c r="AB147" t="s">
        <v>871</v>
      </c>
      <c r="AC147" t="s">
        <v>874</v>
      </c>
      <c r="AH147" t="s">
        <v>875</v>
      </c>
      <c r="AI147">
        <v>11450.5</v>
      </c>
      <c r="AK147">
        <v>0</v>
      </c>
      <c r="AL147" s="1">
        <v>45672</v>
      </c>
      <c r="AM147">
        <v>875</v>
      </c>
      <c r="AN147">
        <v>1862045</v>
      </c>
      <c r="AP147" s="1">
        <v>45712</v>
      </c>
      <c r="AQ147">
        <v>2875.5</v>
      </c>
      <c r="AR147">
        <v>1867288</v>
      </c>
      <c r="AT147" s="1">
        <v>45744</v>
      </c>
      <c r="AU147">
        <v>4774.5</v>
      </c>
      <c r="AV147">
        <v>1873263</v>
      </c>
      <c r="AX147" s="1">
        <v>45758</v>
      </c>
      <c r="AY147">
        <v>0</v>
      </c>
      <c r="AZ147">
        <v>1875237</v>
      </c>
      <c r="BA147">
        <v>0</v>
      </c>
      <c r="BB147" s="1">
        <v>45771</v>
      </c>
      <c r="BC147">
        <v>179.5</v>
      </c>
      <c r="BD147">
        <v>1876716</v>
      </c>
      <c r="BF147" s="1">
        <v>45796</v>
      </c>
      <c r="BG147">
        <v>1580.5</v>
      </c>
      <c r="BH147">
        <v>1882330</v>
      </c>
      <c r="BJ147" s="1">
        <v>45854</v>
      </c>
      <c r="BK147">
        <v>615.5</v>
      </c>
      <c r="BL147">
        <v>1890658</v>
      </c>
      <c r="BN147" s="1">
        <v>45882</v>
      </c>
      <c r="BO147">
        <v>550</v>
      </c>
      <c r="BP147">
        <v>1894012</v>
      </c>
      <c r="CH147">
        <v>160461179</v>
      </c>
    </row>
    <row r="148" spans="1:86" x14ac:dyDescent="0.25">
      <c r="A148">
        <v>571986</v>
      </c>
      <c r="B148">
        <v>102</v>
      </c>
      <c r="C148">
        <v>301037</v>
      </c>
      <c r="D148">
        <v>1</v>
      </c>
      <c r="E148">
        <v>1</v>
      </c>
      <c r="F148">
        <v>330020</v>
      </c>
      <c r="G148">
        <v>330020</v>
      </c>
      <c r="H148" t="s">
        <v>90</v>
      </c>
      <c r="N148" t="s">
        <v>876</v>
      </c>
      <c r="O148">
        <v>330020</v>
      </c>
      <c r="P148" t="s">
        <v>92</v>
      </c>
      <c r="Q148" t="s">
        <v>93</v>
      </c>
      <c r="R148" t="s">
        <v>877</v>
      </c>
      <c r="V148" t="s">
        <v>878</v>
      </c>
      <c r="W148" t="s">
        <v>579</v>
      </c>
      <c r="X148" t="s">
        <v>879</v>
      </c>
      <c r="Y148" t="s">
        <v>99</v>
      </c>
      <c r="AA148" t="s">
        <v>876</v>
      </c>
      <c r="AB148" t="s">
        <v>877</v>
      </c>
      <c r="AC148" t="s">
        <v>880</v>
      </c>
      <c r="AI148">
        <v>1200</v>
      </c>
      <c r="AK148">
        <v>0</v>
      </c>
      <c r="AL148" s="1">
        <v>45869</v>
      </c>
      <c r="AM148">
        <v>200</v>
      </c>
      <c r="AN148">
        <v>1893088</v>
      </c>
      <c r="AP148" s="1">
        <v>45887</v>
      </c>
      <c r="AQ148">
        <v>200</v>
      </c>
      <c r="AR148">
        <v>1895127</v>
      </c>
      <c r="AT148" s="1">
        <v>45916</v>
      </c>
      <c r="AU148">
        <v>400</v>
      </c>
      <c r="AV148">
        <v>1899622</v>
      </c>
      <c r="AX148" s="1">
        <v>45944</v>
      </c>
      <c r="AY148">
        <v>400</v>
      </c>
      <c r="AZ148">
        <v>1904543</v>
      </c>
      <c r="CH148">
        <v>156139745</v>
      </c>
    </row>
    <row r="149" spans="1:86" x14ac:dyDescent="0.25">
      <c r="A149">
        <v>571987</v>
      </c>
      <c r="B149">
        <v>102</v>
      </c>
      <c r="C149">
        <v>301038</v>
      </c>
      <c r="D149">
        <v>1</v>
      </c>
      <c r="E149">
        <v>2</v>
      </c>
      <c r="F149">
        <v>330111</v>
      </c>
      <c r="G149">
        <v>330111</v>
      </c>
      <c r="H149" t="s">
        <v>90</v>
      </c>
      <c r="N149" t="s">
        <v>881</v>
      </c>
      <c r="O149">
        <v>4009539</v>
      </c>
      <c r="P149" t="s">
        <v>92</v>
      </c>
      <c r="Q149" t="s">
        <v>93</v>
      </c>
      <c r="R149" t="s">
        <v>882</v>
      </c>
      <c r="V149" t="s">
        <v>883</v>
      </c>
      <c r="W149" t="s">
        <v>579</v>
      </c>
      <c r="X149">
        <v>15012</v>
      </c>
      <c r="Y149" t="s">
        <v>99</v>
      </c>
      <c r="AA149" t="s">
        <v>881</v>
      </c>
      <c r="AB149" t="s">
        <v>882</v>
      </c>
      <c r="AC149" t="s">
        <v>884</v>
      </c>
      <c r="AH149" t="s">
        <v>885</v>
      </c>
      <c r="AI149">
        <v>1418</v>
      </c>
      <c r="AK149">
        <v>0</v>
      </c>
      <c r="AL149" s="1">
        <v>45658</v>
      </c>
      <c r="AM149">
        <v>114</v>
      </c>
      <c r="AN149">
        <v>1858520</v>
      </c>
      <c r="AP149" s="1">
        <v>45689</v>
      </c>
      <c r="AQ149">
        <v>114</v>
      </c>
      <c r="AR149">
        <v>1863688</v>
      </c>
      <c r="AT149" s="1">
        <v>45717</v>
      </c>
      <c r="AU149">
        <v>114</v>
      </c>
      <c r="AV149">
        <v>1868469</v>
      </c>
      <c r="AX149" s="1">
        <v>45748</v>
      </c>
      <c r="AY149">
        <v>114</v>
      </c>
      <c r="AZ149">
        <v>1873049</v>
      </c>
      <c r="BB149" s="1">
        <v>45778</v>
      </c>
      <c r="BC149">
        <v>114</v>
      </c>
      <c r="BD149">
        <v>1878289</v>
      </c>
      <c r="BF149" s="1">
        <v>45809</v>
      </c>
      <c r="BG149">
        <v>114</v>
      </c>
      <c r="BH149">
        <v>1883028</v>
      </c>
      <c r="BJ149" s="1">
        <v>45839</v>
      </c>
      <c r="BK149">
        <v>114</v>
      </c>
      <c r="BL149">
        <v>1887564</v>
      </c>
      <c r="BN149" s="1">
        <v>45870</v>
      </c>
      <c r="BO149">
        <v>114</v>
      </c>
      <c r="BP149">
        <v>1892489</v>
      </c>
      <c r="BR149" s="1">
        <v>45901</v>
      </c>
      <c r="BS149">
        <v>114</v>
      </c>
      <c r="BT149">
        <v>1896994</v>
      </c>
      <c r="BV149" s="1">
        <v>45931</v>
      </c>
      <c r="BW149">
        <v>114</v>
      </c>
      <c r="BX149">
        <v>1901596</v>
      </c>
      <c r="BZ149" s="1">
        <v>45962</v>
      </c>
      <c r="CA149">
        <v>114</v>
      </c>
      <c r="CB149">
        <v>1906147</v>
      </c>
      <c r="CD149" s="1">
        <v>45992</v>
      </c>
      <c r="CE149">
        <v>114</v>
      </c>
      <c r="CF149">
        <v>1910829</v>
      </c>
      <c r="CH149">
        <v>15012</v>
      </c>
    </row>
    <row r="150" spans="1:86" x14ac:dyDescent="0.25">
      <c r="A150">
        <v>571988</v>
      </c>
      <c r="B150">
        <v>102</v>
      </c>
      <c r="C150">
        <v>301038</v>
      </c>
      <c r="D150">
        <v>2</v>
      </c>
      <c r="E150">
        <v>2</v>
      </c>
      <c r="F150">
        <v>330111</v>
      </c>
      <c r="G150">
        <v>330111</v>
      </c>
      <c r="H150" t="s">
        <v>90</v>
      </c>
      <c r="N150" t="s">
        <v>881</v>
      </c>
      <c r="O150">
        <v>4009539</v>
      </c>
      <c r="P150" t="s">
        <v>92</v>
      </c>
      <c r="Q150" t="s">
        <v>93</v>
      </c>
      <c r="R150" t="s">
        <v>882</v>
      </c>
      <c r="V150" t="s">
        <v>883</v>
      </c>
      <c r="W150" t="s">
        <v>579</v>
      </c>
      <c r="X150">
        <v>15012</v>
      </c>
      <c r="Y150" t="s">
        <v>99</v>
      </c>
      <c r="AA150" t="s">
        <v>881</v>
      </c>
      <c r="AB150" t="s">
        <v>882</v>
      </c>
      <c r="AC150" t="s">
        <v>884</v>
      </c>
      <c r="AH150" t="s">
        <v>885</v>
      </c>
      <c r="AI150">
        <v>1418</v>
      </c>
      <c r="AK150">
        <v>0</v>
      </c>
      <c r="AL150" s="1">
        <v>46006</v>
      </c>
      <c r="AM150">
        <v>50</v>
      </c>
      <c r="AN150">
        <v>1913038</v>
      </c>
      <c r="CH150">
        <v>15012</v>
      </c>
    </row>
    <row r="151" spans="1:86" x14ac:dyDescent="0.25">
      <c r="A151">
        <v>571989</v>
      </c>
      <c r="B151">
        <v>102</v>
      </c>
      <c r="C151">
        <v>301039</v>
      </c>
      <c r="D151">
        <v>1</v>
      </c>
      <c r="E151">
        <v>1</v>
      </c>
      <c r="F151">
        <v>330133</v>
      </c>
      <c r="G151">
        <v>330133</v>
      </c>
      <c r="H151" t="s">
        <v>90</v>
      </c>
      <c r="N151" t="s">
        <v>886</v>
      </c>
      <c r="O151">
        <v>4004354</v>
      </c>
      <c r="P151" t="s">
        <v>92</v>
      </c>
      <c r="Q151" t="s">
        <v>93</v>
      </c>
      <c r="R151" t="s">
        <v>887</v>
      </c>
      <c r="S151" t="s">
        <v>888</v>
      </c>
      <c r="V151" t="s">
        <v>889</v>
      </c>
      <c r="W151" t="s">
        <v>579</v>
      </c>
      <c r="X151" t="s">
        <v>890</v>
      </c>
      <c r="Y151" t="s">
        <v>99</v>
      </c>
      <c r="AA151" t="s">
        <v>886</v>
      </c>
      <c r="AB151" t="s">
        <v>887</v>
      </c>
      <c r="AC151" t="s">
        <v>888</v>
      </c>
      <c r="AD151" t="s">
        <v>891</v>
      </c>
      <c r="AH151" t="s">
        <v>892</v>
      </c>
      <c r="AI151">
        <v>2736</v>
      </c>
      <c r="AK151">
        <v>0</v>
      </c>
      <c r="AL151" s="1">
        <v>45688</v>
      </c>
      <c r="AM151">
        <v>228</v>
      </c>
      <c r="AN151">
        <v>1864068</v>
      </c>
      <c r="AP151" s="1">
        <v>45719</v>
      </c>
      <c r="AQ151">
        <v>228</v>
      </c>
      <c r="AR151">
        <v>1869084</v>
      </c>
      <c r="AT151" s="1">
        <v>45758</v>
      </c>
      <c r="AU151">
        <v>228</v>
      </c>
      <c r="AV151">
        <v>1875525</v>
      </c>
      <c r="AX151" s="1">
        <v>45786</v>
      </c>
      <c r="AY151">
        <v>228</v>
      </c>
      <c r="AZ151">
        <v>1880319</v>
      </c>
      <c r="BB151" s="1">
        <v>45807</v>
      </c>
      <c r="BC151">
        <v>228</v>
      </c>
      <c r="BD151">
        <v>1883425</v>
      </c>
      <c r="BF151" s="1">
        <v>45841</v>
      </c>
      <c r="BG151">
        <v>228</v>
      </c>
      <c r="BH151">
        <v>1888815</v>
      </c>
      <c r="BJ151" s="1">
        <v>45867</v>
      </c>
      <c r="BK151">
        <v>228</v>
      </c>
      <c r="BL151">
        <v>1891935</v>
      </c>
      <c r="BN151" s="1">
        <v>45905</v>
      </c>
      <c r="BO151">
        <v>228</v>
      </c>
      <c r="BP151">
        <v>1897917</v>
      </c>
      <c r="BR151" s="1">
        <v>45930</v>
      </c>
      <c r="BS151">
        <v>228</v>
      </c>
      <c r="BT151">
        <v>1901902</v>
      </c>
      <c r="BV151" s="1">
        <v>45954</v>
      </c>
      <c r="BW151">
        <v>684</v>
      </c>
      <c r="BX151">
        <v>1906528</v>
      </c>
      <c r="CH151">
        <v>154561217</v>
      </c>
    </row>
    <row r="152" spans="1:86" x14ac:dyDescent="0.25">
      <c r="A152">
        <v>571990</v>
      </c>
      <c r="B152">
        <v>102</v>
      </c>
      <c r="C152">
        <v>301040</v>
      </c>
      <c r="D152">
        <v>1</v>
      </c>
      <c r="E152">
        <v>3</v>
      </c>
      <c r="F152">
        <v>330320</v>
      </c>
      <c r="G152">
        <v>330320</v>
      </c>
      <c r="H152" t="s">
        <v>90</v>
      </c>
      <c r="N152" t="s">
        <v>893</v>
      </c>
      <c r="O152">
        <v>4008713</v>
      </c>
      <c r="P152" t="s">
        <v>92</v>
      </c>
      <c r="Q152" t="s">
        <v>93</v>
      </c>
      <c r="R152" t="s">
        <v>894</v>
      </c>
      <c r="S152" t="s">
        <v>895</v>
      </c>
      <c r="V152" t="s">
        <v>896</v>
      </c>
      <c r="W152" t="s">
        <v>579</v>
      </c>
      <c r="X152" t="s">
        <v>897</v>
      </c>
      <c r="Y152" t="s">
        <v>99</v>
      </c>
      <c r="AA152" t="s">
        <v>893</v>
      </c>
      <c r="AB152" t="s">
        <v>894</v>
      </c>
      <c r="AC152" t="s">
        <v>895</v>
      </c>
      <c r="AD152" t="s">
        <v>898</v>
      </c>
      <c r="AI152">
        <v>1834</v>
      </c>
      <c r="AK152">
        <v>0</v>
      </c>
      <c r="AL152" s="1">
        <v>45695</v>
      </c>
      <c r="AM152">
        <v>38</v>
      </c>
      <c r="AN152">
        <v>1864867</v>
      </c>
      <c r="AP152" s="1">
        <v>45695</v>
      </c>
      <c r="AQ152">
        <v>38</v>
      </c>
      <c r="AR152">
        <v>1864868</v>
      </c>
      <c r="AT152" s="1">
        <v>45719</v>
      </c>
      <c r="AU152">
        <v>38</v>
      </c>
      <c r="AV152">
        <v>1869032</v>
      </c>
      <c r="AX152" s="1">
        <v>45719</v>
      </c>
      <c r="AY152">
        <v>38</v>
      </c>
      <c r="AZ152">
        <v>1869033</v>
      </c>
      <c r="BB152" s="1">
        <v>45744</v>
      </c>
      <c r="BC152">
        <v>38</v>
      </c>
      <c r="BD152">
        <v>1873283</v>
      </c>
      <c r="BF152" s="1">
        <v>45744</v>
      </c>
      <c r="BG152">
        <v>38</v>
      </c>
      <c r="BH152">
        <v>1873284</v>
      </c>
      <c r="BJ152" s="1">
        <v>45775</v>
      </c>
      <c r="BK152">
        <v>38</v>
      </c>
      <c r="BL152">
        <v>1878565</v>
      </c>
      <c r="BN152" s="1">
        <v>45775</v>
      </c>
      <c r="BO152">
        <v>38</v>
      </c>
      <c r="BP152">
        <v>1878566</v>
      </c>
      <c r="BR152" s="1">
        <v>45798</v>
      </c>
      <c r="BS152">
        <v>38</v>
      </c>
      <c r="BT152">
        <v>1882265</v>
      </c>
      <c r="BV152" s="1">
        <v>45798</v>
      </c>
      <c r="BW152">
        <v>38</v>
      </c>
      <c r="BX152">
        <v>1882266</v>
      </c>
      <c r="BZ152" s="1">
        <v>45835</v>
      </c>
      <c r="CA152">
        <v>38</v>
      </c>
      <c r="CB152">
        <v>1887964</v>
      </c>
      <c r="CD152" s="1">
        <v>45835</v>
      </c>
      <c r="CE152">
        <v>38</v>
      </c>
      <c r="CF152">
        <v>1887965</v>
      </c>
      <c r="CH152">
        <v>154012261</v>
      </c>
    </row>
    <row r="153" spans="1:86" x14ac:dyDescent="0.25">
      <c r="A153">
        <v>571991</v>
      </c>
      <c r="B153">
        <v>102</v>
      </c>
      <c r="C153">
        <v>301040</v>
      </c>
      <c r="D153">
        <v>2</v>
      </c>
      <c r="E153">
        <v>3</v>
      </c>
      <c r="F153">
        <v>330320</v>
      </c>
      <c r="G153">
        <v>330320</v>
      </c>
      <c r="H153" t="s">
        <v>90</v>
      </c>
      <c r="N153" t="s">
        <v>893</v>
      </c>
      <c r="O153">
        <v>4008713</v>
      </c>
      <c r="P153" t="s">
        <v>92</v>
      </c>
      <c r="Q153" t="s">
        <v>93</v>
      </c>
      <c r="R153" t="s">
        <v>894</v>
      </c>
      <c r="S153" t="s">
        <v>895</v>
      </c>
      <c r="V153" t="s">
        <v>896</v>
      </c>
      <c r="W153" t="s">
        <v>579</v>
      </c>
      <c r="X153" t="s">
        <v>897</v>
      </c>
      <c r="Y153" t="s">
        <v>99</v>
      </c>
      <c r="AA153" t="s">
        <v>893</v>
      </c>
      <c r="AB153" t="s">
        <v>894</v>
      </c>
      <c r="AC153" t="s">
        <v>895</v>
      </c>
      <c r="AD153" t="s">
        <v>898</v>
      </c>
      <c r="AI153">
        <v>1834</v>
      </c>
      <c r="AK153">
        <v>0</v>
      </c>
      <c r="AL153" s="1">
        <v>45859</v>
      </c>
      <c r="AM153">
        <v>230.5</v>
      </c>
      <c r="AN153">
        <v>1890797</v>
      </c>
      <c r="AP153" s="1">
        <v>45861</v>
      </c>
      <c r="AQ153">
        <v>38</v>
      </c>
      <c r="AR153">
        <v>1890919</v>
      </c>
      <c r="AT153" s="1">
        <v>45861</v>
      </c>
      <c r="AU153">
        <v>38</v>
      </c>
      <c r="AV153">
        <v>1890920</v>
      </c>
      <c r="AX153" s="1">
        <v>45898</v>
      </c>
      <c r="AY153">
        <v>230.5</v>
      </c>
      <c r="AZ153">
        <v>1897297</v>
      </c>
      <c r="BB153" s="1">
        <v>45902</v>
      </c>
      <c r="BC153">
        <v>38</v>
      </c>
      <c r="BD153">
        <v>1897443</v>
      </c>
      <c r="BF153" s="1">
        <v>45902</v>
      </c>
      <c r="BG153">
        <v>38</v>
      </c>
      <c r="BH153">
        <v>1897444</v>
      </c>
      <c r="BJ153" s="1">
        <v>45916</v>
      </c>
      <c r="BK153">
        <v>0</v>
      </c>
      <c r="BL153">
        <v>1899541</v>
      </c>
      <c r="BM153">
        <v>0</v>
      </c>
      <c r="BN153" s="1">
        <v>45923</v>
      </c>
      <c r="BO153">
        <v>38</v>
      </c>
      <c r="BP153">
        <v>1900329</v>
      </c>
      <c r="BR153" s="1">
        <v>45923</v>
      </c>
      <c r="BS153">
        <v>38</v>
      </c>
      <c r="BT153">
        <v>1900330</v>
      </c>
      <c r="BV153" s="1">
        <v>45950</v>
      </c>
      <c r="BW153">
        <v>230.5</v>
      </c>
      <c r="BX153">
        <v>1904219</v>
      </c>
      <c r="BZ153" s="1">
        <v>45954</v>
      </c>
      <c r="CA153">
        <v>38</v>
      </c>
      <c r="CB153">
        <v>1906506</v>
      </c>
      <c r="CD153" s="1">
        <v>45954</v>
      </c>
      <c r="CE153">
        <v>38</v>
      </c>
      <c r="CF153">
        <v>1906507</v>
      </c>
      <c r="CH153">
        <v>154012261</v>
      </c>
    </row>
    <row r="154" spans="1:86" x14ac:dyDescent="0.25">
      <c r="A154">
        <v>571992</v>
      </c>
      <c r="B154">
        <v>102</v>
      </c>
      <c r="C154">
        <v>301040</v>
      </c>
      <c r="D154">
        <v>3</v>
      </c>
      <c r="E154">
        <v>3</v>
      </c>
      <c r="F154">
        <v>330320</v>
      </c>
      <c r="G154">
        <v>330320</v>
      </c>
      <c r="H154" t="s">
        <v>90</v>
      </c>
      <c r="N154" t="s">
        <v>893</v>
      </c>
      <c r="O154">
        <v>4008713</v>
      </c>
      <c r="P154" t="s">
        <v>92</v>
      </c>
      <c r="Q154" t="s">
        <v>93</v>
      </c>
      <c r="R154" t="s">
        <v>894</v>
      </c>
      <c r="S154" t="s">
        <v>895</v>
      </c>
      <c r="V154" t="s">
        <v>896</v>
      </c>
      <c r="W154" t="s">
        <v>579</v>
      </c>
      <c r="X154" t="s">
        <v>897</v>
      </c>
      <c r="Y154" t="s">
        <v>99</v>
      </c>
      <c r="AA154" t="s">
        <v>893</v>
      </c>
      <c r="AB154" t="s">
        <v>894</v>
      </c>
      <c r="AC154" t="s">
        <v>895</v>
      </c>
      <c r="AD154" t="s">
        <v>898</v>
      </c>
      <c r="AI154">
        <v>1834</v>
      </c>
      <c r="AK154">
        <v>0</v>
      </c>
      <c r="AL154" s="1">
        <v>45958</v>
      </c>
      <c r="AM154">
        <v>230.5</v>
      </c>
      <c r="AN154">
        <v>1906678</v>
      </c>
      <c r="AP154" s="1">
        <v>45982</v>
      </c>
      <c r="AQ154">
        <v>38</v>
      </c>
      <c r="AR154">
        <v>1911266</v>
      </c>
      <c r="AT154" s="1">
        <v>45982</v>
      </c>
      <c r="AU154">
        <v>38</v>
      </c>
      <c r="AV154">
        <v>1911267</v>
      </c>
      <c r="AX154" s="1">
        <v>46021</v>
      </c>
      <c r="AY154">
        <v>38</v>
      </c>
      <c r="AZ154">
        <v>1916693</v>
      </c>
      <c r="BB154" s="1">
        <v>46021</v>
      </c>
      <c r="BC154">
        <v>38</v>
      </c>
      <c r="BD154">
        <v>1916694</v>
      </c>
      <c r="CH154">
        <v>154012261</v>
      </c>
    </row>
    <row r="155" spans="1:86" x14ac:dyDescent="0.25">
      <c r="A155">
        <v>571993</v>
      </c>
      <c r="B155">
        <v>102</v>
      </c>
      <c r="C155">
        <v>301041</v>
      </c>
      <c r="D155">
        <v>1</v>
      </c>
      <c r="E155">
        <v>1</v>
      </c>
      <c r="F155">
        <v>330406</v>
      </c>
      <c r="G155">
        <v>330406</v>
      </c>
      <c r="H155" t="s">
        <v>90</v>
      </c>
      <c r="N155" t="s">
        <v>899</v>
      </c>
      <c r="O155">
        <v>4004359</v>
      </c>
      <c r="P155" t="s">
        <v>92</v>
      </c>
      <c r="Q155" t="s">
        <v>93</v>
      </c>
      <c r="R155" t="s">
        <v>900</v>
      </c>
      <c r="S155" t="s">
        <v>901</v>
      </c>
      <c r="V155" t="s">
        <v>902</v>
      </c>
      <c r="W155" t="s">
        <v>579</v>
      </c>
      <c r="X155" t="s">
        <v>903</v>
      </c>
      <c r="Y155" t="s">
        <v>99</v>
      </c>
      <c r="AA155" t="s">
        <v>899</v>
      </c>
      <c r="AB155" t="s">
        <v>900</v>
      </c>
      <c r="AC155" t="s">
        <v>901</v>
      </c>
      <c r="AD155" t="s">
        <v>904</v>
      </c>
      <c r="AH155" t="s">
        <v>905</v>
      </c>
      <c r="AI155">
        <v>456</v>
      </c>
      <c r="AK155">
        <v>0</v>
      </c>
      <c r="AL155" s="1">
        <v>45675</v>
      </c>
      <c r="AM155">
        <v>114</v>
      </c>
      <c r="AN155">
        <v>1861074</v>
      </c>
      <c r="AP155" s="1">
        <v>45765</v>
      </c>
      <c r="AQ155">
        <v>114</v>
      </c>
      <c r="AR155">
        <v>1875713</v>
      </c>
      <c r="AT155" s="1">
        <v>45856</v>
      </c>
      <c r="AU155">
        <v>114</v>
      </c>
      <c r="AV155">
        <v>1889981</v>
      </c>
      <c r="AX155" s="1">
        <v>45948</v>
      </c>
      <c r="AY155">
        <v>114</v>
      </c>
      <c r="AZ155">
        <v>1903848</v>
      </c>
      <c r="CH155">
        <v>156568246</v>
      </c>
    </row>
    <row r="156" spans="1:86" x14ac:dyDescent="0.25">
      <c r="A156">
        <v>571994</v>
      </c>
      <c r="B156">
        <v>102</v>
      </c>
      <c r="C156">
        <v>301042</v>
      </c>
      <c r="D156">
        <v>1</v>
      </c>
      <c r="E156">
        <v>1</v>
      </c>
      <c r="F156">
        <v>330450</v>
      </c>
      <c r="G156">
        <v>330450</v>
      </c>
      <c r="H156" t="s">
        <v>90</v>
      </c>
      <c r="N156" t="s">
        <v>906</v>
      </c>
      <c r="O156">
        <v>330450</v>
      </c>
      <c r="P156" t="s">
        <v>92</v>
      </c>
      <c r="Q156" t="s">
        <v>93</v>
      </c>
      <c r="R156" t="s">
        <v>907</v>
      </c>
      <c r="V156" t="s">
        <v>908</v>
      </c>
      <c r="W156" t="s">
        <v>579</v>
      </c>
      <c r="X156" t="s">
        <v>909</v>
      </c>
      <c r="Y156" t="s">
        <v>99</v>
      </c>
      <c r="AA156" t="s">
        <v>906</v>
      </c>
      <c r="AB156" t="s">
        <v>907</v>
      </c>
      <c r="AC156" t="s">
        <v>910</v>
      </c>
      <c r="AH156" t="s">
        <v>911</v>
      </c>
      <c r="AI156">
        <v>534</v>
      </c>
      <c r="AK156">
        <v>0</v>
      </c>
      <c r="AL156" s="1">
        <v>45702</v>
      </c>
      <c r="AM156">
        <v>400</v>
      </c>
      <c r="AN156">
        <v>1866756</v>
      </c>
      <c r="AP156" s="1">
        <v>45971</v>
      </c>
      <c r="AQ156">
        <v>134</v>
      </c>
      <c r="AR156">
        <v>1908901</v>
      </c>
      <c r="CH156">
        <v>153271683</v>
      </c>
    </row>
    <row r="157" spans="1:86" x14ac:dyDescent="0.25">
      <c r="A157">
        <v>571995</v>
      </c>
      <c r="B157">
        <v>102</v>
      </c>
      <c r="C157">
        <v>301043</v>
      </c>
      <c r="D157">
        <v>1</v>
      </c>
      <c r="E157">
        <v>1</v>
      </c>
      <c r="F157">
        <v>330470</v>
      </c>
      <c r="G157">
        <v>330470</v>
      </c>
      <c r="H157" t="s">
        <v>90</v>
      </c>
      <c r="N157" t="s">
        <v>912</v>
      </c>
      <c r="O157">
        <v>4008990</v>
      </c>
      <c r="P157" t="s">
        <v>92</v>
      </c>
      <c r="Q157" t="s">
        <v>93</v>
      </c>
      <c r="R157" t="s">
        <v>913</v>
      </c>
      <c r="S157" t="s">
        <v>914</v>
      </c>
      <c r="V157" t="s">
        <v>915</v>
      </c>
      <c r="W157" t="s">
        <v>579</v>
      </c>
      <c r="X157" t="s">
        <v>916</v>
      </c>
      <c r="Y157" t="s">
        <v>99</v>
      </c>
      <c r="AA157" t="s">
        <v>912</v>
      </c>
      <c r="AB157" t="s">
        <v>913</v>
      </c>
      <c r="AC157" t="s">
        <v>914</v>
      </c>
      <c r="AD157" t="s">
        <v>917</v>
      </c>
      <c r="AH157" t="s">
        <v>918</v>
      </c>
      <c r="AI157">
        <v>500</v>
      </c>
      <c r="AK157">
        <v>0</v>
      </c>
      <c r="AL157" s="1">
        <v>45789</v>
      </c>
      <c r="AM157">
        <v>500</v>
      </c>
      <c r="AN157">
        <v>1880590</v>
      </c>
      <c r="CH157">
        <v>150611118</v>
      </c>
    </row>
    <row r="158" spans="1:86" x14ac:dyDescent="0.25">
      <c r="A158">
        <v>571996</v>
      </c>
      <c r="B158">
        <v>102</v>
      </c>
      <c r="C158">
        <v>301044</v>
      </c>
      <c r="D158">
        <v>1</v>
      </c>
      <c r="E158">
        <v>1</v>
      </c>
      <c r="F158">
        <v>330530</v>
      </c>
      <c r="G158">
        <v>330530</v>
      </c>
      <c r="H158" t="s">
        <v>90</v>
      </c>
      <c r="N158" t="s">
        <v>919</v>
      </c>
      <c r="O158">
        <v>330530</v>
      </c>
      <c r="P158" t="s">
        <v>92</v>
      </c>
      <c r="Q158" t="s">
        <v>93</v>
      </c>
      <c r="R158" t="s">
        <v>920</v>
      </c>
      <c r="V158" t="s">
        <v>921</v>
      </c>
      <c r="W158" t="s">
        <v>579</v>
      </c>
      <c r="X158" t="s">
        <v>922</v>
      </c>
      <c r="Y158" t="s">
        <v>99</v>
      </c>
      <c r="AA158" t="s">
        <v>919</v>
      </c>
      <c r="AB158" t="s">
        <v>920</v>
      </c>
      <c r="AC158" t="s">
        <v>923</v>
      </c>
      <c r="AH158" t="s">
        <v>924</v>
      </c>
      <c r="AI158">
        <v>810</v>
      </c>
      <c r="AK158">
        <v>0</v>
      </c>
      <c r="AL158" s="1">
        <v>45868</v>
      </c>
      <c r="AM158">
        <v>135</v>
      </c>
      <c r="AN158">
        <v>1891801</v>
      </c>
      <c r="AP158" s="1">
        <v>45926</v>
      </c>
      <c r="AQ158">
        <v>135</v>
      </c>
      <c r="AR158">
        <v>1900590</v>
      </c>
      <c r="AT158" s="1">
        <v>45956</v>
      </c>
      <c r="AU158">
        <v>135</v>
      </c>
      <c r="AV158">
        <v>1904963</v>
      </c>
      <c r="AX158" s="1">
        <v>45987</v>
      </c>
      <c r="AY158">
        <v>270</v>
      </c>
      <c r="AZ158">
        <v>1909707</v>
      </c>
      <c r="BB158" s="1">
        <v>46017</v>
      </c>
      <c r="BC158">
        <v>135</v>
      </c>
      <c r="BD158">
        <v>1914514</v>
      </c>
      <c r="CH158">
        <v>150661621</v>
      </c>
    </row>
    <row r="159" spans="1:86" x14ac:dyDescent="0.25">
      <c r="A159">
        <v>571997</v>
      </c>
      <c r="B159">
        <v>102</v>
      </c>
      <c r="C159">
        <v>301045</v>
      </c>
      <c r="D159">
        <v>1</v>
      </c>
      <c r="E159">
        <v>1</v>
      </c>
      <c r="F159">
        <v>330561</v>
      </c>
      <c r="G159">
        <v>330561</v>
      </c>
      <c r="H159" t="s">
        <v>90</v>
      </c>
      <c r="N159" t="s">
        <v>925</v>
      </c>
      <c r="O159">
        <v>4004362</v>
      </c>
      <c r="P159" t="s">
        <v>92</v>
      </c>
      <c r="Q159" t="s">
        <v>93</v>
      </c>
      <c r="R159" t="s">
        <v>926</v>
      </c>
      <c r="S159" t="s">
        <v>927</v>
      </c>
      <c r="V159" t="s">
        <v>249</v>
      </c>
      <c r="W159" t="s">
        <v>579</v>
      </c>
      <c r="X159">
        <v>15059</v>
      </c>
      <c r="Y159" t="s">
        <v>99</v>
      </c>
      <c r="AA159" t="s">
        <v>925</v>
      </c>
      <c r="AB159" t="s">
        <v>926</v>
      </c>
      <c r="AC159" t="s">
        <v>927</v>
      </c>
      <c r="AD159" t="s">
        <v>928</v>
      </c>
      <c r="AI159">
        <v>476</v>
      </c>
      <c r="AK159">
        <v>0</v>
      </c>
      <c r="AL159" s="1">
        <v>45730</v>
      </c>
      <c r="AM159">
        <v>476</v>
      </c>
      <c r="AN159">
        <v>1871045</v>
      </c>
      <c r="CH159">
        <v>15059</v>
      </c>
    </row>
    <row r="160" spans="1:86" x14ac:dyDescent="0.25">
      <c r="A160">
        <v>571998</v>
      </c>
      <c r="B160">
        <v>102</v>
      </c>
      <c r="C160">
        <v>301046</v>
      </c>
      <c r="D160">
        <v>1</v>
      </c>
      <c r="E160">
        <v>1</v>
      </c>
      <c r="F160">
        <v>330674</v>
      </c>
      <c r="G160">
        <v>330674</v>
      </c>
      <c r="H160" t="s">
        <v>90</v>
      </c>
      <c r="N160" t="s">
        <v>929</v>
      </c>
      <c r="O160">
        <v>4009247</v>
      </c>
      <c r="P160" t="s">
        <v>92</v>
      </c>
      <c r="Q160" t="s">
        <v>93</v>
      </c>
      <c r="R160" t="s">
        <v>930</v>
      </c>
      <c r="V160" t="s">
        <v>370</v>
      </c>
      <c r="W160" t="s">
        <v>579</v>
      </c>
      <c r="X160" t="s">
        <v>931</v>
      </c>
      <c r="Y160" t="s">
        <v>99</v>
      </c>
      <c r="AA160" t="s">
        <v>929</v>
      </c>
      <c r="AB160" t="s">
        <v>930</v>
      </c>
      <c r="AC160" t="s">
        <v>932</v>
      </c>
      <c r="AH160" t="s">
        <v>933</v>
      </c>
      <c r="AI160">
        <v>506</v>
      </c>
      <c r="AK160">
        <v>0</v>
      </c>
      <c r="AL160" s="1">
        <v>45861</v>
      </c>
      <c r="AM160">
        <v>506</v>
      </c>
      <c r="AN160">
        <v>1890979</v>
      </c>
      <c r="CH160">
        <v>150741882</v>
      </c>
    </row>
    <row r="161" spans="1:86" x14ac:dyDescent="0.25">
      <c r="A161">
        <v>571999</v>
      </c>
      <c r="B161">
        <v>102</v>
      </c>
      <c r="C161">
        <v>301047</v>
      </c>
      <c r="D161">
        <v>1</v>
      </c>
      <c r="E161">
        <v>1</v>
      </c>
      <c r="F161">
        <v>330691</v>
      </c>
      <c r="G161">
        <v>330691</v>
      </c>
      <c r="H161" t="s">
        <v>90</v>
      </c>
      <c r="N161" t="s">
        <v>934</v>
      </c>
      <c r="O161">
        <v>330691</v>
      </c>
      <c r="P161" t="s">
        <v>92</v>
      </c>
      <c r="Q161" t="s">
        <v>93</v>
      </c>
      <c r="R161" t="s">
        <v>935</v>
      </c>
      <c r="V161" t="s">
        <v>936</v>
      </c>
      <c r="W161" t="s">
        <v>579</v>
      </c>
      <c r="X161" t="s">
        <v>937</v>
      </c>
      <c r="Y161" t="s">
        <v>99</v>
      </c>
      <c r="AA161" t="s">
        <v>934</v>
      </c>
      <c r="AB161" t="s">
        <v>935</v>
      </c>
      <c r="AC161" t="s">
        <v>938</v>
      </c>
      <c r="AH161" t="s">
        <v>939</v>
      </c>
      <c r="AI161">
        <v>918</v>
      </c>
      <c r="AK161">
        <v>0</v>
      </c>
      <c r="AL161" s="1">
        <v>45688</v>
      </c>
      <c r="AM161">
        <v>38</v>
      </c>
      <c r="AN161">
        <v>1864156</v>
      </c>
      <c r="AP161" s="1">
        <v>45702</v>
      </c>
      <c r="AQ161">
        <v>38</v>
      </c>
      <c r="AR161">
        <v>1866753</v>
      </c>
      <c r="AT161" s="1">
        <v>45730</v>
      </c>
      <c r="AU161">
        <v>38</v>
      </c>
      <c r="AV161">
        <v>1871026</v>
      </c>
      <c r="AX161" s="1">
        <v>45751</v>
      </c>
      <c r="AY161">
        <v>38</v>
      </c>
      <c r="AZ161">
        <v>1873837</v>
      </c>
      <c r="BB161" s="1">
        <v>45779</v>
      </c>
      <c r="BC161">
        <v>38</v>
      </c>
      <c r="BD161">
        <v>1879200</v>
      </c>
      <c r="BF161" s="1">
        <v>45824</v>
      </c>
      <c r="BG161">
        <v>38</v>
      </c>
      <c r="BH161">
        <v>1885357</v>
      </c>
      <c r="BJ161" s="1">
        <v>45841</v>
      </c>
      <c r="BK161">
        <v>38</v>
      </c>
      <c r="BL161">
        <v>1888750</v>
      </c>
      <c r="BN161" s="1">
        <v>45873</v>
      </c>
      <c r="BO161">
        <v>138</v>
      </c>
      <c r="BP161">
        <v>1893238</v>
      </c>
      <c r="BR161" s="1">
        <v>45902</v>
      </c>
      <c r="BS161">
        <v>138</v>
      </c>
      <c r="BT161">
        <v>1897467</v>
      </c>
      <c r="BV161" s="1">
        <v>45926</v>
      </c>
      <c r="BW161">
        <v>138</v>
      </c>
      <c r="BX161">
        <v>1901031</v>
      </c>
      <c r="BZ161" s="1">
        <v>45947</v>
      </c>
      <c r="CA161">
        <v>138</v>
      </c>
      <c r="CB161">
        <v>1905000</v>
      </c>
      <c r="CD161" s="1">
        <v>45975</v>
      </c>
      <c r="CE161">
        <v>100</v>
      </c>
      <c r="CF161">
        <v>1909312</v>
      </c>
      <c r="CH161">
        <v>160559212</v>
      </c>
    </row>
    <row r="162" spans="1:86" x14ac:dyDescent="0.25">
      <c r="A162">
        <v>572000</v>
      </c>
      <c r="B162">
        <v>102</v>
      </c>
      <c r="C162">
        <v>301048</v>
      </c>
      <c r="D162">
        <v>1</v>
      </c>
      <c r="E162">
        <v>1</v>
      </c>
      <c r="F162">
        <v>330720</v>
      </c>
      <c r="G162">
        <v>330720</v>
      </c>
      <c r="H162" t="s">
        <v>90</v>
      </c>
      <c r="N162" t="s">
        <v>940</v>
      </c>
      <c r="O162">
        <v>4007788</v>
      </c>
      <c r="P162" t="s">
        <v>92</v>
      </c>
      <c r="Q162" t="s">
        <v>93</v>
      </c>
      <c r="R162" t="s">
        <v>941</v>
      </c>
      <c r="V162" t="s">
        <v>942</v>
      </c>
      <c r="W162" t="s">
        <v>579</v>
      </c>
      <c r="X162" t="s">
        <v>943</v>
      </c>
      <c r="Y162" t="s">
        <v>99</v>
      </c>
      <c r="AA162" t="s">
        <v>940</v>
      </c>
      <c r="AB162" t="s">
        <v>941</v>
      </c>
      <c r="AC162" t="s">
        <v>944</v>
      </c>
      <c r="AH162" t="s">
        <v>945</v>
      </c>
      <c r="AI162">
        <v>1386</v>
      </c>
      <c r="AK162">
        <v>0</v>
      </c>
      <c r="AL162" s="1">
        <v>45771</v>
      </c>
      <c r="AM162">
        <v>1386</v>
      </c>
      <c r="AN162">
        <v>1876717</v>
      </c>
      <c r="CH162">
        <v>154802018</v>
      </c>
    </row>
    <row r="163" spans="1:86" x14ac:dyDescent="0.25">
      <c r="A163">
        <v>572001</v>
      </c>
      <c r="B163">
        <v>102</v>
      </c>
      <c r="C163">
        <v>301049</v>
      </c>
      <c r="D163">
        <v>1</v>
      </c>
      <c r="E163">
        <v>1</v>
      </c>
      <c r="F163">
        <v>330760</v>
      </c>
      <c r="G163">
        <v>330760</v>
      </c>
      <c r="H163" t="s">
        <v>90</v>
      </c>
      <c r="N163" t="s">
        <v>946</v>
      </c>
      <c r="O163">
        <v>4006626</v>
      </c>
      <c r="P163" t="s">
        <v>92</v>
      </c>
      <c r="Q163" t="s">
        <v>93</v>
      </c>
      <c r="R163" t="s">
        <v>947</v>
      </c>
      <c r="S163" t="s">
        <v>948</v>
      </c>
      <c r="V163" t="s">
        <v>896</v>
      </c>
      <c r="W163" t="s">
        <v>579</v>
      </c>
      <c r="X163" t="s">
        <v>949</v>
      </c>
      <c r="Y163" t="s">
        <v>99</v>
      </c>
      <c r="AA163" t="s">
        <v>946</v>
      </c>
      <c r="AB163" t="s">
        <v>947</v>
      </c>
      <c r="AC163" t="s">
        <v>948</v>
      </c>
      <c r="AD163" t="s">
        <v>950</v>
      </c>
      <c r="AH163" t="s">
        <v>951</v>
      </c>
      <c r="AI163">
        <v>494</v>
      </c>
      <c r="AK163">
        <v>0</v>
      </c>
      <c r="AL163" s="1">
        <v>45695</v>
      </c>
      <c r="AM163">
        <v>38</v>
      </c>
      <c r="AN163">
        <v>1864947</v>
      </c>
      <c r="AP163" s="1">
        <v>45735</v>
      </c>
      <c r="AQ163">
        <v>38</v>
      </c>
      <c r="AR163">
        <v>1871553</v>
      </c>
      <c r="AT163" s="1">
        <v>45770</v>
      </c>
      <c r="AU163">
        <v>114</v>
      </c>
      <c r="AV163">
        <v>1878504</v>
      </c>
      <c r="AX163" s="1">
        <v>45804</v>
      </c>
      <c r="AY163">
        <v>114</v>
      </c>
      <c r="AZ163">
        <v>1883320</v>
      </c>
      <c r="BB163" s="1">
        <v>45835</v>
      </c>
      <c r="BC163">
        <v>38</v>
      </c>
      <c r="BD163">
        <v>1888373</v>
      </c>
      <c r="BF163" s="1">
        <v>45867</v>
      </c>
      <c r="BG163">
        <v>38</v>
      </c>
      <c r="BH163">
        <v>1891931</v>
      </c>
      <c r="BJ163" s="1">
        <v>45919</v>
      </c>
      <c r="BK163">
        <v>38</v>
      </c>
      <c r="BL163">
        <v>1899987</v>
      </c>
      <c r="BN163" s="1">
        <v>45979</v>
      </c>
      <c r="BO163">
        <v>38</v>
      </c>
      <c r="BP163">
        <v>1908824</v>
      </c>
      <c r="BR163" s="1">
        <v>45993</v>
      </c>
      <c r="BS163">
        <v>38</v>
      </c>
      <c r="BT163">
        <v>1911075</v>
      </c>
      <c r="CH163">
        <v>154013742</v>
      </c>
    </row>
    <row r="164" spans="1:86" x14ac:dyDescent="0.25">
      <c r="A164">
        <v>572002</v>
      </c>
      <c r="B164">
        <v>102</v>
      </c>
      <c r="C164">
        <v>301050</v>
      </c>
      <c r="D164">
        <v>1</v>
      </c>
      <c r="E164">
        <v>1</v>
      </c>
      <c r="F164">
        <v>330768</v>
      </c>
      <c r="G164">
        <v>330768</v>
      </c>
      <c r="H164" t="s">
        <v>90</v>
      </c>
      <c r="N164" t="s">
        <v>952</v>
      </c>
      <c r="O164">
        <v>4006380</v>
      </c>
      <c r="P164" t="s">
        <v>92</v>
      </c>
      <c r="Q164" t="s">
        <v>93</v>
      </c>
      <c r="R164" t="s">
        <v>953</v>
      </c>
      <c r="S164" t="s">
        <v>954</v>
      </c>
      <c r="V164" t="s">
        <v>896</v>
      </c>
      <c r="W164" t="s">
        <v>579</v>
      </c>
      <c r="X164">
        <v>15401</v>
      </c>
      <c r="Y164" t="s">
        <v>99</v>
      </c>
      <c r="AA164" t="s">
        <v>952</v>
      </c>
      <c r="AB164" t="s">
        <v>953</v>
      </c>
      <c r="AC164" t="s">
        <v>954</v>
      </c>
      <c r="AD164" t="s">
        <v>955</v>
      </c>
      <c r="AI164">
        <v>234</v>
      </c>
      <c r="AK164">
        <v>0</v>
      </c>
      <c r="AL164" s="1">
        <v>45664</v>
      </c>
      <c r="AM164">
        <v>38</v>
      </c>
      <c r="AN164">
        <v>1861822</v>
      </c>
      <c r="AP164" s="1">
        <v>45674</v>
      </c>
      <c r="AQ164">
        <v>38</v>
      </c>
      <c r="AR164">
        <v>1861963</v>
      </c>
      <c r="AT164" s="1">
        <v>45833</v>
      </c>
      <c r="AU164">
        <v>120</v>
      </c>
      <c r="AV164">
        <v>1887870</v>
      </c>
      <c r="AX164" s="1">
        <v>45933</v>
      </c>
      <c r="AY164">
        <v>38</v>
      </c>
      <c r="AZ164">
        <v>1902359</v>
      </c>
      <c r="CH164">
        <v>15401</v>
      </c>
    </row>
    <row r="165" spans="1:86" x14ac:dyDescent="0.25">
      <c r="A165">
        <v>572003</v>
      </c>
      <c r="B165">
        <v>102</v>
      </c>
      <c r="C165">
        <v>301051</v>
      </c>
      <c r="D165">
        <v>1</v>
      </c>
      <c r="E165">
        <v>1</v>
      </c>
      <c r="F165">
        <v>330800</v>
      </c>
      <c r="G165">
        <v>330800</v>
      </c>
      <c r="H165" t="s">
        <v>90</v>
      </c>
      <c r="N165" t="s">
        <v>956</v>
      </c>
      <c r="O165">
        <v>330800</v>
      </c>
      <c r="P165" t="s">
        <v>92</v>
      </c>
      <c r="Q165" t="s">
        <v>93</v>
      </c>
      <c r="R165" t="s">
        <v>957</v>
      </c>
      <c r="V165" t="s">
        <v>958</v>
      </c>
      <c r="W165" t="s">
        <v>959</v>
      </c>
      <c r="X165" t="s">
        <v>960</v>
      </c>
      <c r="Y165" t="s">
        <v>99</v>
      </c>
      <c r="AA165" t="s">
        <v>956</v>
      </c>
      <c r="AB165" t="s">
        <v>957</v>
      </c>
      <c r="AC165" t="s">
        <v>961</v>
      </c>
      <c r="AH165" t="s">
        <v>962</v>
      </c>
      <c r="AI165">
        <v>1368</v>
      </c>
      <c r="AK165">
        <v>0</v>
      </c>
      <c r="AL165" s="1">
        <v>45672</v>
      </c>
      <c r="AM165">
        <v>114</v>
      </c>
      <c r="AN165">
        <v>1860484</v>
      </c>
      <c r="AP165" s="1">
        <v>45703</v>
      </c>
      <c r="AQ165">
        <v>114</v>
      </c>
      <c r="AR165">
        <v>1865574</v>
      </c>
      <c r="AT165" s="1">
        <v>45731</v>
      </c>
      <c r="AU165">
        <v>114</v>
      </c>
      <c r="AV165">
        <v>1870072</v>
      </c>
      <c r="AX165" s="1">
        <v>45762</v>
      </c>
      <c r="AY165">
        <v>114</v>
      </c>
      <c r="AZ165">
        <v>1874864</v>
      </c>
      <c r="BB165" s="1">
        <v>45792</v>
      </c>
      <c r="BC165">
        <v>114</v>
      </c>
      <c r="BD165">
        <v>1879985</v>
      </c>
      <c r="BF165" s="1">
        <v>45823</v>
      </c>
      <c r="BG165">
        <v>114</v>
      </c>
      <c r="BH165">
        <v>1884639</v>
      </c>
      <c r="BJ165" s="1">
        <v>45853</v>
      </c>
      <c r="BK165">
        <v>114</v>
      </c>
      <c r="BL165">
        <v>1889382</v>
      </c>
      <c r="BN165" s="1">
        <v>45884</v>
      </c>
      <c r="BO165">
        <v>114</v>
      </c>
      <c r="BP165">
        <v>1894194</v>
      </c>
      <c r="BR165" s="1">
        <v>45915</v>
      </c>
      <c r="BS165">
        <v>114</v>
      </c>
      <c r="BT165">
        <v>1898632</v>
      </c>
      <c r="BV165" s="1">
        <v>45945</v>
      </c>
      <c r="BW165">
        <v>114</v>
      </c>
      <c r="BX165">
        <v>1903234</v>
      </c>
      <c r="BZ165" s="1">
        <v>45976</v>
      </c>
      <c r="CA165">
        <v>114</v>
      </c>
      <c r="CB165">
        <v>1907852</v>
      </c>
      <c r="CD165" s="1">
        <v>46006</v>
      </c>
      <c r="CE165">
        <v>114</v>
      </c>
      <c r="CF165">
        <v>1912607</v>
      </c>
      <c r="CH165">
        <v>260702226</v>
      </c>
    </row>
    <row r="166" spans="1:86" x14ac:dyDescent="0.25">
      <c r="A166">
        <v>572004</v>
      </c>
      <c r="B166">
        <v>102</v>
      </c>
      <c r="C166">
        <v>301052</v>
      </c>
      <c r="D166">
        <v>1</v>
      </c>
      <c r="E166">
        <v>1</v>
      </c>
      <c r="F166">
        <v>370041</v>
      </c>
      <c r="G166">
        <v>370041</v>
      </c>
      <c r="H166" t="s">
        <v>90</v>
      </c>
      <c r="N166" t="s">
        <v>963</v>
      </c>
      <c r="O166">
        <v>4004907</v>
      </c>
      <c r="P166" t="s">
        <v>92</v>
      </c>
      <c r="Q166" t="s">
        <v>93</v>
      </c>
      <c r="R166" t="s">
        <v>964</v>
      </c>
      <c r="S166" t="s">
        <v>965</v>
      </c>
      <c r="V166" t="s">
        <v>966</v>
      </c>
      <c r="W166" t="s">
        <v>212</v>
      </c>
      <c r="X166" t="s">
        <v>967</v>
      </c>
      <c r="Y166" t="s">
        <v>99</v>
      </c>
      <c r="AA166" t="s">
        <v>963</v>
      </c>
      <c r="AB166" t="s">
        <v>964</v>
      </c>
      <c r="AC166" t="s">
        <v>965</v>
      </c>
      <c r="AD166" t="s">
        <v>968</v>
      </c>
      <c r="AI166">
        <v>1398</v>
      </c>
      <c r="AK166">
        <v>0</v>
      </c>
      <c r="AL166" s="1">
        <v>45728</v>
      </c>
      <c r="AM166">
        <v>342</v>
      </c>
      <c r="AN166">
        <v>1870959</v>
      </c>
      <c r="AP166" s="1">
        <v>45841</v>
      </c>
      <c r="AQ166">
        <v>342</v>
      </c>
      <c r="AR166">
        <v>1888747</v>
      </c>
      <c r="AT166" s="1">
        <v>45933</v>
      </c>
      <c r="AU166">
        <v>372</v>
      </c>
      <c r="AV166">
        <v>1902389</v>
      </c>
      <c r="AX166" s="1">
        <v>45996</v>
      </c>
      <c r="AY166">
        <v>342</v>
      </c>
      <c r="AZ166">
        <v>1912214</v>
      </c>
      <c r="CH166">
        <v>490131163</v>
      </c>
    </row>
    <row r="167" spans="1:86" x14ac:dyDescent="0.25">
      <c r="A167">
        <v>572005</v>
      </c>
      <c r="B167">
        <v>102</v>
      </c>
      <c r="C167">
        <v>301053</v>
      </c>
      <c r="D167">
        <v>1</v>
      </c>
      <c r="E167">
        <v>1</v>
      </c>
      <c r="F167">
        <v>370050</v>
      </c>
      <c r="G167">
        <v>370050</v>
      </c>
      <c r="H167" t="s">
        <v>90</v>
      </c>
      <c r="N167" t="s">
        <v>969</v>
      </c>
      <c r="O167">
        <v>4004376</v>
      </c>
      <c r="P167" t="s">
        <v>92</v>
      </c>
      <c r="Q167" t="s">
        <v>93</v>
      </c>
      <c r="R167" t="s">
        <v>970</v>
      </c>
      <c r="S167" t="s">
        <v>971</v>
      </c>
      <c r="V167" t="s">
        <v>972</v>
      </c>
      <c r="W167" t="s">
        <v>212</v>
      </c>
      <c r="X167" t="s">
        <v>973</v>
      </c>
      <c r="Y167" t="s">
        <v>99</v>
      </c>
      <c r="AA167" t="s">
        <v>969</v>
      </c>
      <c r="AB167" t="s">
        <v>970</v>
      </c>
      <c r="AC167" t="s">
        <v>971</v>
      </c>
      <c r="AD167" t="s">
        <v>974</v>
      </c>
      <c r="AH167" t="s">
        <v>975</v>
      </c>
      <c r="AI167">
        <v>418</v>
      </c>
      <c r="AK167">
        <v>0</v>
      </c>
      <c r="AL167" s="1">
        <v>45728</v>
      </c>
      <c r="AM167">
        <v>38</v>
      </c>
      <c r="AN167">
        <v>1870968</v>
      </c>
      <c r="AP167" s="1">
        <v>45770</v>
      </c>
      <c r="AQ167">
        <v>38</v>
      </c>
      <c r="AR167">
        <v>1878505</v>
      </c>
      <c r="AT167" s="1">
        <v>45807</v>
      </c>
      <c r="AU167">
        <v>38</v>
      </c>
      <c r="AV167">
        <v>1883424</v>
      </c>
      <c r="AX167" s="1">
        <v>45833</v>
      </c>
      <c r="AY167">
        <v>38</v>
      </c>
      <c r="AZ167">
        <v>1887914</v>
      </c>
      <c r="BB167" s="1">
        <v>45863</v>
      </c>
      <c r="BC167">
        <v>38</v>
      </c>
      <c r="BD167">
        <v>1891832</v>
      </c>
      <c r="BF167" s="1">
        <v>45887</v>
      </c>
      <c r="BG167">
        <v>38</v>
      </c>
      <c r="BH167">
        <v>1895168</v>
      </c>
      <c r="BJ167" s="1">
        <v>45909</v>
      </c>
      <c r="BK167">
        <v>38</v>
      </c>
      <c r="BL167">
        <v>1898218</v>
      </c>
      <c r="BN167" s="1">
        <v>45933</v>
      </c>
      <c r="BO167">
        <v>38</v>
      </c>
      <c r="BP167">
        <v>1902407</v>
      </c>
      <c r="BR167" s="1">
        <v>45954</v>
      </c>
      <c r="BS167">
        <v>38</v>
      </c>
      <c r="BT167">
        <v>1906596</v>
      </c>
      <c r="BV167" s="1">
        <v>45979</v>
      </c>
      <c r="BW167">
        <v>38</v>
      </c>
      <c r="BX167">
        <v>1910229</v>
      </c>
      <c r="BZ167" s="1">
        <v>46014</v>
      </c>
      <c r="CA167">
        <v>38</v>
      </c>
      <c r="CB167">
        <v>1916343</v>
      </c>
      <c r="CH167">
        <v>490159388</v>
      </c>
    </row>
    <row r="168" spans="1:86" x14ac:dyDescent="0.25">
      <c r="A168">
        <v>572006</v>
      </c>
      <c r="B168">
        <v>102</v>
      </c>
      <c r="C168">
        <v>301054</v>
      </c>
      <c r="D168">
        <v>1</v>
      </c>
      <c r="E168">
        <v>1</v>
      </c>
      <c r="F168">
        <v>370146</v>
      </c>
      <c r="G168">
        <v>370146</v>
      </c>
      <c r="H168" t="s">
        <v>90</v>
      </c>
      <c r="N168" t="s">
        <v>976</v>
      </c>
      <c r="O168">
        <v>370146</v>
      </c>
      <c r="P168" t="s">
        <v>92</v>
      </c>
      <c r="Q168" t="s">
        <v>93</v>
      </c>
      <c r="R168" t="s">
        <v>977</v>
      </c>
      <c r="V168" t="s">
        <v>978</v>
      </c>
      <c r="W168" t="s">
        <v>212</v>
      </c>
      <c r="X168" t="s">
        <v>979</v>
      </c>
      <c r="Y168" t="s">
        <v>99</v>
      </c>
      <c r="AA168" t="s">
        <v>976</v>
      </c>
      <c r="AB168" t="s">
        <v>977</v>
      </c>
      <c r="AC168" t="s">
        <v>980</v>
      </c>
      <c r="AI168">
        <v>912</v>
      </c>
      <c r="AK168">
        <v>0</v>
      </c>
      <c r="AL168" s="1">
        <v>45730</v>
      </c>
      <c r="AM168">
        <v>228</v>
      </c>
      <c r="AN168">
        <v>1871057</v>
      </c>
      <c r="AP168" s="1">
        <v>45775</v>
      </c>
      <c r="AQ168">
        <v>228</v>
      </c>
      <c r="AR168">
        <v>1878623</v>
      </c>
      <c r="AT168" s="1">
        <v>45841</v>
      </c>
      <c r="AU168">
        <v>228</v>
      </c>
      <c r="AV168">
        <v>1888810</v>
      </c>
      <c r="AX168" s="1">
        <v>46021</v>
      </c>
      <c r="AY168">
        <v>228</v>
      </c>
      <c r="AZ168">
        <v>1916803</v>
      </c>
      <c r="CH168">
        <v>482201520</v>
      </c>
    </row>
    <row r="169" spans="1:86" x14ac:dyDescent="0.25">
      <c r="A169">
        <v>572007</v>
      </c>
      <c r="B169">
        <v>102</v>
      </c>
      <c r="C169">
        <v>301055</v>
      </c>
      <c r="D169">
        <v>1</v>
      </c>
      <c r="E169">
        <v>1</v>
      </c>
      <c r="F169">
        <v>370177</v>
      </c>
      <c r="G169">
        <v>370177</v>
      </c>
      <c r="H169" t="s">
        <v>90</v>
      </c>
      <c r="N169" t="s">
        <v>981</v>
      </c>
      <c r="O169">
        <v>610889</v>
      </c>
      <c r="P169" t="s">
        <v>92</v>
      </c>
      <c r="Q169" t="s">
        <v>93</v>
      </c>
      <c r="R169" t="s">
        <v>982</v>
      </c>
      <c r="V169" t="s">
        <v>983</v>
      </c>
      <c r="W169" t="s">
        <v>212</v>
      </c>
      <c r="X169">
        <v>49242</v>
      </c>
      <c r="Y169" t="s">
        <v>99</v>
      </c>
      <c r="AA169" t="s">
        <v>981</v>
      </c>
      <c r="AB169" t="s">
        <v>982</v>
      </c>
      <c r="AC169" t="s">
        <v>984</v>
      </c>
      <c r="AI169">
        <v>489.43</v>
      </c>
      <c r="AK169">
        <v>0</v>
      </c>
      <c r="AL169" s="1">
        <v>45747</v>
      </c>
      <c r="AM169">
        <v>379.43</v>
      </c>
      <c r="AN169">
        <v>1872487</v>
      </c>
      <c r="AP169" s="1">
        <v>45861</v>
      </c>
      <c r="AQ169">
        <v>110</v>
      </c>
      <c r="AR169">
        <v>1890872</v>
      </c>
      <c r="CH169">
        <v>49242</v>
      </c>
    </row>
    <row r="170" spans="1:86" x14ac:dyDescent="0.25">
      <c r="A170">
        <v>572008</v>
      </c>
      <c r="B170">
        <v>102</v>
      </c>
      <c r="C170">
        <v>301056</v>
      </c>
      <c r="D170">
        <v>1</v>
      </c>
      <c r="E170">
        <v>1</v>
      </c>
      <c r="F170">
        <v>370193</v>
      </c>
      <c r="G170">
        <v>370193</v>
      </c>
      <c r="H170" t="s">
        <v>90</v>
      </c>
      <c r="N170" t="s">
        <v>985</v>
      </c>
      <c r="O170">
        <v>4004380</v>
      </c>
      <c r="P170" t="s">
        <v>92</v>
      </c>
      <c r="Q170" t="s">
        <v>93</v>
      </c>
      <c r="R170" t="s">
        <v>986</v>
      </c>
      <c r="S170" t="s">
        <v>987</v>
      </c>
      <c r="V170" t="s">
        <v>988</v>
      </c>
      <c r="W170" t="s">
        <v>212</v>
      </c>
      <c r="X170" t="s">
        <v>989</v>
      </c>
      <c r="Y170" t="s">
        <v>99</v>
      </c>
      <c r="AA170" t="s">
        <v>985</v>
      </c>
      <c r="AB170" t="s">
        <v>986</v>
      </c>
      <c r="AC170" t="s">
        <v>987</v>
      </c>
      <c r="AD170" t="s">
        <v>990</v>
      </c>
      <c r="AI170">
        <v>456</v>
      </c>
      <c r="AK170">
        <v>0</v>
      </c>
      <c r="AL170" s="1">
        <v>45700</v>
      </c>
      <c r="AM170">
        <v>228</v>
      </c>
      <c r="AN170">
        <v>1865094</v>
      </c>
      <c r="AP170" s="1">
        <v>45839</v>
      </c>
      <c r="AQ170">
        <v>228</v>
      </c>
      <c r="AR170">
        <v>1887139</v>
      </c>
      <c r="CH170">
        <v>492034868</v>
      </c>
    </row>
    <row r="171" spans="1:86" x14ac:dyDescent="0.25">
      <c r="A171">
        <v>572009</v>
      </c>
      <c r="B171">
        <v>102</v>
      </c>
      <c r="C171">
        <v>301057</v>
      </c>
      <c r="D171">
        <v>1</v>
      </c>
      <c r="E171">
        <v>1</v>
      </c>
      <c r="F171">
        <v>370195</v>
      </c>
      <c r="G171">
        <v>370195</v>
      </c>
      <c r="H171" t="s">
        <v>90</v>
      </c>
      <c r="N171" t="s">
        <v>991</v>
      </c>
      <c r="O171">
        <v>4004527</v>
      </c>
      <c r="P171" t="s">
        <v>92</v>
      </c>
      <c r="Q171" t="s">
        <v>93</v>
      </c>
      <c r="R171" t="s">
        <v>992</v>
      </c>
      <c r="S171" t="s">
        <v>993</v>
      </c>
      <c r="V171" t="s">
        <v>994</v>
      </c>
      <c r="W171" t="s">
        <v>212</v>
      </c>
      <c r="X171">
        <v>49283</v>
      </c>
      <c r="Y171" t="s">
        <v>99</v>
      </c>
      <c r="AA171" t="s">
        <v>991</v>
      </c>
      <c r="AB171" t="s">
        <v>992</v>
      </c>
      <c r="AC171" t="s">
        <v>993</v>
      </c>
      <c r="AD171" t="s">
        <v>995</v>
      </c>
      <c r="AI171">
        <v>984</v>
      </c>
      <c r="AK171">
        <v>0</v>
      </c>
      <c r="AL171" s="1">
        <v>45658</v>
      </c>
      <c r="AM171">
        <v>228</v>
      </c>
      <c r="AN171">
        <v>1858213</v>
      </c>
      <c r="AP171" s="1">
        <v>45748</v>
      </c>
      <c r="AQ171">
        <v>228</v>
      </c>
      <c r="AR171">
        <v>1872751</v>
      </c>
      <c r="AT171" s="1">
        <v>45758</v>
      </c>
      <c r="AU171">
        <v>328</v>
      </c>
      <c r="AV171">
        <v>1874651</v>
      </c>
      <c r="AX171" s="1">
        <v>45974</v>
      </c>
      <c r="AY171">
        <v>200</v>
      </c>
      <c r="AZ171">
        <v>1907625</v>
      </c>
      <c r="CH171">
        <v>49283</v>
      </c>
    </row>
    <row r="172" spans="1:86" x14ac:dyDescent="0.25">
      <c r="A172">
        <v>572010</v>
      </c>
      <c r="B172">
        <v>102</v>
      </c>
      <c r="C172">
        <v>301058</v>
      </c>
      <c r="D172">
        <v>1</v>
      </c>
      <c r="E172">
        <v>1</v>
      </c>
      <c r="F172">
        <v>370270</v>
      </c>
      <c r="G172">
        <v>370270</v>
      </c>
      <c r="H172" t="s">
        <v>90</v>
      </c>
      <c r="N172" t="s">
        <v>996</v>
      </c>
      <c r="O172">
        <v>4004382</v>
      </c>
      <c r="P172" t="s">
        <v>92</v>
      </c>
      <c r="Q172" t="s">
        <v>93</v>
      </c>
      <c r="R172" t="s">
        <v>997</v>
      </c>
      <c r="S172" t="s">
        <v>998</v>
      </c>
      <c r="V172" t="s">
        <v>999</v>
      </c>
      <c r="W172" t="s">
        <v>212</v>
      </c>
      <c r="X172" t="s">
        <v>1000</v>
      </c>
      <c r="Y172" t="s">
        <v>99</v>
      </c>
      <c r="AA172" t="s">
        <v>996</v>
      </c>
      <c r="AB172" t="s">
        <v>997</v>
      </c>
      <c r="AC172" t="s">
        <v>998</v>
      </c>
      <c r="AD172" t="s">
        <v>1001</v>
      </c>
      <c r="AH172" t="s">
        <v>1002</v>
      </c>
      <c r="AI172">
        <v>456</v>
      </c>
      <c r="AK172">
        <v>0</v>
      </c>
      <c r="AL172" s="1">
        <v>45993</v>
      </c>
      <c r="AM172">
        <v>456</v>
      </c>
      <c r="AN172">
        <v>1911837</v>
      </c>
      <c r="CH172">
        <v>492419755</v>
      </c>
    </row>
    <row r="173" spans="1:86" x14ac:dyDescent="0.25">
      <c r="A173">
        <v>572011</v>
      </c>
      <c r="B173">
        <v>102</v>
      </c>
      <c r="C173">
        <v>301059</v>
      </c>
      <c r="D173">
        <v>1</v>
      </c>
      <c r="E173">
        <v>1</v>
      </c>
      <c r="F173">
        <v>370321</v>
      </c>
      <c r="G173">
        <v>370321</v>
      </c>
      <c r="H173" t="s">
        <v>90</v>
      </c>
      <c r="N173" t="s">
        <v>1003</v>
      </c>
      <c r="O173">
        <v>370321</v>
      </c>
      <c r="P173" t="s">
        <v>92</v>
      </c>
      <c r="Q173" t="s">
        <v>93</v>
      </c>
      <c r="R173" t="s">
        <v>1004</v>
      </c>
      <c r="V173" t="s">
        <v>994</v>
      </c>
      <c r="W173" t="s">
        <v>212</v>
      </c>
      <c r="X173">
        <v>49283</v>
      </c>
      <c r="Y173" t="s">
        <v>99</v>
      </c>
      <c r="AA173" t="s">
        <v>1003</v>
      </c>
      <c r="AB173" t="s">
        <v>1004</v>
      </c>
      <c r="AC173" t="s">
        <v>995</v>
      </c>
      <c r="AI173">
        <v>1000</v>
      </c>
      <c r="AK173">
        <v>0</v>
      </c>
      <c r="AL173" s="1">
        <v>46021</v>
      </c>
      <c r="AM173">
        <v>1000</v>
      </c>
      <c r="AN173">
        <v>1917268</v>
      </c>
      <c r="CH173">
        <v>49283</v>
      </c>
    </row>
    <row r="174" spans="1:86" x14ac:dyDescent="0.25">
      <c r="A174">
        <v>572012</v>
      </c>
      <c r="B174">
        <v>102</v>
      </c>
      <c r="C174">
        <v>301060</v>
      </c>
      <c r="D174">
        <v>1</v>
      </c>
      <c r="E174">
        <v>1</v>
      </c>
      <c r="F174">
        <v>370326</v>
      </c>
      <c r="G174">
        <v>370326</v>
      </c>
      <c r="H174" t="s">
        <v>90</v>
      </c>
      <c r="N174" t="s">
        <v>1005</v>
      </c>
      <c r="O174">
        <v>4004039</v>
      </c>
      <c r="P174" t="s">
        <v>92</v>
      </c>
      <c r="Q174" t="s">
        <v>93</v>
      </c>
      <c r="R174" t="s">
        <v>1006</v>
      </c>
      <c r="S174" t="s">
        <v>1007</v>
      </c>
      <c r="V174" t="s">
        <v>994</v>
      </c>
      <c r="W174" t="s">
        <v>212</v>
      </c>
      <c r="X174">
        <v>49283</v>
      </c>
      <c r="Y174" t="s">
        <v>99</v>
      </c>
      <c r="AA174" t="s">
        <v>1005</v>
      </c>
      <c r="AB174" t="s">
        <v>1006</v>
      </c>
      <c r="AC174" t="s">
        <v>1007</v>
      </c>
      <c r="AD174" t="s">
        <v>995</v>
      </c>
      <c r="AI174">
        <v>962</v>
      </c>
      <c r="AK174">
        <v>0</v>
      </c>
      <c r="AL174" s="1">
        <v>45686</v>
      </c>
      <c r="AM174">
        <v>228</v>
      </c>
      <c r="AN174">
        <v>1863903</v>
      </c>
      <c r="AP174" s="1">
        <v>45764</v>
      </c>
      <c r="AQ174">
        <v>228</v>
      </c>
      <c r="AR174">
        <v>1876329</v>
      </c>
      <c r="AT174" s="1">
        <v>45854</v>
      </c>
      <c r="AU174">
        <v>228</v>
      </c>
      <c r="AV174">
        <v>1890657</v>
      </c>
      <c r="AX174" s="1">
        <v>45944</v>
      </c>
      <c r="AY174">
        <v>278</v>
      </c>
      <c r="AZ174">
        <v>1904536</v>
      </c>
      <c r="CH174">
        <v>49283</v>
      </c>
    </row>
    <row r="175" spans="1:86" x14ac:dyDescent="0.25">
      <c r="A175">
        <v>572013</v>
      </c>
      <c r="B175">
        <v>102</v>
      </c>
      <c r="C175">
        <v>301061</v>
      </c>
      <c r="D175">
        <v>1</v>
      </c>
      <c r="E175">
        <v>1</v>
      </c>
      <c r="F175">
        <v>370329</v>
      </c>
      <c r="G175">
        <v>370329</v>
      </c>
      <c r="H175" t="s">
        <v>90</v>
      </c>
      <c r="N175" t="s">
        <v>1008</v>
      </c>
      <c r="O175">
        <v>4007060</v>
      </c>
      <c r="P175" t="s">
        <v>92</v>
      </c>
      <c r="Q175" t="s">
        <v>93</v>
      </c>
      <c r="R175" t="s">
        <v>1009</v>
      </c>
      <c r="S175" t="s">
        <v>1010</v>
      </c>
      <c r="V175" t="s">
        <v>1011</v>
      </c>
      <c r="W175" t="s">
        <v>212</v>
      </c>
      <c r="X175" t="s">
        <v>1012</v>
      </c>
      <c r="Y175" t="s">
        <v>99</v>
      </c>
      <c r="AA175" t="s">
        <v>1008</v>
      </c>
      <c r="AB175" t="s">
        <v>1009</v>
      </c>
      <c r="AC175" t="s">
        <v>1010</v>
      </c>
      <c r="AD175" t="s">
        <v>1013</v>
      </c>
      <c r="AI175">
        <v>6560</v>
      </c>
      <c r="AK175">
        <v>0</v>
      </c>
      <c r="AL175" s="1">
        <v>45686</v>
      </c>
      <c r="AM175">
        <v>1000</v>
      </c>
      <c r="AN175">
        <v>1863901</v>
      </c>
      <c r="AP175" s="1">
        <v>45686</v>
      </c>
      <c r="AQ175">
        <v>1140</v>
      </c>
      <c r="AR175">
        <v>1863902</v>
      </c>
      <c r="AT175" s="1">
        <v>45764</v>
      </c>
      <c r="AU175">
        <v>1140</v>
      </c>
      <c r="AV175">
        <v>1876327</v>
      </c>
      <c r="AX175" s="1">
        <v>45854</v>
      </c>
      <c r="AY175">
        <v>1140</v>
      </c>
      <c r="AZ175">
        <v>1890656</v>
      </c>
      <c r="BB175" s="1">
        <v>45944</v>
      </c>
      <c r="BC175">
        <v>2140</v>
      </c>
      <c r="BD175">
        <v>1904535</v>
      </c>
      <c r="CH175">
        <v>492830399</v>
      </c>
    </row>
    <row r="176" spans="1:86" x14ac:dyDescent="0.25">
      <c r="A176">
        <v>572014</v>
      </c>
      <c r="B176">
        <v>102</v>
      </c>
      <c r="C176">
        <v>301062</v>
      </c>
      <c r="D176">
        <v>1</v>
      </c>
      <c r="E176">
        <v>1</v>
      </c>
      <c r="F176">
        <v>370380</v>
      </c>
      <c r="G176">
        <v>370380</v>
      </c>
      <c r="H176" t="s">
        <v>90</v>
      </c>
      <c r="N176" t="s">
        <v>1014</v>
      </c>
      <c r="O176">
        <v>4004383</v>
      </c>
      <c r="P176" t="s">
        <v>92</v>
      </c>
      <c r="Q176" t="s">
        <v>93</v>
      </c>
      <c r="R176" t="s">
        <v>1015</v>
      </c>
      <c r="S176" t="s">
        <v>1016</v>
      </c>
      <c r="V176" t="s">
        <v>1017</v>
      </c>
      <c r="W176" t="s">
        <v>212</v>
      </c>
      <c r="X176">
        <v>49098</v>
      </c>
      <c r="Y176" t="s">
        <v>99</v>
      </c>
      <c r="AA176" t="s">
        <v>1014</v>
      </c>
      <c r="AB176" t="s">
        <v>1015</v>
      </c>
      <c r="AC176" t="s">
        <v>1016</v>
      </c>
      <c r="AD176" t="s">
        <v>1018</v>
      </c>
      <c r="AH176" t="s">
        <v>1019</v>
      </c>
      <c r="AI176">
        <v>4104</v>
      </c>
      <c r="AK176">
        <v>0</v>
      </c>
      <c r="AL176" s="1">
        <v>45658</v>
      </c>
      <c r="AM176">
        <v>1026</v>
      </c>
      <c r="AN176">
        <v>1858454</v>
      </c>
      <c r="AP176" s="1">
        <v>45748</v>
      </c>
      <c r="AQ176">
        <v>1026</v>
      </c>
      <c r="AR176">
        <v>1872986</v>
      </c>
      <c r="AT176" s="1">
        <v>45839</v>
      </c>
      <c r="AU176">
        <v>1026</v>
      </c>
      <c r="AV176">
        <v>1887502</v>
      </c>
      <c r="AX176" s="1">
        <v>45931</v>
      </c>
      <c r="AY176">
        <v>1026</v>
      </c>
      <c r="AZ176">
        <v>1901537</v>
      </c>
      <c r="CH176">
        <v>49098</v>
      </c>
    </row>
    <row r="177" spans="1:86" x14ac:dyDescent="0.25">
      <c r="A177">
        <v>572015</v>
      </c>
      <c r="B177">
        <v>102</v>
      </c>
      <c r="C177">
        <v>301063</v>
      </c>
      <c r="D177">
        <v>1</v>
      </c>
      <c r="E177">
        <v>1</v>
      </c>
      <c r="F177">
        <v>370414</v>
      </c>
      <c r="G177">
        <v>370414</v>
      </c>
      <c r="H177" t="s">
        <v>90</v>
      </c>
      <c r="N177" t="s">
        <v>1020</v>
      </c>
      <c r="O177">
        <v>4004384</v>
      </c>
      <c r="P177" t="s">
        <v>92</v>
      </c>
      <c r="Q177" t="s">
        <v>93</v>
      </c>
      <c r="R177" t="s">
        <v>1021</v>
      </c>
      <c r="S177" t="s">
        <v>1022</v>
      </c>
      <c r="V177" t="s">
        <v>1023</v>
      </c>
      <c r="W177" t="s">
        <v>212</v>
      </c>
      <c r="X177" t="s">
        <v>1024</v>
      </c>
      <c r="Y177" t="s">
        <v>99</v>
      </c>
      <c r="AA177" t="s">
        <v>1020</v>
      </c>
      <c r="AB177" t="s">
        <v>1021</v>
      </c>
      <c r="AC177" t="s">
        <v>1022</v>
      </c>
      <c r="AD177" t="s">
        <v>1025</v>
      </c>
      <c r="AH177" t="s">
        <v>1026</v>
      </c>
      <c r="AI177">
        <v>912</v>
      </c>
      <c r="AK177">
        <v>0</v>
      </c>
      <c r="AL177" s="1">
        <v>45672</v>
      </c>
      <c r="AM177">
        <v>76</v>
      </c>
      <c r="AN177">
        <v>1860446</v>
      </c>
      <c r="AP177" s="1">
        <v>45703</v>
      </c>
      <c r="AQ177">
        <v>76</v>
      </c>
      <c r="AR177">
        <v>1865537</v>
      </c>
      <c r="AT177" s="1">
        <v>45731</v>
      </c>
      <c r="AU177">
        <v>76</v>
      </c>
      <c r="AV177">
        <v>1870325</v>
      </c>
      <c r="AX177" s="1">
        <v>45762</v>
      </c>
      <c r="AY177">
        <v>76</v>
      </c>
      <c r="AZ177">
        <v>1875112</v>
      </c>
      <c r="BB177" s="1">
        <v>45792</v>
      </c>
      <c r="BC177">
        <v>76</v>
      </c>
      <c r="BD177">
        <v>1880223</v>
      </c>
      <c r="BF177" s="1">
        <v>45823</v>
      </c>
      <c r="BG177">
        <v>76</v>
      </c>
      <c r="BH177">
        <v>1884886</v>
      </c>
      <c r="BJ177" s="1">
        <v>45853</v>
      </c>
      <c r="BK177">
        <v>76</v>
      </c>
      <c r="BL177">
        <v>1889623</v>
      </c>
      <c r="BN177" s="1">
        <v>45884</v>
      </c>
      <c r="BO177">
        <v>76</v>
      </c>
      <c r="BP177">
        <v>1894428</v>
      </c>
      <c r="BR177" s="1">
        <v>45915</v>
      </c>
      <c r="BS177">
        <v>76</v>
      </c>
      <c r="BT177">
        <v>1898874</v>
      </c>
      <c r="BV177" s="1">
        <v>45945</v>
      </c>
      <c r="BW177">
        <v>76</v>
      </c>
      <c r="BX177">
        <v>1903473</v>
      </c>
      <c r="BZ177" s="1">
        <v>45976</v>
      </c>
      <c r="CA177">
        <v>76</v>
      </c>
      <c r="CB177">
        <v>1908085</v>
      </c>
      <c r="CD177" s="1">
        <v>46006</v>
      </c>
      <c r="CE177">
        <v>76</v>
      </c>
      <c r="CF177">
        <v>1912846</v>
      </c>
      <c r="CH177">
        <v>481971817</v>
      </c>
    </row>
    <row r="178" spans="1:86" x14ac:dyDescent="0.25">
      <c r="A178">
        <v>572016</v>
      </c>
      <c r="B178">
        <v>102</v>
      </c>
      <c r="C178">
        <v>301064</v>
      </c>
      <c r="D178">
        <v>1</v>
      </c>
      <c r="E178">
        <v>3</v>
      </c>
      <c r="F178">
        <v>380030</v>
      </c>
      <c r="G178">
        <v>380030</v>
      </c>
      <c r="H178" t="s">
        <v>90</v>
      </c>
      <c r="N178" t="s">
        <v>1027</v>
      </c>
      <c r="O178">
        <v>4004385</v>
      </c>
      <c r="P178" t="s">
        <v>92</v>
      </c>
      <c r="Q178" t="s">
        <v>93</v>
      </c>
      <c r="R178" t="s">
        <v>1028</v>
      </c>
      <c r="S178" t="s">
        <v>1029</v>
      </c>
      <c r="V178" t="s">
        <v>1030</v>
      </c>
      <c r="W178" t="s">
        <v>124</v>
      </c>
      <c r="X178">
        <v>13904</v>
      </c>
      <c r="Y178" t="s">
        <v>99</v>
      </c>
      <c r="AA178" t="s">
        <v>1027</v>
      </c>
      <c r="AB178" t="s">
        <v>1028</v>
      </c>
      <c r="AC178" t="s">
        <v>1029</v>
      </c>
      <c r="AD178" t="s">
        <v>1031</v>
      </c>
      <c r="AH178" t="s">
        <v>1032</v>
      </c>
      <c r="AI178">
        <v>1032</v>
      </c>
      <c r="AK178">
        <v>0</v>
      </c>
      <c r="AL178" s="1">
        <v>45658</v>
      </c>
      <c r="AM178">
        <v>38</v>
      </c>
      <c r="AN178">
        <v>1858548</v>
      </c>
      <c r="AP178" s="1">
        <v>45662</v>
      </c>
      <c r="AQ178">
        <v>38</v>
      </c>
      <c r="AR178">
        <v>1858976</v>
      </c>
      <c r="AT178" s="1">
        <v>45689</v>
      </c>
      <c r="AU178">
        <v>38</v>
      </c>
      <c r="AV178">
        <v>1863716</v>
      </c>
      <c r="AX178" s="1">
        <v>45693</v>
      </c>
      <c r="AY178">
        <v>38</v>
      </c>
      <c r="AZ178">
        <v>1864415</v>
      </c>
      <c r="BB178" s="1">
        <v>45717</v>
      </c>
      <c r="BC178">
        <v>38</v>
      </c>
      <c r="BD178">
        <v>1868497</v>
      </c>
      <c r="BF178" s="1">
        <v>45721</v>
      </c>
      <c r="BG178">
        <v>38</v>
      </c>
      <c r="BH178">
        <v>1868941</v>
      </c>
      <c r="BJ178" s="1">
        <v>45748</v>
      </c>
      <c r="BK178">
        <v>38</v>
      </c>
      <c r="BL178">
        <v>1873077</v>
      </c>
      <c r="BN178" s="1">
        <v>45752</v>
      </c>
      <c r="BO178">
        <v>38</v>
      </c>
      <c r="BP178">
        <v>1873974</v>
      </c>
      <c r="BR178" s="1">
        <v>45778</v>
      </c>
      <c r="BS178">
        <v>38</v>
      </c>
      <c r="BT178">
        <v>1878317</v>
      </c>
      <c r="BV178" s="1">
        <v>45782</v>
      </c>
      <c r="BW178">
        <v>38</v>
      </c>
      <c r="BX178">
        <v>1878941</v>
      </c>
      <c r="BZ178" s="1">
        <v>45809</v>
      </c>
      <c r="CA178">
        <v>38</v>
      </c>
      <c r="CB178">
        <v>1883055</v>
      </c>
      <c r="CD178" s="1">
        <v>45813</v>
      </c>
      <c r="CE178">
        <v>38</v>
      </c>
      <c r="CF178">
        <v>1883684</v>
      </c>
      <c r="CH178">
        <v>13904</v>
      </c>
    </row>
    <row r="179" spans="1:86" x14ac:dyDescent="0.25">
      <c r="A179">
        <v>572017</v>
      </c>
      <c r="B179">
        <v>102</v>
      </c>
      <c r="C179">
        <v>301064</v>
      </c>
      <c r="D179">
        <v>2</v>
      </c>
      <c r="E179">
        <v>3</v>
      </c>
      <c r="F179">
        <v>380030</v>
      </c>
      <c r="G179">
        <v>380030</v>
      </c>
      <c r="H179" t="s">
        <v>90</v>
      </c>
      <c r="N179" t="s">
        <v>1027</v>
      </c>
      <c r="O179">
        <v>4004385</v>
      </c>
      <c r="P179" t="s">
        <v>92</v>
      </c>
      <c r="Q179" t="s">
        <v>93</v>
      </c>
      <c r="R179" t="s">
        <v>1028</v>
      </c>
      <c r="S179" t="s">
        <v>1029</v>
      </c>
      <c r="V179" t="s">
        <v>1030</v>
      </c>
      <c r="W179" t="s">
        <v>124</v>
      </c>
      <c r="X179">
        <v>13904</v>
      </c>
      <c r="Y179" t="s">
        <v>99</v>
      </c>
      <c r="AA179" t="s">
        <v>1027</v>
      </c>
      <c r="AB179" t="s">
        <v>1028</v>
      </c>
      <c r="AC179" t="s">
        <v>1029</v>
      </c>
      <c r="AD179" t="s">
        <v>1031</v>
      </c>
      <c r="AH179" t="s">
        <v>1032</v>
      </c>
      <c r="AI179">
        <v>1032</v>
      </c>
      <c r="AK179">
        <v>0</v>
      </c>
      <c r="AL179" s="1">
        <v>45839</v>
      </c>
      <c r="AM179">
        <v>38</v>
      </c>
      <c r="AN179">
        <v>1887590</v>
      </c>
      <c r="AP179" s="1">
        <v>45843</v>
      </c>
      <c r="AQ179">
        <v>38</v>
      </c>
      <c r="AR179">
        <v>1888253</v>
      </c>
      <c r="AT179" s="1">
        <v>45870</v>
      </c>
      <c r="AU179">
        <v>38</v>
      </c>
      <c r="AV179">
        <v>1892516</v>
      </c>
      <c r="AX179" s="1">
        <v>45874</v>
      </c>
      <c r="AY179">
        <v>38</v>
      </c>
      <c r="AZ179">
        <v>1892965</v>
      </c>
      <c r="BB179" s="1">
        <v>45901</v>
      </c>
      <c r="BC179">
        <v>38</v>
      </c>
      <c r="BD179">
        <v>1897022</v>
      </c>
      <c r="BF179" s="1">
        <v>45905</v>
      </c>
      <c r="BG179">
        <v>38</v>
      </c>
      <c r="BH179">
        <v>1897709</v>
      </c>
      <c r="BJ179" s="1">
        <v>45931</v>
      </c>
      <c r="BK179">
        <v>38</v>
      </c>
      <c r="BL179">
        <v>1901625</v>
      </c>
      <c r="BN179" s="1">
        <v>45935</v>
      </c>
      <c r="BO179">
        <v>38</v>
      </c>
      <c r="BP179">
        <v>1902256</v>
      </c>
      <c r="BR179" s="1">
        <v>45962</v>
      </c>
      <c r="BS179">
        <v>38</v>
      </c>
      <c r="BT179">
        <v>1906176</v>
      </c>
      <c r="BV179" s="1">
        <v>45966</v>
      </c>
      <c r="BW179">
        <v>38</v>
      </c>
      <c r="BX179">
        <v>1906975</v>
      </c>
      <c r="BZ179" s="1">
        <v>45992</v>
      </c>
      <c r="CA179">
        <v>38</v>
      </c>
      <c r="CB179">
        <v>1910856</v>
      </c>
      <c r="CD179" s="1">
        <v>45996</v>
      </c>
      <c r="CE179">
        <v>38</v>
      </c>
      <c r="CF179">
        <v>1911440</v>
      </c>
      <c r="CH179">
        <v>13904</v>
      </c>
    </row>
    <row r="180" spans="1:86" x14ac:dyDescent="0.25">
      <c r="A180">
        <v>572018</v>
      </c>
      <c r="B180">
        <v>102</v>
      </c>
      <c r="C180">
        <v>301064</v>
      </c>
      <c r="D180">
        <v>3</v>
      </c>
      <c r="E180">
        <v>3</v>
      </c>
      <c r="F180">
        <v>380030</v>
      </c>
      <c r="G180">
        <v>380030</v>
      </c>
      <c r="H180" t="s">
        <v>90</v>
      </c>
      <c r="N180" t="s">
        <v>1027</v>
      </c>
      <c r="O180">
        <v>4004385</v>
      </c>
      <c r="P180" t="s">
        <v>92</v>
      </c>
      <c r="Q180" t="s">
        <v>93</v>
      </c>
      <c r="R180" t="s">
        <v>1028</v>
      </c>
      <c r="S180" t="s">
        <v>1029</v>
      </c>
      <c r="V180" t="s">
        <v>1030</v>
      </c>
      <c r="W180" t="s">
        <v>124</v>
      </c>
      <c r="X180">
        <v>13904</v>
      </c>
      <c r="Y180" t="s">
        <v>99</v>
      </c>
      <c r="AA180" t="s">
        <v>1027</v>
      </c>
      <c r="AB180" t="s">
        <v>1028</v>
      </c>
      <c r="AC180" t="s">
        <v>1029</v>
      </c>
      <c r="AD180" t="s">
        <v>1031</v>
      </c>
      <c r="AH180" t="s">
        <v>1032</v>
      </c>
      <c r="AI180">
        <v>1032</v>
      </c>
      <c r="AK180">
        <v>0</v>
      </c>
      <c r="AL180" s="1">
        <v>46001</v>
      </c>
      <c r="AM180">
        <v>120</v>
      </c>
      <c r="AN180">
        <v>1912141</v>
      </c>
      <c r="CH180">
        <v>13904</v>
      </c>
    </row>
    <row r="181" spans="1:86" x14ac:dyDescent="0.25">
      <c r="A181">
        <v>572019</v>
      </c>
      <c r="B181">
        <v>102</v>
      </c>
      <c r="C181">
        <v>301065</v>
      </c>
      <c r="D181">
        <v>1</v>
      </c>
      <c r="E181">
        <v>1</v>
      </c>
      <c r="F181">
        <v>380210</v>
      </c>
      <c r="G181">
        <v>380210</v>
      </c>
      <c r="H181" t="s">
        <v>90</v>
      </c>
      <c r="N181" t="s">
        <v>1033</v>
      </c>
      <c r="O181">
        <v>380210</v>
      </c>
      <c r="P181" t="s">
        <v>92</v>
      </c>
      <c r="Q181" t="s">
        <v>93</v>
      </c>
      <c r="R181" t="s">
        <v>1034</v>
      </c>
      <c r="V181" t="s">
        <v>1035</v>
      </c>
      <c r="W181" t="s">
        <v>124</v>
      </c>
      <c r="X181" t="s">
        <v>1036</v>
      </c>
      <c r="Y181" t="s">
        <v>99</v>
      </c>
      <c r="AA181" t="s">
        <v>1033</v>
      </c>
      <c r="AB181" t="s">
        <v>1034</v>
      </c>
      <c r="AC181" t="s">
        <v>1037</v>
      </c>
      <c r="AH181" t="s">
        <v>1038</v>
      </c>
      <c r="AI181">
        <v>456</v>
      </c>
      <c r="AK181">
        <v>0</v>
      </c>
      <c r="AL181" s="1">
        <v>45685</v>
      </c>
      <c r="AM181">
        <v>38</v>
      </c>
      <c r="AN181">
        <v>1862890</v>
      </c>
      <c r="AP181" s="1">
        <v>45716</v>
      </c>
      <c r="AQ181">
        <v>38</v>
      </c>
      <c r="AR181">
        <v>1867736</v>
      </c>
      <c r="AT181" s="1">
        <v>45744</v>
      </c>
      <c r="AU181">
        <v>38</v>
      </c>
      <c r="AV181">
        <v>1872272</v>
      </c>
      <c r="AX181" s="1">
        <v>45775</v>
      </c>
      <c r="AY181">
        <v>38</v>
      </c>
      <c r="AZ181">
        <v>1877452</v>
      </c>
      <c r="BB181" s="1">
        <v>45805</v>
      </c>
      <c r="BC181">
        <v>38</v>
      </c>
      <c r="BD181">
        <v>1882041</v>
      </c>
      <c r="BF181" s="1">
        <v>45836</v>
      </c>
      <c r="BG181">
        <v>38</v>
      </c>
      <c r="BH181">
        <v>1886853</v>
      </c>
      <c r="BJ181" s="1">
        <v>45866</v>
      </c>
      <c r="BK181">
        <v>38</v>
      </c>
      <c r="BL181">
        <v>1891596</v>
      </c>
      <c r="BN181" s="1">
        <v>45897</v>
      </c>
      <c r="BO181">
        <v>38</v>
      </c>
      <c r="BP181">
        <v>1896079</v>
      </c>
      <c r="BR181" s="1">
        <v>45928</v>
      </c>
      <c r="BS181">
        <v>38</v>
      </c>
      <c r="BT181">
        <v>1900811</v>
      </c>
      <c r="BV181" s="1">
        <v>45958</v>
      </c>
      <c r="BW181">
        <v>38</v>
      </c>
      <c r="BX181">
        <v>1905416</v>
      </c>
      <c r="BZ181" s="1">
        <v>45989</v>
      </c>
      <c r="CA181">
        <v>38</v>
      </c>
      <c r="CB181">
        <v>1909937</v>
      </c>
      <c r="CD181" s="1">
        <v>46019</v>
      </c>
      <c r="CE181">
        <v>38</v>
      </c>
      <c r="CF181">
        <v>1914754</v>
      </c>
      <c r="CH181">
        <v>138153604</v>
      </c>
    </row>
    <row r="182" spans="1:86" x14ac:dyDescent="0.25">
      <c r="A182">
        <v>572020</v>
      </c>
      <c r="B182">
        <v>102</v>
      </c>
      <c r="C182">
        <v>301066</v>
      </c>
      <c r="D182">
        <v>1</v>
      </c>
      <c r="E182">
        <v>1</v>
      </c>
      <c r="F182">
        <v>380271</v>
      </c>
      <c r="G182">
        <v>380271</v>
      </c>
      <c r="H182" t="s">
        <v>90</v>
      </c>
      <c r="N182" t="s">
        <v>1039</v>
      </c>
      <c r="O182">
        <v>4004388</v>
      </c>
      <c r="P182" t="s">
        <v>92</v>
      </c>
      <c r="Q182" t="s">
        <v>93</v>
      </c>
      <c r="R182" t="s">
        <v>1040</v>
      </c>
      <c r="S182" t="s">
        <v>1041</v>
      </c>
      <c r="V182" t="s">
        <v>1042</v>
      </c>
      <c r="W182" t="s">
        <v>124</v>
      </c>
      <c r="X182" t="s">
        <v>1043</v>
      </c>
      <c r="Y182" t="s">
        <v>99</v>
      </c>
      <c r="AA182" t="s">
        <v>1039</v>
      </c>
      <c r="AB182" t="s">
        <v>1040</v>
      </c>
      <c r="AC182" t="s">
        <v>1041</v>
      </c>
      <c r="AD182" t="s">
        <v>1044</v>
      </c>
      <c r="AI182">
        <v>1786</v>
      </c>
      <c r="AK182">
        <v>0</v>
      </c>
      <c r="AL182" s="1">
        <v>45688</v>
      </c>
      <c r="AM182">
        <v>110</v>
      </c>
      <c r="AN182">
        <v>1864154</v>
      </c>
      <c r="AP182" s="1">
        <v>45719</v>
      </c>
      <c r="AQ182">
        <v>110</v>
      </c>
      <c r="AR182">
        <v>1869055</v>
      </c>
      <c r="AT182" s="1">
        <v>45751</v>
      </c>
      <c r="AU182">
        <v>110</v>
      </c>
      <c r="AV182">
        <v>1873842</v>
      </c>
      <c r="AX182" s="1">
        <v>45782</v>
      </c>
      <c r="AY182">
        <v>110</v>
      </c>
      <c r="AZ182">
        <v>1879282</v>
      </c>
      <c r="BB182" s="1">
        <v>45812</v>
      </c>
      <c r="BC182">
        <v>110</v>
      </c>
      <c r="BD182">
        <v>1883836</v>
      </c>
      <c r="BF182" s="1">
        <v>45845</v>
      </c>
      <c r="BG182">
        <v>110</v>
      </c>
      <c r="BH182">
        <v>1888908</v>
      </c>
      <c r="BJ182" s="1">
        <v>45875</v>
      </c>
      <c r="BK182">
        <v>110</v>
      </c>
      <c r="BL182">
        <v>1893363</v>
      </c>
      <c r="BN182" s="1">
        <v>45909</v>
      </c>
      <c r="BO182">
        <v>110</v>
      </c>
      <c r="BP182">
        <v>1898151</v>
      </c>
      <c r="BR182" s="1">
        <v>45937</v>
      </c>
      <c r="BS182">
        <v>110</v>
      </c>
      <c r="BT182">
        <v>1902606</v>
      </c>
      <c r="BV182" s="1">
        <v>45996</v>
      </c>
      <c r="BW182">
        <v>576</v>
      </c>
      <c r="BX182">
        <v>1912205</v>
      </c>
      <c r="BZ182" s="1">
        <v>46007</v>
      </c>
      <c r="CA182">
        <v>110</v>
      </c>
      <c r="CB182">
        <v>1914087</v>
      </c>
      <c r="CD182" s="1">
        <v>46021</v>
      </c>
      <c r="CE182">
        <v>110</v>
      </c>
      <c r="CF182">
        <v>1917135</v>
      </c>
      <c r="CH182">
        <v>145420012</v>
      </c>
    </row>
    <row r="183" spans="1:86" x14ac:dyDescent="0.25">
      <c r="A183">
        <v>572021</v>
      </c>
      <c r="B183">
        <v>102</v>
      </c>
      <c r="C183">
        <v>301067</v>
      </c>
      <c r="D183">
        <v>1</v>
      </c>
      <c r="E183">
        <v>1</v>
      </c>
      <c r="F183">
        <v>380331</v>
      </c>
      <c r="G183">
        <v>380331</v>
      </c>
      <c r="H183" t="s">
        <v>90</v>
      </c>
      <c r="N183" t="s">
        <v>1045</v>
      </c>
      <c r="O183">
        <v>380331</v>
      </c>
      <c r="P183" t="s">
        <v>92</v>
      </c>
      <c r="Q183" t="s">
        <v>93</v>
      </c>
      <c r="R183" t="s">
        <v>1046</v>
      </c>
      <c r="V183" t="s">
        <v>1047</v>
      </c>
      <c r="W183" t="s">
        <v>124</v>
      </c>
      <c r="X183">
        <v>13760</v>
      </c>
      <c r="Y183" t="s">
        <v>99</v>
      </c>
      <c r="AA183" t="s">
        <v>1045</v>
      </c>
      <c r="AB183" t="s">
        <v>1046</v>
      </c>
      <c r="AC183" t="s">
        <v>1048</v>
      </c>
      <c r="AH183" t="s">
        <v>1049</v>
      </c>
      <c r="AI183">
        <v>38</v>
      </c>
      <c r="AK183">
        <v>0</v>
      </c>
      <c r="AL183" s="1">
        <v>45998</v>
      </c>
      <c r="AM183">
        <v>38</v>
      </c>
      <c r="AN183">
        <v>1911690</v>
      </c>
      <c r="CH183">
        <v>13760</v>
      </c>
    </row>
    <row r="184" spans="1:86" x14ac:dyDescent="0.25">
      <c r="A184">
        <v>572022</v>
      </c>
      <c r="B184">
        <v>102</v>
      </c>
      <c r="C184">
        <v>301068</v>
      </c>
      <c r="D184">
        <v>1</v>
      </c>
      <c r="E184">
        <v>1</v>
      </c>
      <c r="F184">
        <v>380356</v>
      </c>
      <c r="G184">
        <v>380356</v>
      </c>
      <c r="H184" t="s">
        <v>90</v>
      </c>
      <c r="N184" t="s">
        <v>1050</v>
      </c>
      <c r="O184">
        <v>4011538</v>
      </c>
      <c r="P184" t="s">
        <v>92</v>
      </c>
      <c r="Q184" t="s">
        <v>93</v>
      </c>
      <c r="R184" t="s">
        <v>1051</v>
      </c>
      <c r="S184" t="s">
        <v>1052</v>
      </c>
      <c r="V184" t="s">
        <v>376</v>
      </c>
      <c r="W184" t="s">
        <v>124</v>
      </c>
      <c r="X184">
        <v>14609</v>
      </c>
      <c r="Y184" t="s">
        <v>99</v>
      </c>
      <c r="AA184" t="s">
        <v>1050</v>
      </c>
      <c r="AB184" t="s">
        <v>1051</v>
      </c>
      <c r="AC184" t="s">
        <v>1052</v>
      </c>
      <c r="AD184" t="s">
        <v>1053</v>
      </c>
      <c r="AI184">
        <v>1368</v>
      </c>
      <c r="AK184">
        <v>0</v>
      </c>
      <c r="AL184" s="1">
        <v>45685</v>
      </c>
      <c r="AM184">
        <v>114</v>
      </c>
      <c r="AN184">
        <v>1862891</v>
      </c>
      <c r="AP184" s="1">
        <v>45716</v>
      </c>
      <c r="AQ184">
        <v>114</v>
      </c>
      <c r="AR184">
        <v>1867737</v>
      </c>
      <c r="AT184" s="1">
        <v>45744</v>
      </c>
      <c r="AU184">
        <v>114</v>
      </c>
      <c r="AV184">
        <v>1872273</v>
      </c>
      <c r="AX184" s="1">
        <v>45775</v>
      </c>
      <c r="AY184">
        <v>114</v>
      </c>
      <c r="AZ184">
        <v>1877453</v>
      </c>
      <c r="BB184" s="1">
        <v>45805</v>
      </c>
      <c r="BC184">
        <v>114</v>
      </c>
      <c r="BD184">
        <v>1882042</v>
      </c>
      <c r="BF184" s="1">
        <v>45836</v>
      </c>
      <c r="BG184">
        <v>114</v>
      </c>
      <c r="BH184">
        <v>1886854</v>
      </c>
      <c r="BJ184" s="1">
        <v>45866</v>
      </c>
      <c r="BK184">
        <v>114</v>
      </c>
      <c r="BL184">
        <v>1891597</v>
      </c>
      <c r="BN184" s="1">
        <v>45897</v>
      </c>
      <c r="BO184">
        <v>114</v>
      </c>
      <c r="BP184">
        <v>1896080</v>
      </c>
      <c r="BR184" s="1">
        <v>45928</v>
      </c>
      <c r="BS184">
        <v>114</v>
      </c>
      <c r="BT184">
        <v>1900812</v>
      </c>
      <c r="BV184" s="1">
        <v>45958</v>
      </c>
      <c r="BW184">
        <v>114</v>
      </c>
      <c r="BX184">
        <v>1905417</v>
      </c>
      <c r="BZ184" s="1">
        <v>45989</v>
      </c>
      <c r="CA184">
        <v>114</v>
      </c>
      <c r="CB184">
        <v>1909938</v>
      </c>
      <c r="CD184" s="1">
        <v>46019</v>
      </c>
      <c r="CE184">
        <v>114</v>
      </c>
      <c r="CF184">
        <v>1914755</v>
      </c>
      <c r="CH184">
        <v>14609</v>
      </c>
    </row>
    <row r="185" spans="1:86" x14ac:dyDescent="0.25">
      <c r="A185">
        <v>572023</v>
      </c>
      <c r="B185">
        <v>102</v>
      </c>
      <c r="C185">
        <v>301069</v>
      </c>
      <c r="D185">
        <v>1</v>
      </c>
      <c r="E185">
        <v>1</v>
      </c>
      <c r="F185">
        <v>390045</v>
      </c>
      <c r="G185">
        <v>390045</v>
      </c>
      <c r="H185" t="s">
        <v>90</v>
      </c>
      <c r="N185" t="s">
        <v>1054</v>
      </c>
      <c r="O185">
        <v>4004391</v>
      </c>
      <c r="P185" t="s">
        <v>92</v>
      </c>
      <c r="Q185" t="s">
        <v>93</v>
      </c>
      <c r="R185" t="s">
        <v>1055</v>
      </c>
      <c r="S185" t="s">
        <v>1056</v>
      </c>
      <c r="V185" t="s">
        <v>1057</v>
      </c>
      <c r="W185" t="s">
        <v>1058</v>
      </c>
      <c r="X185">
        <v>78427</v>
      </c>
      <c r="Y185" t="s">
        <v>99</v>
      </c>
      <c r="AA185" t="s">
        <v>1054</v>
      </c>
      <c r="AB185" t="s">
        <v>1055</v>
      </c>
      <c r="AC185" t="s">
        <v>1056</v>
      </c>
      <c r="AD185" t="s">
        <v>1059</v>
      </c>
      <c r="AH185" t="s">
        <v>1060</v>
      </c>
      <c r="AI185">
        <v>912</v>
      </c>
      <c r="AK185">
        <v>0</v>
      </c>
      <c r="AL185" s="1">
        <v>45672</v>
      </c>
      <c r="AM185">
        <v>76</v>
      </c>
      <c r="AN185">
        <v>1860473</v>
      </c>
      <c r="AP185" s="1">
        <v>45703</v>
      </c>
      <c r="AQ185">
        <v>76</v>
      </c>
      <c r="AR185">
        <v>1865563</v>
      </c>
      <c r="AT185" s="1">
        <v>45731</v>
      </c>
      <c r="AU185">
        <v>76</v>
      </c>
      <c r="AV185">
        <v>1870326</v>
      </c>
      <c r="AX185" s="1">
        <v>45762</v>
      </c>
      <c r="AY185">
        <v>76</v>
      </c>
      <c r="AZ185">
        <v>1875113</v>
      </c>
      <c r="BB185" s="1">
        <v>45792</v>
      </c>
      <c r="BC185">
        <v>76</v>
      </c>
      <c r="BD185">
        <v>1880224</v>
      </c>
      <c r="BF185" s="1">
        <v>45823</v>
      </c>
      <c r="BG185">
        <v>76</v>
      </c>
      <c r="BH185">
        <v>1884887</v>
      </c>
      <c r="BJ185" s="1">
        <v>45853</v>
      </c>
      <c r="BK185">
        <v>76</v>
      </c>
      <c r="BL185">
        <v>1889624</v>
      </c>
      <c r="BN185" s="1">
        <v>45884</v>
      </c>
      <c r="BO185">
        <v>76</v>
      </c>
      <c r="BP185">
        <v>1894429</v>
      </c>
      <c r="BR185" s="1">
        <v>45915</v>
      </c>
      <c r="BS185">
        <v>76</v>
      </c>
      <c r="BT185">
        <v>1898875</v>
      </c>
      <c r="BV185" s="1">
        <v>45945</v>
      </c>
      <c r="BW185">
        <v>76</v>
      </c>
      <c r="BX185">
        <v>1903474</v>
      </c>
      <c r="BZ185" s="1">
        <v>45976</v>
      </c>
      <c r="CA185">
        <v>76</v>
      </c>
      <c r="CB185">
        <v>1908086</v>
      </c>
      <c r="CD185" s="1">
        <v>46006</v>
      </c>
      <c r="CE185">
        <v>76</v>
      </c>
      <c r="CF185">
        <v>1912847</v>
      </c>
      <c r="CH185">
        <v>78427</v>
      </c>
    </row>
    <row r="186" spans="1:86" x14ac:dyDescent="0.25">
      <c r="A186">
        <v>572024</v>
      </c>
      <c r="B186">
        <v>102</v>
      </c>
      <c r="C186">
        <v>301070</v>
      </c>
      <c r="D186">
        <v>1</v>
      </c>
      <c r="E186">
        <v>1</v>
      </c>
      <c r="F186">
        <v>390180</v>
      </c>
      <c r="G186">
        <v>390180</v>
      </c>
      <c r="H186" t="s">
        <v>90</v>
      </c>
      <c r="N186" t="s">
        <v>1061</v>
      </c>
      <c r="O186">
        <v>390180</v>
      </c>
      <c r="P186" t="s">
        <v>92</v>
      </c>
      <c r="Q186" t="s">
        <v>93</v>
      </c>
      <c r="R186" t="s">
        <v>1062</v>
      </c>
      <c r="V186" t="s">
        <v>1063</v>
      </c>
      <c r="W186" t="s">
        <v>1058</v>
      </c>
      <c r="X186" t="s">
        <v>1064</v>
      </c>
      <c r="Y186" t="s">
        <v>99</v>
      </c>
      <c r="AA186" t="s">
        <v>1061</v>
      </c>
      <c r="AB186" t="s">
        <v>1062</v>
      </c>
      <c r="AC186" t="s">
        <v>1065</v>
      </c>
      <c r="AH186" t="s">
        <v>1066</v>
      </c>
      <c r="AI186">
        <v>1824</v>
      </c>
      <c r="AK186">
        <v>0</v>
      </c>
      <c r="AL186" s="1">
        <v>45682</v>
      </c>
      <c r="AM186">
        <v>152</v>
      </c>
      <c r="AN186">
        <v>1862261</v>
      </c>
      <c r="AP186" s="1">
        <v>45713</v>
      </c>
      <c r="AQ186">
        <v>152</v>
      </c>
      <c r="AR186">
        <v>1866932</v>
      </c>
      <c r="AT186" s="1">
        <v>45741</v>
      </c>
      <c r="AU186">
        <v>152</v>
      </c>
      <c r="AV186">
        <v>1871720</v>
      </c>
      <c r="AX186" s="1">
        <v>45772</v>
      </c>
      <c r="AY186">
        <v>152</v>
      </c>
      <c r="AZ186">
        <v>1876788</v>
      </c>
      <c r="BB186" s="1">
        <v>45802</v>
      </c>
      <c r="BC186">
        <v>152</v>
      </c>
      <c r="BD186">
        <v>1881466</v>
      </c>
      <c r="BF186" s="1">
        <v>45833</v>
      </c>
      <c r="BG186">
        <v>152</v>
      </c>
      <c r="BH186">
        <v>1886109</v>
      </c>
      <c r="BJ186" s="1">
        <v>45863</v>
      </c>
      <c r="BK186">
        <v>152</v>
      </c>
      <c r="BL186">
        <v>1891093</v>
      </c>
      <c r="BN186" s="1">
        <v>45894</v>
      </c>
      <c r="BO186">
        <v>152</v>
      </c>
      <c r="BP186">
        <v>1895550</v>
      </c>
      <c r="BR186" s="1">
        <v>45925</v>
      </c>
      <c r="BS186">
        <v>152</v>
      </c>
      <c r="BT186">
        <v>1900145</v>
      </c>
      <c r="BV186" s="1">
        <v>45955</v>
      </c>
      <c r="BW186">
        <v>152</v>
      </c>
      <c r="BX186">
        <v>1904722</v>
      </c>
      <c r="BZ186" s="1">
        <v>45986</v>
      </c>
      <c r="CA186">
        <v>152</v>
      </c>
      <c r="CB186">
        <v>1909452</v>
      </c>
      <c r="CD186" s="1">
        <v>46016</v>
      </c>
      <c r="CE186">
        <v>152</v>
      </c>
      <c r="CF186">
        <v>1914265</v>
      </c>
      <c r="CH186">
        <v>785014330</v>
      </c>
    </row>
    <row r="187" spans="1:86" x14ac:dyDescent="0.25">
      <c r="A187">
        <v>572025</v>
      </c>
      <c r="B187">
        <v>102</v>
      </c>
      <c r="C187">
        <v>301071</v>
      </c>
      <c r="D187">
        <v>1</v>
      </c>
      <c r="E187">
        <v>1</v>
      </c>
      <c r="F187">
        <v>390254</v>
      </c>
      <c r="G187">
        <v>390254</v>
      </c>
      <c r="H187" t="s">
        <v>90</v>
      </c>
      <c r="N187" t="s">
        <v>1067</v>
      </c>
      <c r="O187">
        <v>390254</v>
      </c>
      <c r="P187" t="s">
        <v>1068</v>
      </c>
      <c r="Q187" t="s">
        <v>93</v>
      </c>
      <c r="R187" t="s">
        <v>1069</v>
      </c>
      <c r="V187" t="s">
        <v>1070</v>
      </c>
      <c r="W187" t="s">
        <v>1058</v>
      </c>
      <c r="X187" t="s">
        <v>1071</v>
      </c>
      <c r="Y187" t="s">
        <v>99</v>
      </c>
      <c r="AA187" t="s">
        <v>1067</v>
      </c>
      <c r="AB187" t="s">
        <v>1069</v>
      </c>
      <c r="AC187" t="s">
        <v>1072</v>
      </c>
      <c r="AH187" t="s">
        <v>1073</v>
      </c>
      <c r="AI187">
        <v>456</v>
      </c>
      <c r="AK187">
        <v>0</v>
      </c>
      <c r="AL187" s="1">
        <v>45700</v>
      </c>
      <c r="AM187">
        <v>38</v>
      </c>
      <c r="AN187">
        <v>1866522</v>
      </c>
      <c r="AP187" s="1">
        <v>45744</v>
      </c>
      <c r="AQ187">
        <v>38</v>
      </c>
      <c r="AR187">
        <v>1873403</v>
      </c>
      <c r="AT187" s="1">
        <v>45770</v>
      </c>
      <c r="AU187">
        <v>38</v>
      </c>
      <c r="AV187">
        <v>1878465</v>
      </c>
      <c r="AX187" s="1">
        <v>45772</v>
      </c>
      <c r="AY187">
        <v>38</v>
      </c>
      <c r="AZ187">
        <v>1878533</v>
      </c>
      <c r="BB187" s="1">
        <v>45796</v>
      </c>
      <c r="BC187">
        <v>38</v>
      </c>
      <c r="BD187">
        <v>1882332</v>
      </c>
      <c r="BF187" s="1">
        <v>45831</v>
      </c>
      <c r="BG187">
        <v>38</v>
      </c>
      <c r="BH187">
        <v>1886282</v>
      </c>
      <c r="BJ187" s="1">
        <v>45861</v>
      </c>
      <c r="BK187">
        <v>38</v>
      </c>
      <c r="BL187">
        <v>1890977</v>
      </c>
      <c r="BN187" s="1">
        <v>45902</v>
      </c>
      <c r="BO187">
        <v>38</v>
      </c>
      <c r="BP187">
        <v>1897529</v>
      </c>
      <c r="BR187" s="1">
        <v>45930</v>
      </c>
      <c r="BS187">
        <v>38</v>
      </c>
      <c r="BT187">
        <v>1901925</v>
      </c>
      <c r="BV187" s="1">
        <v>45954</v>
      </c>
      <c r="BW187">
        <v>38</v>
      </c>
      <c r="BX187">
        <v>1906510</v>
      </c>
      <c r="BZ187" s="1">
        <v>45987</v>
      </c>
      <c r="CA187">
        <v>38</v>
      </c>
      <c r="CB187">
        <v>1911570</v>
      </c>
      <c r="CD187" s="1">
        <v>46021</v>
      </c>
      <c r="CE187">
        <v>38</v>
      </c>
      <c r="CF187">
        <v>1916588</v>
      </c>
      <c r="CH187">
        <v>750877062</v>
      </c>
    </row>
    <row r="188" spans="1:86" x14ac:dyDescent="0.25">
      <c r="A188">
        <v>572026</v>
      </c>
      <c r="B188">
        <v>102</v>
      </c>
      <c r="C188">
        <v>301072</v>
      </c>
      <c r="D188">
        <v>1</v>
      </c>
      <c r="E188">
        <v>2</v>
      </c>
      <c r="F188">
        <v>390256</v>
      </c>
      <c r="G188">
        <v>390256</v>
      </c>
      <c r="H188" t="s">
        <v>90</v>
      </c>
      <c r="N188" t="s">
        <v>1074</v>
      </c>
      <c r="O188">
        <v>390256</v>
      </c>
      <c r="P188" t="s">
        <v>92</v>
      </c>
      <c r="Q188" t="s">
        <v>93</v>
      </c>
      <c r="R188" t="s">
        <v>1069</v>
      </c>
      <c r="V188" t="s">
        <v>1070</v>
      </c>
      <c r="W188" t="s">
        <v>1058</v>
      </c>
      <c r="X188" t="s">
        <v>1071</v>
      </c>
      <c r="Y188" t="s">
        <v>99</v>
      </c>
      <c r="AA188" t="s">
        <v>1074</v>
      </c>
      <c r="AB188" t="s">
        <v>1069</v>
      </c>
      <c r="AC188" t="s">
        <v>1072</v>
      </c>
      <c r="AH188" t="s">
        <v>1075</v>
      </c>
      <c r="AI188">
        <v>608</v>
      </c>
      <c r="AK188">
        <v>0</v>
      </c>
      <c r="AL188" s="1">
        <v>45679</v>
      </c>
      <c r="AM188">
        <v>38</v>
      </c>
      <c r="AN188">
        <v>1862103</v>
      </c>
      <c r="AP188" s="1">
        <v>45700</v>
      </c>
      <c r="AQ188">
        <v>38</v>
      </c>
      <c r="AR188">
        <v>1866521</v>
      </c>
      <c r="AT188" s="1">
        <v>45721</v>
      </c>
      <c r="AU188">
        <v>38</v>
      </c>
      <c r="AV188">
        <v>1869818</v>
      </c>
      <c r="AX188" s="1">
        <v>45735</v>
      </c>
      <c r="AY188">
        <v>38</v>
      </c>
      <c r="AZ188">
        <v>1871563</v>
      </c>
      <c r="BB188" s="1">
        <v>45744</v>
      </c>
      <c r="BC188">
        <v>38</v>
      </c>
      <c r="BD188">
        <v>1873404</v>
      </c>
      <c r="BF188" s="1">
        <v>45758</v>
      </c>
      <c r="BG188">
        <v>38</v>
      </c>
      <c r="BH188">
        <v>1875567</v>
      </c>
      <c r="BJ188" s="1">
        <v>45770</v>
      </c>
      <c r="BK188">
        <v>38</v>
      </c>
      <c r="BL188">
        <v>1878464</v>
      </c>
      <c r="BN188" s="1">
        <v>45772</v>
      </c>
      <c r="BO188">
        <v>38</v>
      </c>
      <c r="BP188">
        <v>1878532</v>
      </c>
      <c r="BR188" s="1">
        <v>45796</v>
      </c>
      <c r="BS188">
        <v>38</v>
      </c>
      <c r="BT188">
        <v>1882333</v>
      </c>
      <c r="BV188" s="1">
        <v>45831</v>
      </c>
      <c r="BW188">
        <v>38</v>
      </c>
      <c r="BX188">
        <v>1886283</v>
      </c>
      <c r="BZ188" s="1">
        <v>45861</v>
      </c>
      <c r="CA188">
        <v>38</v>
      </c>
      <c r="CB188">
        <v>1890978</v>
      </c>
      <c r="CD188" s="1">
        <v>45902</v>
      </c>
      <c r="CE188">
        <v>38</v>
      </c>
      <c r="CF188">
        <v>1897530</v>
      </c>
      <c r="CH188">
        <v>750877062</v>
      </c>
    </row>
    <row r="189" spans="1:86" x14ac:dyDescent="0.25">
      <c r="A189">
        <v>572027</v>
      </c>
      <c r="B189">
        <v>102</v>
      </c>
      <c r="C189">
        <v>301072</v>
      </c>
      <c r="D189">
        <v>2</v>
      </c>
      <c r="E189">
        <v>2</v>
      </c>
      <c r="F189">
        <v>390256</v>
      </c>
      <c r="G189">
        <v>390256</v>
      </c>
      <c r="H189" t="s">
        <v>90</v>
      </c>
      <c r="N189" t="s">
        <v>1074</v>
      </c>
      <c r="O189">
        <v>390256</v>
      </c>
      <c r="P189" t="s">
        <v>92</v>
      </c>
      <c r="Q189" t="s">
        <v>93</v>
      </c>
      <c r="R189" t="s">
        <v>1069</v>
      </c>
      <c r="V189" t="s">
        <v>1070</v>
      </c>
      <c r="W189" t="s">
        <v>1058</v>
      </c>
      <c r="X189" t="s">
        <v>1071</v>
      </c>
      <c r="Y189" t="s">
        <v>99</v>
      </c>
      <c r="AA189" t="s">
        <v>1074</v>
      </c>
      <c r="AB189" t="s">
        <v>1069</v>
      </c>
      <c r="AC189" t="s">
        <v>1072</v>
      </c>
      <c r="AH189" t="s">
        <v>1075</v>
      </c>
      <c r="AI189">
        <v>608</v>
      </c>
      <c r="AK189">
        <v>0</v>
      </c>
      <c r="AL189" s="1">
        <v>45930</v>
      </c>
      <c r="AM189">
        <v>38</v>
      </c>
      <c r="AN189">
        <v>1901924</v>
      </c>
      <c r="AP189" s="1">
        <v>45954</v>
      </c>
      <c r="AQ189">
        <v>38</v>
      </c>
      <c r="AR189">
        <v>1906509</v>
      </c>
      <c r="AT189" s="1">
        <v>45987</v>
      </c>
      <c r="AU189">
        <v>38</v>
      </c>
      <c r="AV189">
        <v>1911569</v>
      </c>
      <c r="AX189" s="1">
        <v>46021</v>
      </c>
      <c r="AY189">
        <v>38</v>
      </c>
      <c r="AZ189">
        <v>1916587</v>
      </c>
      <c r="CH189">
        <v>750877062</v>
      </c>
    </row>
    <row r="190" spans="1:86" x14ac:dyDescent="0.25">
      <c r="A190">
        <v>572028</v>
      </c>
      <c r="B190">
        <v>102</v>
      </c>
      <c r="C190">
        <v>301073</v>
      </c>
      <c r="D190">
        <v>1</v>
      </c>
      <c r="E190">
        <v>1</v>
      </c>
      <c r="F190">
        <v>420014</v>
      </c>
      <c r="G190">
        <v>420014</v>
      </c>
      <c r="H190" t="s">
        <v>90</v>
      </c>
      <c r="N190" t="s">
        <v>1076</v>
      </c>
      <c r="O190">
        <v>4004392</v>
      </c>
      <c r="P190" t="s">
        <v>92</v>
      </c>
      <c r="Q190" t="s">
        <v>93</v>
      </c>
      <c r="R190" t="s">
        <v>1077</v>
      </c>
      <c r="S190" t="s">
        <v>1078</v>
      </c>
      <c r="V190" t="s">
        <v>1079</v>
      </c>
      <c r="W190" t="s">
        <v>153</v>
      </c>
      <c r="X190">
        <v>62806</v>
      </c>
      <c r="Y190" t="s">
        <v>99</v>
      </c>
      <c r="AA190" t="s">
        <v>1076</v>
      </c>
      <c r="AB190" t="s">
        <v>1077</v>
      </c>
      <c r="AC190" t="s">
        <v>1078</v>
      </c>
      <c r="AD190" t="s">
        <v>1080</v>
      </c>
      <c r="AH190" t="s">
        <v>1081</v>
      </c>
      <c r="AI190">
        <v>912</v>
      </c>
      <c r="AK190">
        <v>0</v>
      </c>
      <c r="AL190" s="1">
        <v>45685</v>
      </c>
      <c r="AM190">
        <v>76</v>
      </c>
      <c r="AN190">
        <v>1862954</v>
      </c>
      <c r="AP190" s="1">
        <v>45716</v>
      </c>
      <c r="AQ190">
        <v>76</v>
      </c>
      <c r="AR190">
        <v>1867740</v>
      </c>
      <c r="AT190" s="1">
        <v>45744</v>
      </c>
      <c r="AU190">
        <v>76</v>
      </c>
      <c r="AV190">
        <v>1872281</v>
      </c>
      <c r="AX190" s="1">
        <v>45775</v>
      </c>
      <c r="AY190">
        <v>76</v>
      </c>
      <c r="AZ190">
        <v>1877454</v>
      </c>
      <c r="BB190" s="1">
        <v>45805</v>
      </c>
      <c r="BC190">
        <v>76</v>
      </c>
      <c r="BD190">
        <v>1882145</v>
      </c>
      <c r="BF190" s="1">
        <v>45836</v>
      </c>
      <c r="BG190">
        <v>76</v>
      </c>
      <c r="BH190">
        <v>1886872</v>
      </c>
      <c r="BJ190" s="1">
        <v>45866</v>
      </c>
      <c r="BK190">
        <v>76</v>
      </c>
      <c r="BL190">
        <v>1891598</v>
      </c>
      <c r="BN190" s="1">
        <v>45897</v>
      </c>
      <c r="BO190">
        <v>76</v>
      </c>
      <c r="BP190">
        <v>1896094</v>
      </c>
      <c r="BR190" s="1">
        <v>45928</v>
      </c>
      <c r="BS190">
        <v>76</v>
      </c>
      <c r="BT190">
        <v>1900828</v>
      </c>
      <c r="BV190" s="1">
        <v>45958</v>
      </c>
      <c r="BW190">
        <v>76</v>
      </c>
      <c r="BX190">
        <v>1905433</v>
      </c>
      <c r="BZ190" s="1">
        <v>45989</v>
      </c>
      <c r="CA190">
        <v>76</v>
      </c>
      <c r="CB190">
        <v>1909950</v>
      </c>
      <c r="CD190" s="1">
        <v>46019</v>
      </c>
      <c r="CE190">
        <v>76</v>
      </c>
      <c r="CF190">
        <v>1914772</v>
      </c>
      <c r="CH190">
        <v>62806</v>
      </c>
    </row>
    <row r="191" spans="1:86" x14ac:dyDescent="0.25">
      <c r="A191">
        <v>572029</v>
      </c>
      <c r="B191">
        <v>102</v>
      </c>
      <c r="C191">
        <v>301074</v>
      </c>
      <c r="D191">
        <v>1</v>
      </c>
      <c r="E191">
        <v>1</v>
      </c>
      <c r="F191">
        <v>420023</v>
      </c>
      <c r="G191">
        <v>420023</v>
      </c>
      <c r="H191" t="s">
        <v>90</v>
      </c>
      <c r="N191" t="s">
        <v>1082</v>
      </c>
      <c r="O191">
        <v>4004393</v>
      </c>
      <c r="P191" t="s">
        <v>92</v>
      </c>
      <c r="Q191" t="s">
        <v>93</v>
      </c>
      <c r="R191" t="s">
        <v>1083</v>
      </c>
      <c r="S191" t="s">
        <v>1084</v>
      </c>
      <c r="V191" t="s">
        <v>1085</v>
      </c>
      <c r="W191" t="s">
        <v>1086</v>
      </c>
      <c r="X191" t="s">
        <v>1087</v>
      </c>
      <c r="Y191" t="s">
        <v>99</v>
      </c>
      <c r="AA191" t="s">
        <v>1082</v>
      </c>
      <c r="AB191" t="s">
        <v>1083</v>
      </c>
      <c r="AC191" t="s">
        <v>1084</v>
      </c>
      <c r="AD191" t="s">
        <v>1088</v>
      </c>
      <c r="AH191" t="s">
        <v>1089</v>
      </c>
      <c r="AI191">
        <v>470</v>
      </c>
      <c r="AK191">
        <v>0</v>
      </c>
      <c r="AL191" s="1">
        <v>45769</v>
      </c>
      <c r="AM191">
        <v>470</v>
      </c>
      <c r="AN191">
        <v>1876209</v>
      </c>
      <c r="CH191">
        <v>460111903</v>
      </c>
    </row>
    <row r="192" spans="1:86" x14ac:dyDescent="0.25">
      <c r="A192">
        <v>572030</v>
      </c>
      <c r="B192">
        <v>102</v>
      </c>
      <c r="C192">
        <v>301075</v>
      </c>
      <c r="D192">
        <v>1</v>
      </c>
      <c r="E192">
        <v>1</v>
      </c>
      <c r="F192">
        <v>420044</v>
      </c>
      <c r="G192">
        <v>420044</v>
      </c>
      <c r="H192" t="s">
        <v>90</v>
      </c>
      <c r="N192" t="s">
        <v>1090</v>
      </c>
      <c r="O192">
        <v>4010952</v>
      </c>
      <c r="P192" t="s">
        <v>92</v>
      </c>
      <c r="Q192" t="s">
        <v>93</v>
      </c>
      <c r="R192" t="s">
        <v>1091</v>
      </c>
      <c r="S192" t="s">
        <v>1092</v>
      </c>
      <c r="V192" t="s">
        <v>1093</v>
      </c>
      <c r="W192" t="s">
        <v>1086</v>
      </c>
      <c r="X192" t="s">
        <v>1094</v>
      </c>
      <c r="Y192" t="s">
        <v>99</v>
      </c>
      <c r="AA192" t="s">
        <v>1090</v>
      </c>
      <c r="AB192" t="s">
        <v>1091</v>
      </c>
      <c r="AC192" t="s">
        <v>1095</v>
      </c>
      <c r="AI192">
        <v>456</v>
      </c>
      <c r="AK192">
        <v>0</v>
      </c>
      <c r="AL192" s="1">
        <v>45689</v>
      </c>
      <c r="AM192">
        <v>456</v>
      </c>
      <c r="AN192">
        <v>1863298</v>
      </c>
      <c r="CH192">
        <v>479181137</v>
      </c>
    </row>
    <row r="193" spans="1:86" x14ac:dyDescent="0.25">
      <c r="A193">
        <v>572031</v>
      </c>
      <c r="B193">
        <v>102</v>
      </c>
      <c r="C193">
        <v>301076</v>
      </c>
      <c r="D193">
        <v>1</v>
      </c>
      <c r="E193">
        <v>1</v>
      </c>
      <c r="F193">
        <v>420050</v>
      </c>
      <c r="G193">
        <v>420050</v>
      </c>
      <c r="H193" t="s">
        <v>90</v>
      </c>
      <c r="N193" t="s">
        <v>1096</v>
      </c>
      <c r="O193">
        <v>420050</v>
      </c>
      <c r="P193" t="s">
        <v>92</v>
      </c>
      <c r="Q193" t="s">
        <v>93</v>
      </c>
      <c r="R193" t="s">
        <v>1097</v>
      </c>
      <c r="V193" t="s">
        <v>1098</v>
      </c>
      <c r="W193" t="s">
        <v>1086</v>
      </c>
      <c r="X193" t="s">
        <v>1099</v>
      </c>
      <c r="Y193" t="s">
        <v>99</v>
      </c>
      <c r="AA193" t="s">
        <v>1096</v>
      </c>
      <c r="AB193" t="s">
        <v>1097</v>
      </c>
      <c r="AC193" t="s">
        <v>1100</v>
      </c>
      <c r="AI193">
        <v>443</v>
      </c>
      <c r="AK193">
        <v>0</v>
      </c>
      <c r="AL193" s="1">
        <v>46003</v>
      </c>
      <c r="AM193">
        <v>443</v>
      </c>
      <c r="AN193">
        <v>1913605</v>
      </c>
      <c r="CH193">
        <v>474212034</v>
      </c>
    </row>
    <row r="194" spans="1:86" x14ac:dyDescent="0.25">
      <c r="A194">
        <v>572032</v>
      </c>
      <c r="B194">
        <v>102</v>
      </c>
      <c r="C194">
        <v>301077</v>
      </c>
      <c r="D194">
        <v>1</v>
      </c>
      <c r="E194">
        <v>1</v>
      </c>
      <c r="F194">
        <v>420051</v>
      </c>
      <c r="G194">
        <v>420051</v>
      </c>
      <c r="H194" t="s">
        <v>90</v>
      </c>
      <c r="N194" t="s">
        <v>1101</v>
      </c>
      <c r="O194">
        <v>4004396</v>
      </c>
      <c r="P194" t="s">
        <v>92</v>
      </c>
      <c r="Q194" t="s">
        <v>93</v>
      </c>
      <c r="R194" t="s">
        <v>1102</v>
      </c>
      <c r="S194" t="s">
        <v>1103</v>
      </c>
      <c r="V194" t="s">
        <v>1104</v>
      </c>
      <c r="W194" t="s">
        <v>1086</v>
      </c>
      <c r="X194" t="s">
        <v>1105</v>
      </c>
      <c r="Y194" t="s">
        <v>99</v>
      </c>
      <c r="AA194" t="s">
        <v>1101</v>
      </c>
      <c r="AB194" t="s">
        <v>1102</v>
      </c>
      <c r="AC194" t="s">
        <v>1103</v>
      </c>
      <c r="AD194" t="s">
        <v>1106</v>
      </c>
      <c r="AI194">
        <v>456</v>
      </c>
      <c r="AK194">
        <v>0</v>
      </c>
      <c r="AL194" s="1">
        <v>45951</v>
      </c>
      <c r="AM194">
        <v>456</v>
      </c>
      <c r="AN194">
        <v>1905233</v>
      </c>
      <c r="CH194">
        <v>474625371</v>
      </c>
    </row>
    <row r="195" spans="1:86" x14ac:dyDescent="0.25">
      <c r="A195">
        <v>572033</v>
      </c>
      <c r="B195">
        <v>102</v>
      </c>
      <c r="C195">
        <v>301078</v>
      </c>
      <c r="D195">
        <v>1</v>
      </c>
      <c r="E195">
        <v>2</v>
      </c>
      <c r="F195">
        <v>420052</v>
      </c>
      <c r="G195">
        <v>420052</v>
      </c>
      <c r="H195" t="s">
        <v>90</v>
      </c>
      <c r="N195" t="s">
        <v>1107</v>
      </c>
      <c r="O195">
        <v>4004397</v>
      </c>
      <c r="P195" t="s">
        <v>92</v>
      </c>
      <c r="Q195" t="s">
        <v>93</v>
      </c>
      <c r="R195" t="s">
        <v>1108</v>
      </c>
      <c r="S195" t="s">
        <v>1109</v>
      </c>
      <c r="V195" t="s">
        <v>1098</v>
      </c>
      <c r="W195" t="s">
        <v>1086</v>
      </c>
      <c r="X195" t="s">
        <v>1110</v>
      </c>
      <c r="Y195" t="s">
        <v>99</v>
      </c>
      <c r="AA195" t="s">
        <v>1107</v>
      </c>
      <c r="AB195" t="s">
        <v>1108</v>
      </c>
      <c r="AC195" t="s">
        <v>1109</v>
      </c>
      <c r="AD195" t="s">
        <v>1111</v>
      </c>
      <c r="AI195">
        <v>3953</v>
      </c>
      <c r="AK195">
        <v>0</v>
      </c>
      <c r="AL195" s="1">
        <v>45691</v>
      </c>
      <c r="AM195">
        <v>6</v>
      </c>
      <c r="AN195">
        <v>1864264</v>
      </c>
      <c r="AP195" s="1">
        <v>45691</v>
      </c>
      <c r="AQ195">
        <v>336</v>
      </c>
      <c r="AR195">
        <v>1864265</v>
      </c>
      <c r="AT195" s="1">
        <v>45735</v>
      </c>
      <c r="AU195">
        <v>342</v>
      </c>
      <c r="AV195">
        <v>1871552</v>
      </c>
      <c r="AX195" s="1">
        <v>45749</v>
      </c>
      <c r="AY195">
        <v>21</v>
      </c>
      <c r="AZ195">
        <v>1873751</v>
      </c>
      <c r="BB195" s="1">
        <v>45749</v>
      </c>
      <c r="BC195">
        <v>245</v>
      </c>
      <c r="BD195">
        <v>1873752</v>
      </c>
      <c r="BF195" s="1">
        <v>45775</v>
      </c>
      <c r="BG195">
        <v>35</v>
      </c>
      <c r="BH195">
        <v>1878615</v>
      </c>
      <c r="BJ195" s="1">
        <v>45775</v>
      </c>
      <c r="BK195">
        <v>405</v>
      </c>
      <c r="BL195">
        <v>1878617</v>
      </c>
      <c r="BN195" s="1">
        <v>45835</v>
      </c>
      <c r="BO195">
        <v>799</v>
      </c>
      <c r="BP195">
        <v>1888372</v>
      </c>
      <c r="BR195" s="1">
        <v>45869</v>
      </c>
      <c r="BS195">
        <v>15</v>
      </c>
      <c r="BT195">
        <v>1893034</v>
      </c>
      <c r="BV195" s="1">
        <v>45869</v>
      </c>
      <c r="BW195">
        <v>327</v>
      </c>
      <c r="BX195">
        <v>1893035</v>
      </c>
      <c r="BZ195" s="1">
        <v>45902</v>
      </c>
      <c r="CA195">
        <v>382</v>
      </c>
      <c r="CB195">
        <v>1897534</v>
      </c>
      <c r="CD195" s="1">
        <v>45940</v>
      </c>
      <c r="CE195">
        <v>25</v>
      </c>
      <c r="CF195">
        <v>1904330</v>
      </c>
      <c r="CH195">
        <v>474219675</v>
      </c>
    </row>
    <row r="196" spans="1:86" x14ac:dyDescent="0.25">
      <c r="A196">
        <v>572034</v>
      </c>
      <c r="B196">
        <v>102</v>
      </c>
      <c r="C196">
        <v>301078</v>
      </c>
      <c r="D196">
        <v>2</v>
      </c>
      <c r="E196">
        <v>2</v>
      </c>
      <c r="F196">
        <v>420052</v>
      </c>
      <c r="G196">
        <v>420052</v>
      </c>
      <c r="H196" t="s">
        <v>90</v>
      </c>
      <c r="N196" t="s">
        <v>1107</v>
      </c>
      <c r="O196">
        <v>4004397</v>
      </c>
      <c r="P196" t="s">
        <v>92</v>
      </c>
      <c r="Q196" t="s">
        <v>93</v>
      </c>
      <c r="R196" t="s">
        <v>1108</v>
      </c>
      <c r="S196" t="s">
        <v>1109</v>
      </c>
      <c r="V196" t="s">
        <v>1098</v>
      </c>
      <c r="W196" t="s">
        <v>1086</v>
      </c>
      <c r="X196" t="s">
        <v>1110</v>
      </c>
      <c r="Y196" t="s">
        <v>99</v>
      </c>
      <c r="AA196" t="s">
        <v>1107</v>
      </c>
      <c r="AB196" t="s">
        <v>1108</v>
      </c>
      <c r="AC196" t="s">
        <v>1109</v>
      </c>
      <c r="AD196" t="s">
        <v>1111</v>
      </c>
      <c r="AI196">
        <v>3953</v>
      </c>
      <c r="AK196">
        <v>0</v>
      </c>
      <c r="AL196" s="1">
        <v>45940</v>
      </c>
      <c r="AM196">
        <v>407</v>
      </c>
      <c r="AN196">
        <v>1904331</v>
      </c>
      <c r="AP196" s="1">
        <v>45968</v>
      </c>
      <c r="AQ196">
        <v>222</v>
      </c>
      <c r="AR196">
        <v>1908428</v>
      </c>
      <c r="AT196" s="1">
        <v>45996</v>
      </c>
      <c r="AU196">
        <v>180</v>
      </c>
      <c r="AV196">
        <v>1911609</v>
      </c>
      <c r="AX196" s="1">
        <v>46021</v>
      </c>
      <c r="AY196">
        <v>206</v>
      </c>
      <c r="AZ196">
        <v>1916584</v>
      </c>
      <c r="CH196">
        <v>474219675</v>
      </c>
    </row>
    <row r="197" spans="1:86" x14ac:dyDescent="0.25">
      <c r="A197">
        <v>572035</v>
      </c>
      <c r="B197">
        <v>102</v>
      </c>
      <c r="C197">
        <v>301079</v>
      </c>
      <c r="D197">
        <v>1</v>
      </c>
      <c r="E197">
        <v>1</v>
      </c>
      <c r="F197">
        <v>420054</v>
      </c>
      <c r="G197">
        <v>420054</v>
      </c>
      <c r="H197" t="s">
        <v>90</v>
      </c>
      <c r="N197" t="s">
        <v>1112</v>
      </c>
      <c r="O197">
        <v>4004398</v>
      </c>
      <c r="P197" t="s">
        <v>92</v>
      </c>
      <c r="Q197" t="s">
        <v>93</v>
      </c>
      <c r="R197" t="s">
        <v>1113</v>
      </c>
      <c r="S197" t="s">
        <v>1114</v>
      </c>
      <c r="V197" t="s">
        <v>1098</v>
      </c>
      <c r="W197" t="s">
        <v>1086</v>
      </c>
      <c r="X197" t="s">
        <v>1115</v>
      </c>
      <c r="Y197" t="s">
        <v>99</v>
      </c>
      <c r="AA197" t="s">
        <v>1112</v>
      </c>
      <c r="AB197" t="s">
        <v>1113</v>
      </c>
      <c r="AC197" t="s">
        <v>1114</v>
      </c>
      <c r="AD197" t="s">
        <v>1116</v>
      </c>
      <c r="AI197">
        <v>912</v>
      </c>
      <c r="AK197">
        <v>0</v>
      </c>
      <c r="AL197" s="1">
        <v>45764</v>
      </c>
      <c r="AM197">
        <v>456</v>
      </c>
      <c r="AN197">
        <v>1876336</v>
      </c>
      <c r="AP197" s="1">
        <v>45954</v>
      </c>
      <c r="AQ197">
        <v>456</v>
      </c>
      <c r="AR197">
        <v>1906521</v>
      </c>
      <c r="CH197">
        <v>474219225</v>
      </c>
    </row>
    <row r="198" spans="1:86" x14ac:dyDescent="0.25">
      <c r="A198">
        <v>572036</v>
      </c>
      <c r="B198">
        <v>102</v>
      </c>
      <c r="C198">
        <v>301080</v>
      </c>
      <c r="D198">
        <v>1</v>
      </c>
      <c r="E198">
        <v>1</v>
      </c>
      <c r="F198">
        <v>420079</v>
      </c>
      <c r="G198">
        <v>420079</v>
      </c>
      <c r="H198" t="s">
        <v>90</v>
      </c>
      <c r="N198" t="s">
        <v>1117</v>
      </c>
      <c r="O198">
        <v>4004400</v>
      </c>
      <c r="P198" t="s">
        <v>92</v>
      </c>
      <c r="Q198" t="s">
        <v>93</v>
      </c>
      <c r="R198" t="s">
        <v>1118</v>
      </c>
      <c r="S198" t="s">
        <v>1119</v>
      </c>
      <c r="V198" t="s">
        <v>1120</v>
      </c>
      <c r="W198" t="s">
        <v>1086</v>
      </c>
      <c r="X198" t="s">
        <v>1121</v>
      </c>
      <c r="Y198" t="s">
        <v>99</v>
      </c>
      <c r="AA198" t="s">
        <v>1117</v>
      </c>
      <c r="AB198" t="s">
        <v>1118</v>
      </c>
      <c r="AC198" t="s">
        <v>1119</v>
      </c>
      <c r="AD198" t="s">
        <v>1122</v>
      </c>
      <c r="AH198" t="s">
        <v>1123</v>
      </c>
      <c r="AI198">
        <v>648</v>
      </c>
      <c r="AK198">
        <v>0</v>
      </c>
      <c r="AL198" s="1">
        <v>45670</v>
      </c>
      <c r="AM198">
        <v>552</v>
      </c>
      <c r="AN198">
        <v>1861533</v>
      </c>
      <c r="AP198" s="1">
        <v>45923</v>
      </c>
      <c r="AQ198">
        <v>96</v>
      </c>
      <c r="AR198">
        <v>1900449</v>
      </c>
      <c r="CH198">
        <v>474015847</v>
      </c>
    </row>
    <row r="199" spans="1:86" x14ac:dyDescent="0.25">
      <c r="A199">
        <v>572037</v>
      </c>
      <c r="B199">
        <v>102</v>
      </c>
      <c r="C199">
        <v>301081</v>
      </c>
      <c r="D199">
        <v>1</v>
      </c>
      <c r="E199">
        <v>1</v>
      </c>
      <c r="F199">
        <v>420088</v>
      </c>
      <c r="G199">
        <v>420088</v>
      </c>
      <c r="H199" t="s">
        <v>90</v>
      </c>
      <c r="N199" t="s">
        <v>1124</v>
      </c>
      <c r="O199">
        <v>4004401</v>
      </c>
      <c r="P199" t="s">
        <v>92</v>
      </c>
      <c r="Q199" t="s">
        <v>93</v>
      </c>
      <c r="R199" t="s">
        <v>1125</v>
      </c>
      <c r="S199" t="s">
        <v>1126</v>
      </c>
      <c r="V199" t="s">
        <v>1127</v>
      </c>
      <c r="W199" t="s">
        <v>1086</v>
      </c>
      <c r="X199" t="s">
        <v>1128</v>
      </c>
      <c r="Y199" t="s">
        <v>99</v>
      </c>
      <c r="AA199" t="s">
        <v>1124</v>
      </c>
      <c r="AB199" t="s">
        <v>1125</v>
      </c>
      <c r="AC199" t="s">
        <v>1126</v>
      </c>
      <c r="AD199" t="s">
        <v>1129</v>
      </c>
      <c r="AI199">
        <v>988</v>
      </c>
      <c r="AK199">
        <v>0</v>
      </c>
      <c r="AL199" s="1">
        <v>45793</v>
      </c>
      <c r="AM199">
        <v>456</v>
      </c>
      <c r="AN199">
        <v>1881314</v>
      </c>
      <c r="AP199" s="1">
        <v>45975</v>
      </c>
      <c r="AQ199">
        <v>532</v>
      </c>
      <c r="AR199">
        <v>1909271</v>
      </c>
      <c r="CH199">
        <v>479210367</v>
      </c>
    </row>
    <row r="200" spans="1:86" x14ac:dyDescent="0.25">
      <c r="A200">
        <v>572038</v>
      </c>
      <c r="B200">
        <v>102</v>
      </c>
      <c r="C200">
        <v>301082</v>
      </c>
      <c r="D200">
        <v>1</v>
      </c>
      <c r="E200">
        <v>2</v>
      </c>
      <c r="F200">
        <v>420106</v>
      </c>
      <c r="G200">
        <v>420106</v>
      </c>
      <c r="H200" t="s">
        <v>90</v>
      </c>
      <c r="N200" t="s">
        <v>1130</v>
      </c>
      <c r="O200">
        <v>4004404</v>
      </c>
      <c r="P200" t="s">
        <v>92</v>
      </c>
      <c r="Q200" t="s">
        <v>93</v>
      </c>
      <c r="R200" t="s">
        <v>1131</v>
      </c>
      <c r="S200" t="s">
        <v>1132</v>
      </c>
      <c r="V200" t="s">
        <v>1133</v>
      </c>
      <c r="W200" t="s">
        <v>153</v>
      </c>
      <c r="X200" t="s">
        <v>1134</v>
      </c>
      <c r="Y200" t="s">
        <v>99</v>
      </c>
      <c r="AA200" t="s">
        <v>1130</v>
      </c>
      <c r="AB200" t="s">
        <v>1131</v>
      </c>
      <c r="AC200" t="s">
        <v>1132</v>
      </c>
      <c r="AD200" t="s">
        <v>1135</v>
      </c>
      <c r="AI200">
        <v>1012</v>
      </c>
      <c r="AK200">
        <v>0</v>
      </c>
      <c r="AL200" s="1">
        <v>45665</v>
      </c>
      <c r="AM200">
        <v>76</v>
      </c>
      <c r="AN200">
        <v>1859215</v>
      </c>
      <c r="AP200" s="1">
        <v>45696</v>
      </c>
      <c r="AQ200">
        <v>76</v>
      </c>
      <c r="AR200">
        <v>1864626</v>
      </c>
      <c r="AT200" s="1">
        <v>45724</v>
      </c>
      <c r="AU200">
        <v>76</v>
      </c>
      <c r="AV200">
        <v>1869300</v>
      </c>
      <c r="AX200" s="1">
        <v>45755</v>
      </c>
      <c r="AY200">
        <v>76</v>
      </c>
      <c r="AZ200">
        <v>1874163</v>
      </c>
      <c r="BB200" s="1">
        <v>45785</v>
      </c>
      <c r="BC200">
        <v>76</v>
      </c>
      <c r="BD200">
        <v>1879335</v>
      </c>
      <c r="BF200" s="1">
        <v>45816</v>
      </c>
      <c r="BG200">
        <v>76</v>
      </c>
      <c r="BH200">
        <v>1883998</v>
      </c>
      <c r="BJ200" s="1">
        <v>45846</v>
      </c>
      <c r="BK200">
        <v>76</v>
      </c>
      <c r="BL200">
        <v>1888521</v>
      </c>
      <c r="BN200" s="1">
        <v>45877</v>
      </c>
      <c r="BO200">
        <v>76</v>
      </c>
      <c r="BP200">
        <v>1893424</v>
      </c>
      <c r="BR200" s="1">
        <v>45908</v>
      </c>
      <c r="BS200">
        <v>76</v>
      </c>
      <c r="BT200">
        <v>1897879</v>
      </c>
      <c r="BV200" s="1">
        <v>45938</v>
      </c>
      <c r="BW200">
        <v>76</v>
      </c>
      <c r="BX200">
        <v>1902548</v>
      </c>
      <c r="BZ200" s="1">
        <v>45969</v>
      </c>
      <c r="CA200">
        <v>76</v>
      </c>
      <c r="CB200">
        <v>1907278</v>
      </c>
      <c r="CD200" s="1">
        <v>45999</v>
      </c>
      <c r="CE200">
        <v>76</v>
      </c>
      <c r="CF200">
        <v>1911743</v>
      </c>
      <c r="CH200">
        <v>624664734</v>
      </c>
    </row>
    <row r="201" spans="1:86" x14ac:dyDescent="0.25">
      <c r="A201">
        <v>572039</v>
      </c>
      <c r="B201">
        <v>102</v>
      </c>
      <c r="C201">
        <v>301082</v>
      </c>
      <c r="D201">
        <v>2</v>
      </c>
      <c r="E201">
        <v>2</v>
      </c>
      <c r="F201">
        <v>420106</v>
      </c>
      <c r="G201">
        <v>420106</v>
      </c>
      <c r="H201" t="s">
        <v>90</v>
      </c>
      <c r="N201" t="s">
        <v>1130</v>
      </c>
      <c r="O201">
        <v>4004404</v>
      </c>
      <c r="P201" t="s">
        <v>92</v>
      </c>
      <c r="Q201" t="s">
        <v>93</v>
      </c>
      <c r="R201" t="s">
        <v>1131</v>
      </c>
      <c r="S201" t="s">
        <v>1132</v>
      </c>
      <c r="V201" t="s">
        <v>1133</v>
      </c>
      <c r="W201" t="s">
        <v>153</v>
      </c>
      <c r="X201" t="s">
        <v>1134</v>
      </c>
      <c r="Y201" t="s">
        <v>99</v>
      </c>
      <c r="AA201" t="s">
        <v>1130</v>
      </c>
      <c r="AB201" t="s">
        <v>1131</v>
      </c>
      <c r="AC201" t="s">
        <v>1132</v>
      </c>
      <c r="AD201" t="s">
        <v>1135</v>
      </c>
      <c r="AI201">
        <v>1012</v>
      </c>
      <c r="AK201">
        <v>0</v>
      </c>
      <c r="AL201" s="1">
        <v>46014</v>
      </c>
      <c r="AM201">
        <v>100</v>
      </c>
      <c r="AN201">
        <v>1914147</v>
      </c>
      <c r="CH201">
        <v>624664734</v>
      </c>
    </row>
    <row r="202" spans="1:86" x14ac:dyDescent="0.25">
      <c r="A202">
        <v>572040</v>
      </c>
      <c r="B202">
        <v>102</v>
      </c>
      <c r="C202">
        <v>301083</v>
      </c>
      <c r="D202">
        <v>1</v>
      </c>
      <c r="E202">
        <v>1</v>
      </c>
      <c r="F202">
        <v>420134</v>
      </c>
      <c r="G202">
        <v>420134</v>
      </c>
      <c r="H202" t="s">
        <v>90</v>
      </c>
      <c r="N202" t="s">
        <v>1136</v>
      </c>
      <c r="O202">
        <v>4007355</v>
      </c>
      <c r="P202" t="s">
        <v>92</v>
      </c>
      <c r="Q202" t="s">
        <v>93</v>
      </c>
      <c r="R202" t="s">
        <v>1137</v>
      </c>
      <c r="S202" t="s">
        <v>1138</v>
      </c>
      <c r="V202" t="s">
        <v>1139</v>
      </c>
      <c r="W202" t="s">
        <v>1086</v>
      </c>
      <c r="X202" t="s">
        <v>1140</v>
      </c>
      <c r="Y202" t="s">
        <v>99</v>
      </c>
      <c r="AA202" t="s">
        <v>1136</v>
      </c>
      <c r="AB202" t="s">
        <v>1137</v>
      </c>
      <c r="AC202" t="s">
        <v>1138</v>
      </c>
      <c r="AD202" t="s">
        <v>1141</v>
      </c>
      <c r="AH202" t="s">
        <v>1142</v>
      </c>
      <c r="AI202">
        <v>456</v>
      </c>
      <c r="AK202">
        <v>0</v>
      </c>
      <c r="AL202" s="1">
        <v>45736</v>
      </c>
      <c r="AM202">
        <v>114</v>
      </c>
      <c r="AN202">
        <v>1871264</v>
      </c>
      <c r="AP202" s="1">
        <v>45828</v>
      </c>
      <c r="AQ202">
        <v>114</v>
      </c>
      <c r="AR202">
        <v>1885785</v>
      </c>
      <c r="AT202" s="1">
        <v>45920</v>
      </c>
      <c r="AU202">
        <v>114</v>
      </c>
      <c r="AV202">
        <v>1899813</v>
      </c>
      <c r="AX202" s="1">
        <v>46011</v>
      </c>
      <c r="AY202">
        <v>114</v>
      </c>
      <c r="AZ202">
        <v>1913854</v>
      </c>
      <c r="CH202">
        <v>472032584</v>
      </c>
    </row>
    <row r="203" spans="1:86" x14ac:dyDescent="0.25">
      <c r="A203">
        <v>572041</v>
      </c>
      <c r="B203">
        <v>102</v>
      </c>
      <c r="C203">
        <v>301084</v>
      </c>
      <c r="D203">
        <v>1</v>
      </c>
      <c r="E203">
        <v>1</v>
      </c>
      <c r="F203">
        <v>420146</v>
      </c>
      <c r="G203">
        <v>420146</v>
      </c>
      <c r="H203" t="s">
        <v>90</v>
      </c>
      <c r="N203" t="s">
        <v>1143</v>
      </c>
      <c r="O203">
        <v>4004407</v>
      </c>
      <c r="P203" t="s">
        <v>92</v>
      </c>
      <c r="Q203" t="s">
        <v>93</v>
      </c>
      <c r="R203" t="s">
        <v>1144</v>
      </c>
      <c r="S203" t="s">
        <v>1145</v>
      </c>
      <c r="V203" t="s">
        <v>1146</v>
      </c>
      <c r="W203" t="s">
        <v>153</v>
      </c>
      <c r="X203">
        <v>62863</v>
      </c>
      <c r="Y203" t="s">
        <v>99</v>
      </c>
      <c r="AA203" t="s">
        <v>1143</v>
      </c>
      <c r="AB203" t="s">
        <v>1144</v>
      </c>
      <c r="AC203" t="s">
        <v>1145</v>
      </c>
      <c r="AD203" t="s">
        <v>1147</v>
      </c>
      <c r="AH203" t="s">
        <v>1148</v>
      </c>
      <c r="AI203">
        <v>456</v>
      </c>
      <c r="AK203">
        <v>0</v>
      </c>
      <c r="AL203" s="1">
        <v>45662</v>
      </c>
      <c r="AM203">
        <v>38</v>
      </c>
      <c r="AN203">
        <v>1858891</v>
      </c>
      <c r="AP203" s="1">
        <v>45693</v>
      </c>
      <c r="AQ203">
        <v>38</v>
      </c>
      <c r="AR203">
        <v>1864332</v>
      </c>
      <c r="AT203" s="1">
        <v>45721</v>
      </c>
      <c r="AU203">
        <v>38</v>
      </c>
      <c r="AV203">
        <v>1868854</v>
      </c>
      <c r="AX203" s="1">
        <v>45752</v>
      </c>
      <c r="AY203">
        <v>38</v>
      </c>
      <c r="AZ203">
        <v>1873890</v>
      </c>
      <c r="BB203" s="1">
        <v>45782</v>
      </c>
      <c r="BC203">
        <v>38</v>
      </c>
      <c r="BD203">
        <v>1878856</v>
      </c>
      <c r="BF203" s="1">
        <v>45813</v>
      </c>
      <c r="BG203">
        <v>38</v>
      </c>
      <c r="BH203">
        <v>1883600</v>
      </c>
      <c r="BJ203" s="1">
        <v>45843</v>
      </c>
      <c r="BK203">
        <v>38</v>
      </c>
      <c r="BL203">
        <v>1888166</v>
      </c>
      <c r="BN203" s="1">
        <v>45874</v>
      </c>
      <c r="BO203">
        <v>38</v>
      </c>
      <c r="BP203">
        <v>1892877</v>
      </c>
      <c r="BR203" s="1">
        <v>45905</v>
      </c>
      <c r="BS203">
        <v>38</v>
      </c>
      <c r="BT203">
        <v>1897614</v>
      </c>
      <c r="BV203" s="1">
        <v>45935</v>
      </c>
      <c r="BW203">
        <v>38</v>
      </c>
      <c r="BX203">
        <v>1902167</v>
      </c>
      <c r="BZ203" s="1">
        <v>45966</v>
      </c>
      <c r="CA203">
        <v>38</v>
      </c>
      <c r="CB203">
        <v>1906886</v>
      </c>
      <c r="CD203" s="1">
        <v>45996</v>
      </c>
      <c r="CE203">
        <v>38</v>
      </c>
      <c r="CF203">
        <v>1911354</v>
      </c>
      <c r="CH203">
        <v>62863</v>
      </c>
    </row>
    <row r="204" spans="1:86" x14ac:dyDescent="0.25">
      <c r="A204">
        <v>572042</v>
      </c>
      <c r="B204">
        <v>102</v>
      </c>
      <c r="C204">
        <v>301085</v>
      </c>
      <c r="D204">
        <v>1</v>
      </c>
      <c r="E204">
        <v>1</v>
      </c>
      <c r="F204">
        <v>420191</v>
      </c>
      <c r="G204">
        <v>420191</v>
      </c>
      <c r="H204" t="s">
        <v>90</v>
      </c>
      <c r="N204" t="s">
        <v>1149</v>
      </c>
      <c r="O204">
        <v>420191</v>
      </c>
      <c r="P204" t="s">
        <v>92</v>
      </c>
      <c r="Q204" t="s">
        <v>93</v>
      </c>
      <c r="R204" t="s">
        <v>1150</v>
      </c>
      <c r="V204" t="s">
        <v>1151</v>
      </c>
      <c r="W204" t="s">
        <v>1086</v>
      </c>
      <c r="X204" t="s">
        <v>1152</v>
      </c>
      <c r="Y204" t="s">
        <v>99</v>
      </c>
      <c r="AA204" t="s">
        <v>1149</v>
      </c>
      <c r="AB204" t="s">
        <v>1150</v>
      </c>
      <c r="AC204" t="s">
        <v>1153</v>
      </c>
      <c r="AI204">
        <v>456</v>
      </c>
      <c r="AK204">
        <v>0</v>
      </c>
      <c r="AL204" s="1">
        <v>45667</v>
      </c>
      <c r="AM204">
        <v>456</v>
      </c>
      <c r="AN204">
        <v>1861389</v>
      </c>
      <c r="CH204">
        <v>468182236</v>
      </c>
    </row>
    <row r="205" spans="1:86" x14ac:dyDescent="0.25">
      <c r="A205">
        <v>572043</v>
      </c>
      <c r="B205">
        <v>102</v>
      </c>
      <c r="C205">
        <v>301086</v>
      </c>
      <c r="D205">
        <v>1</v>
      </c>
      <c r="E205">
        <v>1</v>
      </c>
      <c r="F205">
        <v>420200</v>
      </c>
      <c r="G205">
        <v>420200</v>
      </c>
      <c r="H205" t="s">
        <v>90</v>
      </c>
      <c r="N205" t="s">
        <v>1154</v>
      </c>
      <c r="O205">
        <v>420200</v>
      </c>
      <c r="P205" t="s">
        <v>92</v>
      </c>
      <c r="Q205" t="s">
        <v>93</v>
      </c>
      <c r="R205" t="s">
        <v>1155</v>
      </c>
      <c r="V205" t="s">
        <v>1156</v>
      </c>
      <c r="W205" t="s">
        <v>1086</v>
      </c>
      <c r="X205" t="s">
        <v>1157</v>
      </c>
      <c r="Y205" t="s">
        <v>99</v>
      </c>
      <c r="AA205" t="s">
        <v>1154</v>
      </c>
      <c r="AB205" t="s">
        <v>1155</v>
      </c>
      <c r="AC205" t="s">
        <v>1158</v>
      </c>
      <c r="AI205">
        <v>576</v>
      </c>
      <c r="AK205">
        <v>0</v>
      </c>
      <c r="AL205" s="1">
        <v>45684</v>
      </c>
      <c r="AM205">
        <v>144</v>
      </c>
      <c r="AN205">
        <v>1862593</v>
      </c>
      <c r="AP205" s="1">
        <v>45774</v>
      </c>
      <c r="AQ205">
        <v>144</v>
      </c>
      <c r="AR205">
        <v>1877287</v>
      </c>
      <c r="AT205" s="1">
        <v>45865</v>
      </c>
      <c r="AU205">
        <v>144</v>
      </c>
      <c r="AV205">
        <v>1891434</v>
      </c>
      <c r="AX205" s="1">
        <v>45957</v>
      </c>
      <c r="AY205">
        <v>144</v>
      </c>
      <c r="AZ205">
        <v>1905176</v>
      </c>
      <c r="CH205">
        <v>464107421</v>
      </c>
    </row>
    <row r="206" spans="1:86" x14ac:dyDescent="0.25">
      <c r="A206">
        <v>572044</v>
      </c>
      <c r="B206">
        <v>102</v>
      </c>
      <c r="C206">
        <v>301087</v>
      </c>
      <c r="D206">
        <v>1</v>
      </c>
      <c r="E206">
        <v>2</v>
      </c>
      <c r="F206">
        <v>420273</v>
      </c>
      <c r="G206">
        <v>420273</v>
      </c>
      <c r="H206" t="s">
        <v>90</v>
      </c>
      <c r="N206" t="s">
        <v>1159</v>
      </c>
      <c r="O206">
        <v>4008456</v>
      </c>
      <c r="P206" t="s">
        <v>92</v>
      </c>
      <c r="Q206" t="s">
        <v>93</v>
      </c>
      <c r="R206" t="s">
        <v>1160</v>
      </c>
      <c r="S206" t="s">
        <v>1161</v>
      </c>
      <c r="V206" t="s">
        <v>1162</v>
      </c>
      <c r="W206" t="s">
        <v>1086</v>
      </c>
      <c r="X206" t="s">
        <v>1163</v>
      </c>
      <c r="Y206" t="s">
        <v>99</v>
      </c>
      <c r="AA206" t="s">
        <v>1159</v>
      </c>
      <c r="AB206" t="s">
        <v>1160</v>
      </c>
      <c r="AC206" t="s">
        <v>1161</v>
      </c>
      <c r="AD206" t="s">
        <v>1164</v>
      </c>
      <c r="AH206" t="s">
        <v>1165</v>
      </c>
      <c r="AI206">
        <v>1177.3499999999999</v>
      </c>
      <c r="AK206">
        <v>0</v>
      </c>
      <c r="AL206" s="1">
        <v>45672</v>
      </c>
      <c r="AM206">
        <v>76</v>
      </c>
      <c r="AN206">
        <v>1862049</v>
      </c>
      <c r="AP206" s="1">
        <v>45712</v>
      </c>
      <c r="AQ206">
        <v>76</v>
      </c>
      <c r="AR206">
        <v>1867376</v>
      </c>
      <c r="AT206" s="1">
        <v>45733</v>
      </c>
      <c r="AU206">
        <v>76</v>
      </c>
      <c r="AV206">
        <v>1871001</v>
      </c>
      <c r="AX206" s="1">
        <v>45764</v>
      </c>
      <c r="AY206">
        <v>76</v>
      </c>
      <c r="AZ206">
        <v>1876519</v>
      </c>
      <c r="BB206" s="1">
        <v>45796</v>
      </c>
      <c r="BC206">
        <v>76</v>
      </c>
      <c r="BD206">
        <v>1882361</v>
      </c>
      <c r="BF206" s="1">
        <v>45824</v>
      </c>
      <c r="BG206">
        <v>76</v>
      </c>
      <c r="BH206">
        <v>1885311</v>
      </c>
      <c r="BJ206" s="1">
        <v>45854</v>
      </c>
      <c r="BK206">
        <v>76</v>
      </c>
      <c r="BL206">
        <v>1890684</v>
      </c>
      <c r="BN206" s="1">
        <v>45882</v>
      </c>
      <c r="BO206">
        <v>76</v>
      </c>
      <c r="BP206">
        <v>1894002</v>
      </c>
      <c r="BR206" s="1">
        <v>45916</v>
      </c>
      <c r="BS206">
        <v>76</v>
      </c>
      <c r="BT206">
        <v>1899631</v>
      </c>
      <c r="BV206" s="1">
        <v>45940</v>
      </c>
      <c r="BW206">
        <v>265.35000000000002</v>
      </c>
      <c r="BX206">
        <v>1904327</v>
      </c>
      <c r="BZ206" s="1">
        <v>45947</v>
      </c>
      <c r="CA206">
        <v>76</v>
      </c>
      <c r="CB206">
        <v>1905019</v>
      </c>
      <c r="CD206" s="1">
        <v>45979</v>
      </c>
      <c r="CE206">
        <v>76</v>
      </c>
      <c r="CF206">
        <v>1910235</v>
      </c>
      <c r="CH206">
        <v>462011118</v>
      </c>
    </row>
    <row r="207" spans="1:86" x14ac:dyDescent="0.25">
      <c r="A207">
        <v>572045</v>
      </c>
      <c r="B207">
        <v>102</v>
      </c>
      <c r="C207">
        <v>301087</v>
      </c>
      <c r="D207">
        <v>2</v>
      </c>
      <c r="E207">
        <v>2</v>
      </c>
      <c r="F207">
        <v>420273</v>
      </c>
      <c r="G207">
        <v>420273</v>
      </c>
      <c r="H207" t="s">
        <v>90</v>
      </c>
      <c r="N207" t="s">
        <v>1159</v>
      </c>
      <c r="O207">
        <v>4008456</v>
      </c>
      <c r="P207" t="s">
        <v>92</v>
      </c>
      <c r="Q207" t="s">
        <v>93</v>
      </c>
      <c r="R207" t="s">
        <v>1160</v>
      </c>
      <c r="S207" t="s">
        <v>1161</v>
      </c>
      <c r="V207" t="s">
        <v>1162</v>
      </c>
      <c r="W207" t="s">
        <v>1086</v>
      </c>
      <c r="X207" t="s">
        <v>1163</v>
      </c>
      <c r="Y207" t="s">
        <v>99</v>
      </c>
      <c r="AA207" t="s">
        <v>1159</v>
      </c>
      <c r="AB207" t="s">
        <v>1160</v>
      </c>
      <c r="AC207" t="s">
        <v>1161</v>
      </c>
      <c r="AD207" t="s">
        <v>1164</v>
      </c>
      <c r="AH207" t="s">
        <v>1165</v>
      </c>
      <c r="AI207">
        <v>1177.3499999999999</v>
      </c>
      <c r="AK207">
        <v>0</v>
      </c>
      <c r="AL207" s="1">
        <v>46003</v>
      </c>
      <c r="AM207">
        <v>76</v>
      </c>
      <c r="AN207">
        <v>1913629</v>
      </c>
      <c r="CH207">
        <v>462011118</v>
      </c>
    </row>
    <row r="208" spans="1:86" x14ac:dyDescent="0.25">
      <c r="A208">
        <v>572046</v>
      </c>
      <c r="B208">
        <v>102</v>
      </c>
      <c r="C208">
        <v>301088</v>
      </c>
      <c r="D208">
        <v>1</v>
      </c>
      <c r="E208">
        <v>1</v>
      </c>
      <c r="F208">
        <v>420300</v>
      </c>
      <c r="G208">
        <v>420300</v>
      </c>
      <c r="H208" t="s">
        <v>90</v>
      </c>
      <c r="N208" t="s">
        <v>91</v>
      </c>
      <c r="O208">
        <v>420300</v>
      </c>
      <c r="P208" t="s">
        <v>92</v>
      </c>
      <c r="Q208" t="s">
        <v>93</v>
      </c>
      <c r="R208" t="s">
        <v>1166</v>
      </c>
      <c r="V208" t="s">
        <v>1167</v>
      </c>
      <c r="W208" t="s">
        <v>1086</v>
      </c>
      <c r="X208">
        <v>46123</v>
      </c>
      <c r="Y208" t="s">
        <v>99</v>
      </c>
      <c r="AA208" t="s">
        <v>91</v>
      </c>
      <c r="AB208" t="s">
        <v>1166</v>
      </c>
      <c r="AC208" t="s">
        <v>1168</v>
      </c>
      <c r="AI208">
        <v>2640</v>
      </c>
      <c r="AK208">
        <v>0</v>
      </c>
      <c r="AL208" s="1">
        <v>45708</v>
      </c>
      <c r="AM208">
        <v>440</v>
      </c>
      <c r="AN208">
        <v>1866385</v>
      </c>
      <c r="AP208" s="1">
        <v>45732</v>
      </c>
      <c r="AQ208">
        <v>220</v>
      </c>
      <c r="AR208">
        <v>1870561</v>
      </c>
      <c r="AT208" s="1">
        <v>45763</v>
      </c>
      <c r="AU208">
        <v>220</v>
      </c>
      <c r="AV208">
        <v>1875416</v>
      </c>
      <c r="AX208" s="1">
        <v>45793</v>
      </c>
      <c r="AY208">
        <v>220</v>
      </c>
      <c r="AZ208">
        <v>1880533</v>
      </c>
      <c r="BB208" s="1">
        <v>45824</v>
      </c>
      <c r="BC208">
        <v>220</v>
      </c>
      <c r="BD208">
        <v>1885116</v>
      </c>
      <c r="BF208" s="1">
        <v>45854</v>
      </c>
      <c r="BG208">
        <v>220</v>
      </c>
      <c r="BH208">
        <v>1889873</v>
      </c>
      <c r="BJ208" s="1">
        <v>45885</v>
      </c>
      <c r="BK208">
        <v>220</v>
      </c>
      <c r="BL208">
        <v>1894689</v>
      </c>
      <c r="BN208" s="1">
        <v>45916</v>
      </c>
      <c r="BO208">
        <v>220</v>
      </c>
      <c r="BP208">
        <v>1899146</v>
      </c>
      <c r="BR208" s="1">
        <v>45946</v>
      </c>
      <c r="BS208">
        <v>220</v>
      </c>
      <c r="BT208">
        <v>1903715</v>
      </c>
      <c r="BV208" s="1">
        <v>45977</v>
      </c>
      <c r="BW208">
        <v>220</v>
      </c>
      <c r="BX208">
        <v>1908325</v>
      </c>
      <c r="BZ208" s="1">
        <v>46007</v>
      </c>
      <c r="CA208">
        <v>220</v>
      </c>
      <c r="CB208">
        <v>1913294</v>
      </c>
      <c r="CH208">
        <v>46123</v>
      </c>
    </row>
    <row r="209" spans="1:86" x14ac:dyDescent="0.25">
      <c r="A209">
        <v>572047</v>
      </c>
      <c r="B209">
        <v>102</v>
      </c>
      <c r="C209">
        <v>301089</v>
      </c>
      <c r="D209">
        <v>1</v>
      </c>
      <c r="E209">
        <v>1</v>
      </c>
      <c r="F209">
        <v>420303</v>
      </c>
      <c r="G209">
        <v>420303</v>
      </c>
      <c r="H209" t="s">
        <v>90</v>
      </c>
      <c r="N209" t="s">
        <v>1169</v>
      </c>
      <c r="O209">
        <v>4010925</v>
      </c>
      <c r="P209" t="s">
        <v>92</v>
      </c>
      <c r="Q209" t="s">
        <v>93</v>
      </c>
      <c r="R209" t="s">
        <v>1166</v>
      </c>
      <c r="V209" t="s">
        <v>1167</v>
      </c>
      <c r="W209" t="s">
        <v>1086</v>
      </c>
      <c r="X209">
        <v>46123</v>
      </c>
      <c r="Y209" t="s">
        <v>99</v>
      </c>
      <c r="AA209" t="s">
        <v>1169</v>
      </c>
      <c r="AB209" t="s">
        <v>1166</v>
      </c>
      <c r="AC209" t="s">
        <v>1168</v>
      </c>
      <c r="AI209">
        <v>456</v>
      </c>
      <c r="AK209">
        <v>0</v>
      </c>
      <c r="AL209" s="1">
        <v>45675</v>
      </c>
      <c r="AM209">
        <v>38</v>
      </c>
      <c r="AN209">
        <v>1861084</v>
      </c>
      <c r="AP209" s="1">
        <v>45706</v>
      </c>
      <c r="AQ209">
        <v>38</v>
      </c>
      <c r="AR209">
        <v>1865958</v>
      </c>
      <c r="AT209" s="1">
        <v>45734</v>
      </c>
      <c r="AU209">
        <v>38</v>
      </c>
      <c r="AV209">
        <v>1870681</v>
      </c>
      <c r="AX209" s="1">
        <v>45765</v>
      </c>
      <c r="AY209">
        <v>38</v>
      </c>
      <c r="AZ209">
        <v>1875721</v>
      </c>
      <c r="BB209" s="1">
        <v>45795</v>
      </c>
      <c r="BC209">
        <v>38</v>
      </c>
      <c r="BD209">
        <v>1880755</v>
      </c>
      <c r="BF209" s="1">
        <v>45826</v>
      </c>
      <c r="BG209">
        <v>38</v>
      </c>
      <c r="BH209">
        <v>1885444</v>
      </c>
      <c r="BJ209" s="1">
        <v>45856</v>
      </c>
      <c r="BK209">
        <v>38</v>
      </c>
      <c r="BL209">
        <v>1889985</v>
      </c>
      <c r="BN209" s="1">
        <v>45887</v>
      </c>
      <c r="BO209">
        <v>38</v>
      </c>
      <c r="BP209">
        <v>1894789</v>
      </c>
      <c r="BR209" s="1">
        <v>45918</v>
      </c>
      <c r="BS209">
        <v>38</v>
      </c>
      <c r="BT209">
        <v>1899343</v>
      </c>
      <c r="BV209" s="1">
        <v>45948</v>
      </c>
      <c r="BW209">
        <v>38</v>
      </c>
      <c r="BX209">
        <v>1903849</v>
      </c>
      <c r="BZ209" s="1">
        <v>45979</v>
      </c>
      <c r="CA209">
        <v>38</v>
      </c>
      <c r="CB209">
        <v>1908474</v>
      </c>
      <c r="CD209" s="1">
        <v>46009</v>
      </c>
      <c r="CE209">
        <v>38</v>
      </c>
      <c r="CF209">
        <v>1913410</v>
      </c>
      <c r="CH209">
        <v>46123</v>
      </c>
    </row>
    <row r="210" spans="1:86" x14ac:dyDescent="0.25">
      <c r="A210">
        <v>572048</v>
      </c>
      <c r="B210">
        <v>102</v>
      </c>
      <c r="C210">
        <v>301090</v>
      </c>
      <c r="D210">
        <v>1</v>
      </c>
      <c r="E210">
        <v>1</v>
      </c>
      <c r="F210">
        <v>420304</v>
      </c>
      <c r="G210">
        <v>420304</v>
      </c>
      <c r="H210" t="s">
        <v>90</v>
      </c>
      <c r="N210" t="s">
        <v>1170</v>
      </c>
      <c r="O210">
        <v>4010926</v>
      </c>
      <c r="P210" t="s">
        <v>92</v>
      </c>
      <c r="Q210" t="s">
        <v>93</v>
      </c>
      <c r="R210" t="s">
        <v>1166</v>
      </c>
      <c r="V210" t="s">
        <v>1167</v>
      </c>
      <c r="W210" t="s">
        <v>1086</v>
      </c>
      <c r="X210">
        <v>46123</v>
      </c>
      <c r="Y210" t="s">
        <v>99</v>
      </c>
      <c r="AA210" t="s">
        <v>1170</v>
      </c>
      <c r="AB210" t="s">
        <v>1166</v>
      </c>
      <c r="AC210" t="s">
        <v>1168</v>
      </c>
      <c r="AI210">
        <v>456</v>
      </c>
      <c r="AK210">
        <v>0</v>
      </c>
      <c r="AL210" s="1">
        <v>45675</v>
      </c>
      <c r="AM210">
        <v>38</v>
      </c>
      <c r="AN210">
        <v>1861277</v>
      </c>
      <c r="AP210" s="1">
        <v>45706</v>
      </c>
      <c r="AQ210">
        <v>38</v>
      </c>
      <c r="AR210">
        <v>1866162</v>
      </c>
      <c r="AT210" s="1">
        <v>45734</v>
      </c>
      <c r="AU210">
        <v>38</v>
      </c>
      <c r="AV210">
        <v>1870878</v>
      </c>
      <c r="AX210" s="1">
        <v>45765</v>
      </c>
      <c r="AY210">
        <v>38</v>
      </c>
      <c r="AZ210">
        <v>1875912</v>
      </c>
      <c r="BB210" s="1">
        <v>45795</v>
      </c>
      <c r="BC210">
        <v>38</v>
      </c>
      <c r="BD210">
        <v>1880951</v>
      </c>
      <c r="BF210" s="1">
        <v>45826</v>
      </c>
      <c r="BG210">
        <v>38</v>
      </c>
      <c r="BH210">
        <v>1885634</v>
      </c>
      <c r="BJ210" s="1">
        <v>45856</v>
      </c>
      <c r="BK210">
        <v>38</v>
      </c>
      <c r="BL210">
        <v>1890177</v>
      </c>
      <c r="BN210" s="1">
        <v>45887</v>
      </c>
      <c r="BO210">
        <v>38</v>
      </c>
      <c r="BP210">
        <v>1894978</v>
      </c>
      <c r="BR210" s="1">
        <v>45918</v>
      </c>
      <c r="BS210">
        <v>38</v>
      </c>
      <c r="BT210">
        <v>1899531</v>
      </c>
      <c r="BV210" s="1">
        <v>45948</v>
      </c>
      <c r="BW210">
        <v>38</v>
      </c>
      <c r="BX210">
        <v>1904038</v>
      </c>
      <c r="BZ210" s="1">
        <v>45979</v>
      </c>
      <c r="CA210">
        <v>38</v>
      </c>
      <c r="CB210">
        <v>1908660</v>
      </c>
      <c r="CD210" s="1">
        <v>46009</v>
      </c>
      <c r="CE210">
        <v>38</v>
      </c>
      <c r="CF210">
        <v>1913590</v>
      </c>
      <c r="CH210">
        <v>46123</v>
      </c>
    </row>
    <row r="211" spans="1:86" x14ac:dyDescent="0.25">
      <c r="A211">
        <v>572049</v>
      </c>
      <c r="B211">
        <v>102</v>
      </c>
      <c r="C211">
        <v>301091</v>
      </c>
      <c r="D211">
        <v>1</v>
      </c>
      <c r="E211">
        <v>1</v>
      </c>
      <c r="F211">
        <v>420361</v>
      </c>
      <c r="G211">
        <v>420361</v>
      </c>
      <c r="H211" t="s">
        <v>90</v>
      </c>
      <c r="N211" t="s">
        <v>1171</v>
      </c>
      <c r="O211">
        <v>4009304</v>
      </c>
      <c r="P211" t="s">
        <v>92</v>
      </c>
      <c r="Q211" t="s">
        <v>93</v>
      </c>
      <c r="R211" t="s">
        <v>1172</v>
      </c>
      <c r="S211" t="s">
        <v>1173</v>
      </c>
      <c r="V211" t="s">
        <v>1174</v>
      </c>
      <c r="W211" t="s">
        <v>1086</v>
      </c>
      <c r="X211" t="s">
        <v>1175</v>
      </c>
      <c r="Y211" t="s">
        <v>99</v>
      </c>
      <c r="AA211" t="s">
        <v>1171</v>
      </c>
      <c r="AB211" t="s">
        <v>1172</v>
      </c>
      <c r="AC211" t="s">
        <v>1173</v>
      </c>
      <c r="AD211" t="s">
        <v>1176</v>
      </c>
      <c r="AH211" t="s">
        <v>1177</v>
      </c>
      <c r="AI211">
        <v>1368</v>
      </c>
      <c r="AK211">
        <v>0</v>
      </c>
      <c r="AL211" s="1">
        <v>45749</v>
      </c>
      <c r="AM211">
        <v>456</v>
      </c>
      <c r="AN211">
        <v>1873710</v>
      </c>
      <c r="AP211" s="1">
        <v>45954</v>
      </c>
      <c r="AQ211">
        <v>912</v>
      </c>
      <c r="AR211">
        <v>1906573</v>
      </c>
      <c r="CH211">
        <v>469025524</v>
      </c>
    </row>
    <row r="212" spans="1:86" x14ac:dyDescent="0.25">
      <c r="A212">
        <v>572050</v>
      </c>
      <c r="B212">
        <v>102</v>
      </c>
      <c r="C212">
        <v>301092</v>
      </c>
      <c r="D212">
        <v>1</v>
      </c>
      <c r="E212">
        <v>1</v>
      </c>
      <c r="F212">
        <v>420365</v>
      </c>
      <c r="G212">
        <v>420365</v>
      </c>
      <c r="H212" t="s">
        <v>90</v>
      </c>
      <c r="N212" t="s">
        <v>1178</v>
      </c>
      <c r="O212">
        <v>4004415</v>
      </c>
      <c r="P212" t="s">
        <v>92</v>
      </c>
      <c r="Q212" t="s">
        <v>93</v>
      </c>
      <c r="R212" t="s">
        <v>1179</v>
      </c>
      <c r="S212" t="s">
        <v>1180</v>
      </c>
      <c r="V212" t="s">
        <v>1174</v>
      </c>
      <c r="W212" t="s">
        <v>1086</v>
      </c>
      <c r="X212" t="s">
        <v>1181</v>
      </c>
      <c r="Y212" t="s">
        <v>99</v>
      </c>
      <c r="AA212" t="s">
        <v>1178</v>
      </c>
      <c r="AB212" t="s">
        <v>1179</v>
      </c>
      <c r="AC212" t="s">
        <v>1180</v>
      </c>
      <c r="AD212" t="s">
        <v>1182</v>
      </c>
      <c r="AH212" t="s">
        <v>1183</v>
      </c>
      <c r="AI212">
        <v>2530</v>
      </c>
      <c r="AK212">
        <v>0</v>
      </c>
      <c r="AL212" s="1">
        <v>45681</v>
      </c>
      <c r="AM212">
        <v>190</v>
      </c>
      <c r="AN212">
        <v>1862632</v>
      </c>
      <c r="AP212" s="1">
        <v>45695</v>
      </c>
      <c r="AQ212">
        <v>190</v>
      </c>
      <c r="AR212">
        <v>1864937</v>
      </c>
      <c r="AT212" s="1">
        <v>45733</v>
      </c>
      <c r="AU212">
        <v>190</v>
      </c>
      <c r="AV212">
        <v>1870984</v>
      </c>
      <c r="AX212" s="1">
        <v>45758</v>
      </c>
      <c r="AY212">
        <v>190</v>
      </c>
      <c r="AZ212">
        <v>1874631</v>
      </c>
      <c r="BB212" s="1">
        <v>45789</v>
      </c>
      <c r="BC212">
        <v>190</v>
      </c>
      <c r="BD212">
        <v>1880544</v>
      </c>
      <c r="BF212" s="1">
        <v>45824</v>
      </c>
      <c r="BG212">
        <v>315</v>
      </c>
      <c r="BH212">
        <v>1885376</v>
      </c>
      <c r="BJ212" s="1">
        <v>45849</v>
      </c>
      <c r="BK212">
        <v>190</v>
      </c>
      <c r="BL212">
        <v>1890257</v>
      </c>
      <c r="BN212" s="1">
        <v>45887</v>
      </c>
      <c r="BO212">
        <v>190</v>
      </c>
      <c r="BP212">
        <v>1895056</v>
      </c>
      <c r="BR212" s="1">
        <v>45909</v>
      </c>
      <c r="BS212">
        <v>190</v>
      </c>
      <c r="BT212">
        <v>1898263</v>
      </c>
      <c r="BV212" s="1">
        <v>45940</v>
      </c>
      <c r="BW212">
        <v>190</v>
      </c>
      <c r="BX212">
        <v>1904340</v>
      </c>
      <c r="BZ212" s="1">
        <v>45979</v>
      </c>
      <c r="CA212">
        <v>190</v>
      </c>
      <c r="CB212">
        <v>1910142</v>
      </c>
      <c r="CD212" s="1">
        <v>46021</v>
      </c>
      <c r="CE212">
        <v>315</v>
      </c>
      <c r="CF212">
        <v>1916728</v>
      </c>
      <c r="CH212">
        <v>469017513</v>
      </c>
    </row>
    <row r="213" spans="1:86" x14ac:dyDescent="0.25">
      <c r="A213">
        <v>572051</v>
      </c>
      <c r="B213">
        <v>102</v>
      </c>
      <c r="C213">
        <v>301093</v>
      </c>
      <c r="D213">
        <v>1</v>
      </c>
      <c r="E213">
        <v>2</v>
      </c>
      <c r="F213">
        <v>420367</v>
      </c>
      <c r="G213">
        <v>420367</v>
      </c>
      <c r="H213" t="s">
        <v>90</v>
      </c>
      <c r="N213" t="s">
        <v>1184</v>
      </c>
      <c r="O213">
        <v>4006854</v>
      </c>
      <c r="P213" t="s">
        <v>92</v>
      </c>
      <c r="Q213" t="s">
        <v>93</v>
      </c>
      <c r="R213" t="s">
        <v>1185</v>
      </c>
      <c r="S213" t="s">
        <v>1186</v>
      </c>
      <c r="V213" t="s">
        <v>1187</v>
      </c>
      <c r="W213" t="s">
        <v>1086</v>
      </c>
      <c r="X213">
        <v>46901</v>
      </c>
      <c r="Y213" t="s">
        <v>99</v>
      </c>
      <c r="AA213" t="s">
        <v>1184</v>
      </c>
      <c r="AB213" t="s">
        <v>1185</v>
      </c>
      <c r="AC213" t="s">
        <v>1186</v>
      </c>
      <c r="AD213" t="s">
        <v>1188</v>
      </c>
      <c r="AI213">
        <v>566</v>
      </c>
      <c r="AK213">
        <v>0</v>
      </c>
      <c r="AL213" s="1">
        <v>45664</v>
      </c>
      <c r="AM213">
        <v>38</v>
      </c>
      <c r="AN213">
        <v>1861828</v>
      </c>
      <c r="AP213" s="1">
        <v>45684</v>
      </c>
      <c r="AQ213">
        <v>30</v>
      </c>
      <c r="AR213">
        <v>1862698</v>
      </c>
      <c r="AT213" s="1">
        <v>45695</v>
      </c>
      <c r="AU213">
        <v>0</v>
      </c>
      <c r="AV213">
        <v>1864905</v>
      </c>
      <c r="AW213">
        <v>0</v>
      </c>
      <c r="AX213" s="1">
        <v>45728</v>
      </c>
      <c r="AY213">
        <v>0</v>
      </c>
      <c r="AZ213">
        <v>1870962</v>
      </c>
      <c r="BA213">
        <v>0</v>
      </c>
      <c r="BB213" s="1">
        <v>45775</v>
      </c>
      <c r="BC213">
        <v>0</v>
      </c>
      <c r="BD213">
        <v>1878583</v>
      </c>
      <c r="BE213">
        <v>0</v>
      </c>
      <c r="BF213" s="1">
        <v>45793</v>
      </c>
      <c r="BG213">
        <v>0</v>
      </c>
      <c r="BH213">
        <v>1881303</v>
      </c>
      <c r="BI213">
        <v>0</v>
      </c>
      <c r="BJ213" s="1">
        <v>45833</v>
      </c>
      <c r="BK213">
        <v>0</v>
      </c>
      <c r="BL213">
        <v>1887884</v>
      </c>
      <c r="BM213">
        <v>0</v>
      </c>
      <c r="BN213" s="1">
        <v>45849</v>
      </c>
      <c r="BO213">
        <v>0</v>
      </c>
      <c r="BP213">
        <v>1890247</v>
      </c>
      <c r="BQ213">
        <v>0</v>
      </c>
      <c r="BR213" s="1">
        <v>45902</v>
      </c>
      <c r="BS213">
        <v>0</v>
      </c>
      <c r="BT213">
        <v>1897477</v>
      </c>
      <c r="BU213">
        <v>0</v>
      </c>
      <c r="BV213" s="1">
        <v>45912</v>
      </c>
      <c r="BW213">
        <v>278</v>
      </c>
      <c r="BX213">
        <v>1898386</v>
      </c>
      <c r="BZ213" s="1">
        <v>45940</v>
      </c>
      <c r="CA213">
        <v>80</v>
      </c>
      <c r="CB213">
        <v>1904351</v>
      </c>
      <c r="CD213" s="1">
        <v>45987</v>
      </c>
      <c r="CE213">
        <v>40</v>
      </c>
      <c r="CF213">
        <v>1911542</v>
      </c>
      <c r="CH213">
        <v>46901</v>
      </c>
    </row>
    <row r="214" spans="1:86" x14ac:dyDescent="0.25">
      <c r="A214">
        <v>572052</v>
      </c>
      <c r="B214">
        <v>102</v>
      </c>
      <c r="C214">
        <v>301093</v>
      </c>
      <c r="D214">
        <v>2</v>
      </c>
      <c r="E214">
        <v>2</v>
      </c>
      <c r="F214">
        <v>420367</v>
      </c>
      <c r="G214">
        <v>420367</v>
      </c>
      <c r="H214" t="s">
        <v>90</v>
      </c>
      <c r="N214" t="s">
        <v>1184</v>
      </c>
      <c r="O214">
        <v>4006854</v>
      </c>
      <c r="P214" t="s">
        <v>92</v>
      </c>
      <c r="Q214" t="s">
        <v>93</v>
      </c>
      <c r="R214" t="s">
        <v>1185</v>
      </c>
      <c r="S214" t="s">
        <v>1186</v>
      </c>
      <c r="V214" t="s">
        <v>1187</v>
      </c>
      <c r="W214" t="s">
        <v>1086</v>
      </c>
      <c r="X214">
        <v>46901</v>
      </c>
      <c r="Y214" t="s">
        <v>99</v>
      </c>
      <c r="AA214" t="s">
        <v>1184</v>
      </c>
      <c r="AB214" t="s">
        <v>1185</v>
      </c>
      <c r="AC214" t="s">
        <v>1186</v>
      </c>
      <c r="AD214" t="s">
        <v>1188</v>
      </c>
      <c r="AI214">
        <v>566</v>
      </c>
      <c r="AK214">
        <v>0</v>
      </c>
      <c r="AL214" s="1">
        <v>46003</v>
      </c>
      <c r="AM214">
        <v>100</v>
      </c>
      <c r="AN214">
        <v>1913097</v>
      </c>
      <c r="CH214">
        <v>46901</v>
      </c>
    </row>
    <row r="215" spans="1:86" x14ac:dyDescent="0.25">
      <c r="A215">
        <v>572053</v>
      </c>
      <c r="B215">
        <v>102</v>
      </c>
      <c r="C215">
        <v>301094</v>
      </c>
      <c r="D215">
        <v>1</v>
      </c>
      <c r="E215">
        <v>2</v>
      </c>
      <c r="F215">
        <v>420442</v>
      </c>
      <c r="G215">
        <v>420442</v>
      </c>
      <c r="H215" t="s">
        <v>90</v>
      </c>
      <c r="N215" t="s">
        <v>1189</v>
      </c>
      <c r="O215">
        <v>420442</v>
      </c>
      <c r="P215" t="s">
        <v>92</v>
      </c>
      <c r="Q215" t="s">
        <v>93</v>
      </c>
      <c r="R215" t="s">
        <v>1190</v>
      </c>
      <c r="V215" t="s">
        <v>1191</v>
      </c>
      <c r="W215" t="s">
        <v>1086</v>
      </c>
      <c r="X215" t="s">
        <v>1192</v>
      </c>
      <c r="Y215" t="s">
        <v>99</v>
      </c>
      <c r="AA215" t="s">
        <v>1189</v>
      </c>
      <c r="AB215" t="s">
        <v>1190</v>
      </c>
      <c r="AC215" t="s">
        <v>1193</v>
      </c>
      <c r="AH215" t="s">
        <v>1194</v>
      </c>
      <c r="AI215">
        <v>805</v>
      </c>
      <c r="AK215">
        <v>0</v>
      </c>
      <c r="AL215" s="1">
        <v>45667</v>
      </c>
      <c r="AM215">
        <v>50</v>
      </c>
      <c r="AN215">
        <v>1859551</v>
      </c>
      <c r="AP215" s="1">
        <v>45676</v>
      </c>
      <c r="AQ215">
        <v>205</v>
      </c>
      <c r="AR215">
        <v>1861337</v>
      </c>
      <c r="AT215" s="1">
        <v>45698</v>
      </c>
      <c r="AU215">
        <v>50</v>
      </c>
      <c r="AV215">
        <v>1864765</v>
      </c>
      <c r="AX215" s="1">
        <v>45726</v>
      </c>
      <c r="AY215">
        <v>50</v>
      </c>
      <c r="AZ215">
        <v>1869460</v>
      </c>
      <c r="BB215" s="1">
        <v>45757</v>
      </c>
      <c r="BC215">
        <v>50</v>
      </c>
      <c r="BD215">
        <v>1874340</v>
      </c>
      <c r="BF215" s="1">
        <v>45787</v>
      </c>
      <c r="BG215">
        <v>50</v>
      </c>
      <c r="BH215">
        <v>1879464</v>
      </c>
      <c r="BJ215" s="1">
        <v>45818</v>
      </c>
      <c r="BK215">
        <v>50</v>
      </c>
      <c r="BL215">
        <v>1884230</v>
      </c>
      <c r="BN215" s="1">
        <v>45848</v>
      </c>
      <c r="BO215">
        <v>50</v>
      </c>
      <c r="BP215">
        <v>1888664</v>
      </c>
      <c r="BR215" s="1">
        <v>45879</v>
      </c>
      <c r="BS215">
        <v>50</v>
      </c>
      <c r="BT215">
        <v>1893568</v>
      </c>
      <c r="BV215" s="1">
        <v>45910</v>
      </c>
      <c r="BW215">
        <v>50</v>
      </c>
      <c r="BX215">
        <v>1898097</v>
      </c>
      <c r="BZ215" s="1">
        <v>45940</v>
      </c>
      <c r="CA215">
        <v>50</v>
      </c>
      <c r="CB215">
        <v>1902839</v>
      </c>
      <c r="CD215" s="1">
        <v>45971</v>
      </c>
      <c r="CE215">
        <v>50</v>
      </c>
      <c r="CF215">
        <v>1907408</v>
      </c>
      <c r="CH215">
        <v>461581025</v>
      </c>
    </row>
    <row r="216" spans="1:86" x14ac:dyDescent="0.25">
      <c r="A216">
        <v>572054</v>
      </c>
      <c r="B216">
        <v>102</v>
      </c>
      <c r="C216">
        <v>301094</v>
      </c>
      <c r="D216">
        <v>2</v>
      </c>
      <c r="E216">
        <v>2</v>
      </c>
      <c r="F216">
        <v>420442</v>
      </c>
      <c r="G216">
        <v>420442</v>
      </c>
      <c r="H216" t="s">
        <v>90</v>
      </c>
      <c r="N216" t="s">
        <v>1189</v>
      </c>
      <c r="O216">
        <v>420442</v>
      </c>
      <c r="P216" t="s">
        <v>92</v>
      </c>
      <c r="Q216" t="s">
        <v>93</v>
      </c>
      <c r="R216" t="s">
        <v>1190</v>
      </c>
      <c r="V216" t="s">
        <v>1191</v>
      </c>
      <c r="W216" t="s">
        <v>1086</v>
      </c>
      <c r="X216" t="s">
        <v>1192</v>
      </c>
      <c r="Y216" t="s">
        <v>99</v>
      </c>
      <c r="AA216" t="s">
        <v>1189</v>
      </c>
      <c r="AB216" t="s">
        <v>1190</v>
      </c>
      <c r="AC216" t="s">
        <v>1193</v>
      </c>
      <c r="AH216" t="s">
        <v>1194</v>
      </c>
      <c r="AI216">
        <v>805</v>
      </c>
      <c r="AK216">
        <v>0</v>
      </c>
      <c r="AL216" s="1">
        <v>46001</v>
      </c>
      <c r="AM216">
        <v>50</v>
      </c>
      <c r="AN216">
        <v>1912081</v>
      </c>
      <c r="CH216">
        <v>461581025</v>
      </c>
    </row>
    <row r="217" spans="1:86" x14ac:dyDescent="0.25">
      <c r="A217">
        <v>572055</v>
      </c>
      <c r="B217">
        <v>102</v>
      </c>
      <c r="C217">
        <v>301095</v>
      </c>
      <c r="D217">
        <v>1</v>
      </c>
      <c r="E217">
        <v>1</v>
      </c>
      <c r="F217">
        <v>420443</v>
      </c>
      <c r="G217">
        <v>420443</v>
      </c>
      <c r="H217" t="s">
        <v>90</v>
      </c>
      <c r="N217" t="s">
        <v>1195</v>
      </c>
      <c r="O217">
        <v>420443</v>
      </c>
      <c r="P217" t="s">
        <v>92</v>
      </c>
      <c r="Q217" t="s">
        <v>93</v>
      </c>
      <c r="R217" t="s">
        <v>1190</v>
      </c>
      <c r="V217" t="s">
        <v>1191</v>
      </c>
      <c r="W217" t="s">
        <v>1086</v>
      </c>
      <c r="X217" t="s">
        <v>1192</v>
      </c>
      <c r="Y217" t="s">
        <v>99</v>
      </c>
      <c r="AA217" t="s">
        <v>1195</v>
      </c>
      <c r="AB217" t="s">
        <v>1190</v>
      </c>
      <c r="AC217" t="s">
        <v>1193</v>
      </c>
      <c r="AI217">
        <v>84</v>
      </c>
      <c r="AK217">
        <v>0</v>
      </c>
      <c r="AL217" s="1">
        <v>46021</v>
      </c>
      <c r="AM217">
        <v>84</v>
      </c>
      <c r="AN217">
        <v>1914932</v>
      </c>
      <c r="CH217">
        <v>461581025</v>
      </c>
    </row>
    <row r="218" spans="1:86" x14ac:dyDescent="0.25">
      <c r="A218">
        <v>572056</v>
      </c>
      <c r="B218">
        <v>102</v>
      </c>
      <c r="C218">
        <v>301096</v>
      </c>
      <c r="D218">
        <v>1</v>
      </c>
      <c r="E218">
        <v>1</v>
      </c>
      <c r="F218">
        <v>420459</v>
      </c>
      <c r="G218">
        <v>420459</v>
      </c>
      <c r="H218" t="s">
        <v>90</v>
      </c>
      <c r="N218" t="s">
        <v>1196</v>
      </c>
      <c r="O218">
        <v>4005260</v>
      </c>
      <c r="P218" t="s">
        <v>92</v>
      </c>
      <c r="Q218" t="s">
        <v>93</v>
      </c>
      <c r="R218" t="s">
        <v>1197</v>
      </c>
      <c r="S218" t="s">
        <v>1198</v>
      </c>
      <c r="V218" t="s">
        <v>1199</v>
      </c>
      <c r="W218" t="s">
        <v>153</v>
      </c>
      <c r="X218">
        <v>62863</v>
      </c>
      <c r="Y218" t="s">
        <v>99</v>
      </c>
      <c r="AA218" t="s">
        <v>1196</v>
      </c>
      <c r="AB218" t="s">
        <v>1197</v>
      </c>
      <c r="AC218" t="s">
        <v>1198</v>
      </c>
      <c r="AD218" t="s">
        <v>1200</v>
      </c>
      <c r="AI218">
        <v>730</v>
      </c>
      <c r="AK218">
        <v>0</v>
      </c>
      <c r="AL218" s="1">
        <v>45728</v>
      </c>
      <c r="AM218">
        <v>380</v>
      </c>
      <c r="AN218">
        <v>1870932</v>
      </c>
      <c r="AP218" s="1">
        <v>45854</v>
      </c>
      <c r="AQ218">
        <v>350</v>
      </c>
      <c r="AR218">
        <v>1890612</v>
      </c>
      <c r="CH218">
        <v>62863</v>
      </c>
    </row>
    <row r="219" spans="1:86" x14ac:dyDescent="0.25">
      <c r="A219">
        <v>572057</v>
      </c>
      <c r="B219">
        <v>102</v>
      </c>
      <c r="C219">
        <v>301097</v>
      </c>
      <c r="D219">
        <v>1</v>
      </c>
      <c r="E219">
        <v>1</v>
      </c>
      <c r="F219">
        <v>420516</v>
      </c>
      <c r="G219">
        <v>420516</v>
      </c>
      <c r="H219" t="s">
        <v>90</v>
      </c>
      <c r="N219" t="s">
        <v>1201</v>
      </c>
      <c r="O219">
        <v>4007169</v>
      </c>
      <c r="P219" t="s">
        <v>92</v>
      </c>
      <c r="Q219" t="s">
        <v>93</v>
      </c>
      <c r="R219" t="s">
        <v>1202</v>
      </c>
      <c r="S219" t="s">
        <v>1203</v>
      </c>
      <c r="V219" t="s">
        <v>1204</v>
      </c>
      <c r="W219" t="s">
        <v>153</v>
      </c>
      <c r="X219" t="s">
        <v>1205</v>
      </c>
      <c r="Y219" t="s">
        <v>99</v>
      </c>
      <c r="AA219" t="s">
        <v>1201</v>
      </c>
      <c r="AB219" t="s">
        <v>1202</v>
      </c>
      <c r="AC219" t="s">
        <v>1203</v>
      </c>
      <c r="AD219" t="s">
        <v>1206</v>
      </c>
      <c r="AI219">
        <v>380</v>
      </c>
      <c r="AK219">
        <v>0</v>
      </c>
      <c r="AL219" s="1">
        <v>45688</v>
      </c>
      <c r="AM219">
        <v>38</v>
      </c>
      <c r="AN219">
        <v>1864113</v>
      </c>
      <c r="AP219" s="1">
        <v>45719</v>
      </c>
      <c r="AQ219">
        <v>38</v>
      </c>
      <c r="AR219">
        <v>1869040</v>
      </c>
      <c r="AT219" s="1">
        <v>45744</v>
      </c>
      <c r="AU219">
        <v>38</v>
      </c>
      <c r="AV219">
        <v>1873345</v>
      </c>
      <c r="AX219" s="1">
        <v>45775</v>
      </c>
      <c r="AY219">
        <v>38</v>
      </c>
      <c r="AZ219">
        <v>1878567</v>
      </c>
      <c r="BB219" s="1">
        <v>45804</v>
      </c>
      <c r="BC219">
        <v>38</v>
      </c>
      <c r="BD219">
        <v>1883336</v>
      </c>
      <c r="BF219" s="1">
        <v>45831</v>
      </c>
      <c r="BG219">
        <v>38</v>
      </c>
      <c r="BH219">
        <v>1886318</v>
      </c>
      <c r="BJ219" s="1">
        <v>45856</v>
      </c>
      <c r="BK219">
        <v>38</v>
      </c>
      <c r="BL219">
        <v>1890739</v>
      </c>
      <c r="BN219" s="1">
        <v>45902</v>
      </c>
      <c r="BO219">
        <v>38</v>
      </c>
      <c r="BP219">
        <v>1897441</v>
      </c>
      <c r="BR219" s="1">
        <v>45944</v>
      </c>
      <c r="BS219">
        <v>38</v>
      </c>
      <c r="BT219">
        <v>1904475</v>
      </c>
      <c r="BV219" s="1">
        <v>45979</v>
      </c>
      <c r="BW219">
        <v>38</v>
      </c>
      <c r="BX219">
        <v>1910204</v>
      </c>
      <c r="CH219">
        <v>624504730</v>
      </c>
    </row>
    <row r="220" spans="1:86" x14ac:dyDescent="0.25">
      <c r="A220">
        <v>572058</v>
      </c>
      <c r="B220">
        <v>102</v>
      </c>
      <c r="C220">
        <v>301098</v>
      </c>
      <c r="D220">
        <v>1</v>
      </c>
      <c r="E220">
        <v>1</v>
      </c>
      <c r="F220">
        <v>420520</v>
      </c>
      <c r="G220">
        <v>420520</v>
      </c>
      <c r="H220" t="s">
        <v>90</v>
      </c>
      <c r="N220" t="s">
        <v>1207</v>
      </c>
      <c r="O220">
        <v>420520</v>
      </c>
      <c r="P220" t="s">
        <v>92</v>
      </c>
      <c r="Q220" t="s">
        <v>93</v>
      </c>
      <c r="R220" t="s">
        <v>1208</v>
      </c>
      <c r="V220" t="s">
        <v>1209</v>
      </c>
      <c r="W220" t="s">
        <v>1086</v>
      </c>
      <c r="X220" t="s">
        <v>1210</v>
      </c>
      <c r="Y220" t="s">
        <v>99</v>
      </c>
      <c r="AA220" t="s">
        <v>1207</v>
      </c>
      <c r="AB220" t="s">
        <v>1208</v>
      </c>
      <c r="AC220" t="s">
        <v>1211</v>
      </c>
      <c r="AH220" t="s">
        <v>1212</v>
      </c>
      <c r="AI220">
        <v>6430</v>
      </c>
      <c r="AK220">
        <v>0</v>
      </c>
      <c r="AL220" s="1">
        <v>45775</v>
      </c>
      <c r="AM220">
        <v>6430</v>
      </c>
      <c r="AN220">
        <v>1878560</v>
      </c>
      <c r="CH220">
        <v>475670538</v>
      </c>
    </row>
    <row r="221" spans="1:86" x14ac:dyDescent="0.25">
      <c r="A221">
        <v>572059</v>
      </c>
      <c r="B221">
        <v>102</v>
      </c>
      <c r="C221">
        <v>301099</v>
      </c>
      <c r="D221">
        <v>1</v>
      </c>
      <c r="E221">
        <v>1</v>
      </c>
      <c r="F221">
        <v>420526</v>
      </c>
      <c r="G221">
        <v>420526</v>
      </c>
      <c r="H221" t="s">
        <v>90</v>
      </c>
      <c r="N221" t="s">
        <v>1207</v>
      </c>
      <c r="O221">
        <v>4004423</v>
      </c>
      <c r="P221" t="s">
        <v>92</v>
      </c>
      <c r="Q221" t="s">
        <v>93</v>
      </c>
      <c r="R221" t="s">
        <v>1213</v>
      </c>
      <c r="S221" t="s">
        <v>1208</v>
      </c>
      <c r="V221" t="s">
        <v>1209</v>
      </c>
      <c r="W221" t="s">
        <v>1086</v>
      </c>
      <c r="X221" t="s">
        <v>1210</v>
      </c>
      <c r="Y221" t="s">
        <v>99</v>
      </c>
      <c r="AA221" t="s">
        <v>1207</v>
      </c>
      <c r="AB221" t="s">
        <v>1213</v>
      </c>
      <c r="AC221" t="s">
        <v>1208</v>
      </c>
      <c r="AD221" t="s">
        <v>1211</v>
      </c>
      <c r="AI221">
        <v>456</v>
      </c>
      <c r="AK221">
        <v>0</v>
      </c>
      <c r="AL221" s="1">
        <v>45660</v>
      </c>
      <c r="AM221">
        <v>38</v>
      </c>
      <c r="AN221">
        <v>1858789</v>
      </c>
      <c r="AP221" s="1">
        <v>45691</v>
      </c>
      <c r="AQ221">
        <v>38</v>
      </c>
      <c r="AR221">
        <v>1864017</v>
      </c>
      <c r="AT221" s="1">
        <v>45719</v>
      </c>
      <c r="AU221">
        <v>38</v>
      </c>
      <c r="AV221">
        <v>1868717</v>
      </c>
      <c r="AX221" s="1">
        <v>45750</v>
      </c>
      <c r="AY221">
        <v>38</v>
      </c>
      <c r="AZ221">
        <v>1873584</v>
      </c>
      <c r="BB221" s="1">
        <v>45780</v>
      </c>
      <c r="BC221">
        <v>38</v>
      </c>
      <c r="BD221">
        <v>1878761</v>
      </c>
      <c r="BF221" s="1">
        <v>45811</v>
      </c>
      <c r="BG221">
        <v>38</v>
      </c>
      <c r="BH221">
        <v>1883284</v>
      </c>
      <c r="BJ221" s="1">
        <v>45841</v>
      </c>
      <c r="BK221">
        <v>38</v>
      </c>
      <c r="BL221">
        <v>1888076</v>
      </c>
      <c r="BN221" s="1">
        <v>45872</v>
      </c>
      <c r="BO221">
        <v>38</v>
      </c>
      <c r="BP221">
        <v>1892749</v>
      </c>
      <c r="BR221" s="1">
        <v>45903</v>
      </c>
      <c r="BS221">
        <v>38</v>
      </c>
      <c r="BT221">
        <v>1897261</v>
      </c>
      <c r="BV221" s="1">
        <v>45933</v>
      </c>
      <c r="BW221">
        <v>38</v>
      </c>
      <c r="BX221">
        <v>1902052</v>
      </c>
      <c r="BZ221" s="1">
        <v>45964</v>
      </c>
      <c r="CA221">
        <v>38</v>
      </c>
      <c r="CB221">
        <v>1906405</v>
      </c>
      <c r="CD221" s="1">
        <v>45994</v>
      </c>
      <c r="CE221">
        <v>38</v>
      </c>
      <c r="CF221">
        <v>1911158</v>
      </c>
      <c r="CH221">
        <v>475670538</v>
      </c>
    </row>
    <row r="222" spans="1:86" x14ac:dyDescent="0.25">
      <c r="A222">
        <v>572060</v>
      </c>
      <c r="B222">
        <v>102</v>
      </c>
      <c r="C222">
        <v>301100</v>
      </c>
      <c r="D222">
        <v>1</v>
      </c>
      <c r="E222">
        <v>1</v>
      </c>
      <c r="F222">
        <v>420583</v>
      </c>
      <c r="G222">
        <v>0</v>
      </c>
      <c r="H222" t="s">
        <v>1214</v>
      </c>
      <c r="J222" t="s">
        <v>1215</v>
      </c>
      <c r="L222" t="s">
        <v>1216</v>
      </c>
      <c r="O222">
        <v>420583</v>
      </c>
      <c r="P222" t="s">
        <v>1215</v>
      </c>
      <c r="Q222" t="s">
        <v>93</v>
      </c>
      <c r="R222" t="s">
        <v>1217</v>
      </c>
      <c r="V222" t="s">
        <v>1218</v>
      </c>
      <c r="W222" t="s">
        <v>1086</v>
      </c>
      <c r="X222">
        <v>47715</v>
      </c>
      <c r="Y222" t="s">
        <v>99</v>
      </c>
      <c r="AA222" t="s">
        <v>1219</v>
      </c>
      <c r="AB222" t="s">
        <v>1217</v>
      </c>
      <c r="AC222" t="s">
        <v>1220</v>
      </c>
      <c r="AH222" t="s">
        <v>1221</v>
      </c>
      <c r="AI222">
        <v>456</v>
      </c>
      <c r="AK222">
        <v>0</v>
      </c>
      <c r="AL222" s="1">
        <v>45672</v>
      </c>
      <c r="AM222">
        <v>38</v>
      </c>
      <c r="AN222">
        <v>1860544</v>
      </c>
      <c r="AP222" s="1">
        <v>45703</v>
      </c>
      <c r="AQ222">
        <v>38</v>
      </c>
      <c r="AR222">
        <v>1865633</v>
      </c>
      <c r="AT222" s="1">
        <v>45731</v>
      </c>
      <c r="AU222">
        <v>38</v>
      </c>
      <c r="AV222">
        <v>1870073</v>
      </c>
      <c r="AX222" s="1">
        <v>45762</v>
      </c>
      <c r="AY222">
        <v>38</v>
      </c>
      <c r="AZ222">
        <v>1874865</v>
      </c>
      <c r="BB222" s="1">
        <v>45792</v>
      </c>
      <c r="BC222">
        <v>38</v>
      </c>
      <c r="BD222">
        <v>1879986</v>
      </c>
      <c r="BF222" s="1">
        <v>45823</v>
      </c>
      <c r="BG222">
        <v>38</v>
      </c>
      <c r="BH222">
        <v>1884640</v>
      </c>
      <c r="BJ222" s="1">
        <v>45853</v>
      </c>
      <c r="BK222">
        <v>38</v>
      </c>
      <c r="BL222">
        <v>1889383</v>
      </c>
      <c r="BN222" s="1">
        <v>45884</v>
      </c>
      <c r="BO222">
        <v>38</v>
      </c>
      <c r="BP222">
        <v>1894195</v>
      </c>
      <c r="BR222" s="1">
        <v>45915</v>
      </c>
      <c r="BS222">
        <v>38</v>
      </c>
      <c r="BT222">
        <v>1898633</v>
      </c>
      <c r="BV222" s="1">
        <v>45945</v>
      </c>
      <c r="BW222">
        <v>38</v>
      </c>
      <c r="BX222">
        <v>1903235</v>
      </c>
      <c r="BZ222" s="1">
        <v>45976</v>
      </c>
      <c r="CA222">
        <v>38</v>
      </c>
      <c r="CB222">
        <v>1907853</v>
      </c>
      <c r="CD222" s="1">
        <v>46006</v>
      </c>
      <c r="CE222">
        <v>38</v>
      </c>
      <c r="CF222">
        <v>1912608</v>
      </c>
      <c r="CH222">
        <v>47715</v>
      </c>
    </row>
    <row r="223" spans="1:86" x14ac:dyDescent="0.25">
      <c r="A223">
        <v>572061</v>
      </c>
      <c r="B223">
        <v>102</v>
      </c>
      <c r="C223">
        <v>301101</v>
      </c>
      <c r="D223">
        <v>1</v>
      </c>
      <c r="E223">
        <v>1</v>
      </c>
      <c r="F223">
        <v>420585</v>
      </c>
      <c r="G223">
        <v>420585</v>
      </c>
      <c r="H223" t="s">
        <v>90</v>
      </c>
      <c r="N223" t="s">
        <v>1222</v>
      </c>
      <c r="O223">
        <v>420585</v>
      </c>
      <c r="P223" t="s">
        <v>92</v>
      </c>
      <c r="Q223" t="s">
        <v>93</v>
      </c>
      <c r="R223" t="s">
        <v>1223</v>
      </c>
      <c r="V223" t="s">
        <v>1224</v>
      </c>
      <c r="W223" t="s">
        <v>153</v>
      </c>
      <c r="X223" t="s">
        <v>1225</v>
      </c>
      <c r="Y223" t="s">
        <v>99</v>
      </c>
      <c r="AA223" t="s">
        <v>1222</v>
      </c>
      <c r="AB223" t="s">
        <v>1223</v>
      </c>
      <c r="AC223" t="s">
        <v>1226</v>
      </c>
      <c r="AI223">
        <v>1064</v>
      </c>
      <c r="AK223">
        <v>0</v>
      </c>
      <c r="AL223" s="1">
        <v>45695</v>
      </c>
      <c r="AM223">
        <v>228</v>
      </c>
      <c r="AN223">
        <v>1864922</v>
      </c>
      <c r="AP223" s="1">
        <v>45695</v>
      </c>
      <c r="AQ223">
        <v>76</v>
      </c>
      <c r="AR223">
        <v>1864924</v>
      </c>
      <c r="AT223" s="1">
        <v>45723</v>
      </c>
      <c r="AU223">
        <v>76</v>
      </c>
      <c r="AV223">
        <v>1869743</v>
      </c>
      <c r="AX223" s="1">
        <v>45758</v>
      </c>
      <c r="AY223">
        <v>76</v>
      </c>
      <c r="AZ223">
        <v>1875512</v>
      </c>
      <c r="BB223" s="1">
        <v>45789</v>
      </c>
      <c r="BC223">
        <v>76</v>
      </c>
      <c r="BD223">
        <v>1880602</v>
      </c>
      <c r="BF223" s="1">
        <v>45826</v>
      </c>
      <c r="BG223">
        <v>76</v>
      </c>
      <c r="BH223">
        <v>1886429</v>
      </c>
      <c r="BJ223" s="1">
        <v>45854</v>
      </c>
      <c r="BK223">
        <v>76</v>
      </c>
      <c r="BL223">
        <v>1890720</v>
      </c>
      <c r="BN223" s="1">
        <v>45877</v>
      </c>
      <c r="BO223">
        <v>76</v>
      </c>
      <c r="BP223">
        <v>1893769</v>
      </c>
      <c r="BR223" s="1">
        <v>45912</v>
      </c>
      <c r="BS223">
        <v>76</v>
      </c>
      <c r="BT223">
        <v>1899202</v>
      </c>
      <c r="BV223" s="1">
        <v>45951</v>
      </c>
      <c r="BW223">
        <v>76</v>
      </c>
      <c r="BX223">
        <v>1905239</v>
      </c>
      <c r="BZ223" s="1">
        <v>45968</v>
      </c>
      <c r="CA223">
        <v>76</v>
      </c>
      <c r="CB223">
        <v>1908440</v>
      </c>
      <c r="CD223" s="1">
        <v>46014</v>
      </c>
      <c r="CE223">
        <v>76</v>
      </c>
      <c r="CF223">
        <v>1916342</v>
      </c>
      <c r="CH223">
        <v>624600316</v>
      </c>
    </row>
    <row r="224" spans="1:86" x14ac:dyDescent="0.25">
      <c r="A224">
        <v>572062</v>
      </c>
      <c r="B224">
        <v>102</v>
      </c>
      <c r="C224">
        <v>301102</v>
      </c>
      <c r="D224">
        <v>1</v>
      </c>
      <c r="E224">
        <v>1</v>
      </c>
      <c r="F224">
        <v>420586</v>
      </c>
      <c r="G224">
        <v>420586</v>
      </c>
      <c r="H224" t="s">
        <v>90</v>
      </c>
      <c r="N224" t="s">
        <v>1227</v>
      </c>
      <c r="O224">
        <v>420586</v>
      </c>
      <c r="P224" t="s">
        <v>92</v>
      </c>
      <c r="Q224" t="s">
        <v>93</v>
      </c>
      <c r="R224" t="s">
        <v>1223</v>
      </c>
      <c r="V224" t="s">
        <v>1224</v>
      </c>
      <c r="W224" t="s">
        <v>153</v>
      </c>
      <c r="X224" t="s">
        <v>1225</v>
      </c>
      <c r="Y224" t="s">
        <v>99</v>
      </c>
      <c r="AA224" t="s">
        <v>1227</v>
      </c>
      <c r="AB224" t="s">
        <v>1223</v>
      </c>
      <c r="AC224" t="s">
        <v>1226</v>
      </c>
      <c r="AI224">
        <v>532</v>
      </c>
      <c r="AK224">
        <v>0</v>
      </c>
      <c r="AL224" s="1">
        <v>45695</v>
      </c>
      <c r="AM224">
        <v>114</v>
      </c>
      <c r="AN224">
        <v>1864921</v>
      </c>
      <c r="AP224" s="1">
        <v>45695</v>
      </c>
      <c r="AQ224">
        <v>38</v>
      </c>
      <c r="AR224">
        <v>1864923</v>
      </c>
      <c r="AT224" s="1">
        <v>45723</v>
      </c>
      <c r="AU224">
        <v>38</v>
      </c>
      <c r="AV224">
        <v>1869744</v>
      </c>
      <c r="AX224" s="1">
        <v>45758</v>
      </c>
      <c r="AY224">
        <v>38</v>
      </c>
      <c r="AZ224">
        <v>1875511</v>
      </c>
      <c r="BB224" s="1">
        <v>45789</v>
      </c>
      <c r="BC224">
        <v>38</v>
      </c>
      <c r="BD224">
        <v>1880603</v>
      </c>
      <c r="BF224" s="1">
        <v>45826</v>
      </c>
      <c r="BG224">
        <v>38</v>
      </c>
      <c r="BH224">
        <v>1886428</v>
      </c>
      <c r="BJ224" s="1">
        <v>45854</v>
      </c>
      <c r="BK224">
        <v>38</v>
      </c>
      <c r="BL224">
        <v>1890719</v>
      </c>
      <c r="BN224" s="1">
        <v>45877</v>
      </c>
      <c r="BO224">
        <v>38</v>
      </c>
      <c r="BP224">
        <v>1893770</v>
      </c>
      <c r="BR224" s="1">
        <v>45912</v>
      </c>
      <c r="BS224">
        <v>38</v>
      </c>
      <c r="BT224">
        <v>1899201</v>
      </c>
      <c r="BV224" s="1">
        <v>45951</v>
      </c>
      <c r="BW224">
        <v>38</v>
      </c>
      <c r="BX224">
        <v>1905240</v>
      </c>
      <c r="BZ224" s="1">
        <v>45968</v>
      </c>
      <c r="CA224">
        <v>38</v>
      </c>
      <c r="CB224">
        <v>1908439</v>
      </c>
      <c r="CD224" s="1">
        <v>46014</v>
      </c>
      <c r="CE224">
        <v>38</v>
      </c>
      <c r="CF224">
        <v>1916341</v>
      </c>
      <c r="CH224">
        <v>624600316</v>
      </c>
    </row>
    <row r="225" spans="1:86" x14ac:dyDescent="0.25">
      <c r="A225">
        <v>572063</v>
      </c>
      <c r="B225">
        <v>102</v>
      </c>
      <c r="C225">
        <v>301103</v>
      </c>
      <c r="D225">
        <v>1</v>
      </c>
      <c r="E225">
        <v>1</v>
      </c>
      <c r="F225">
        <v>420611</v>
      </c>
      <c r="G225">
        <v>420611</v>
      </c>
      <c r="H225" t="s">
        <v>90</v>
      </c>
      <c r="N225" t="s">
        <v>1228</v>
      </c>
      <c r="O225">
        <v>4004426</v>
      </c>
      <c r="P225" t="s">
        <v>92</v>
      </c>
      <c r="Q225" t="s">
        <v>93</v>
      </c>
      <c r="R225" t="s">
        <v>1229</v>
      </c>
      <c r="S225" t="s">
        <v>1230</v>
      </c>
      <c r="V225" t="s">
        <v>1133</v>
      </c>
      <c r="W225" t="s">
        <v>153</v>
      </c>
      <c r="X225" t="s">
        <v>1231</v>
      </c>
      <c r="Y225" t="s">
        <v>99</v>
      </c>
      <c r="AA225" t="s">
        <v>1228</v>
      </c>
      <c r="AB225" t="s">
        <v>1229</v>
      </c>
      <c r="AC225" t="s">
        <v>1230</v>
      </c>
      <c r="AD225" t="s">
        <v>1232</v>
      </c>
      <c r="AH225" t="s">
        <v>1233</v>
      </c>
      <c r="AI225">
        <v>1392</v>
      </c>
      <c r="AK225">
        <v>0</v>
      </c>
      <c r="AL225" s="1">
        <v>45670</v>
      </c>
      <c r="AM225">
        <v>116</v>
      </c>
      <c r="AN225">
        <v>1861788</v>
      </c>
      <c r="AP225" s="1">
        <v>45691</v>
      </c>
      <c r="AQ225">
        <v>116</v>
      </c>
      <c r="AR225">
        <v>1864289</v>
      </c>
      <c r="AT225" s="1">
        <v>45702</v>
      </c>
      <c r="AU225">
        <v>116</v>
      </c>
      <c r="AV225">
        <v>1866746</v>
      </c>
      <c r="AX225" s="1">
        <v>45730</v>
      </c>
      <c r="AY225">
        <v>116</v>
      </c>
      <c r="AZ225">
        <v>1871049</v>
      </c>
      <c r="BB225" s="1">
        <v>45772</v>
      </c>
      <c r="BC225">
        <v>116</v>
      </c>
      <c r="BD225">
        <v>1878536</v>
      </c>
      <c r="BF225" s="1">
        <v>45824</v>
      </c>
      <c r="BG225">
        <v>116</v>
      </c>
      <c r="BH225">
        <v>1885340</v>
      </c>
      <c r="BJ225" s="1">
        <v>45877</v>
      </c>
      <c r="BK225">
        <v>116</v>
      </c>
      <c r="BL225">
        <v>1893710</v>
      </c>
      <c r="BN225" s="1">
        <v>45877</v>
      </c>
      <c r="BO225">
        <v>116</v>
      </c>
      <c r="BP225">
        <v>1893711</v>
      </c>
      <c r="BR225" s="1">
        <v>45905</v>
      </c>
      <c r="BS225">
        <v>116</v>
      </c>
      <c r="BT225">
        <v>1897906</v>
      </c>
      <c r="BV225" s="1">
        <v>45937</v>
      </c>
      <c r="BW225">
        <v>116</v>
      </c>
      <c r="BX225">
        <v>1902582</v>
      </c>
      <c r="BZ225" s="1">
        <v>45965</v>
      </c>
      <c r="CA225">
        <v>116</v>
      </c>
      <c r="CB225">
        <v>1907048</v>
      </c>
      <c r="CD225" s="1">
        <v>46010</v>
      </c>
      <c r="CE225">
        <v>116</v>
      </c>
      <c r="CF225">
        <v>1916192</v>
      </c>
      <c r="CH225">
        <v>624664418</v>
      </c>
    </row>
    <row r="226" spans="1:86" x14ac:dyDescent="0.25">
      <c r="A226">
        <v>572064</v>
      </c>
      <c r="B226">
        <v>102</v>
      </c>
      <c r="C226">
        <v>301104</v>
      </c>
      <c r="D226">
        <v>1</v>
      </c>
      <c r="E226">
        <v>1</v>
      </c>
      <c r="F226">
        <v>420636</v>
      </c>
      <c r="G226">
        <v>420636</v>
      </c>
      <c r="H226" t="s">
        <v>90</v>
      </c>
      <c r="N226" t="s">
        <v>1234</v>
      </c>
      <c r="O226">
        <v>420636</v>
      </c>
      <c r="P226" t="s">
        <v>92</v>
      </c>
      <c r="Q226" t="s">
        <v>93</v>
      </c>
      <c r="R226" t="s">
        <v>1235</v>
      </c>
      <c r="V226" t="s">
        <v>1236</v>
      </c>
      <c r="W226" t="s">
        <v>1086</v>
      </c>
      <c r="X226" t="s">
        <v>1237</v>
      </c>
      <c r="Y226" t="s">
        <v>99</v>
      </c>
      <c r="AA226" t="s">
        <v>1234</v>
      </c>
      <c r="AB226" t="s">
        <v>1235</v>
      </c>
      <c r="AC226" t="s">
        <v>1238</v>
      </c>
      <c r="AI226">
        <v>960</v>
      </c>
      <c r="AK226">
        <v>0</v>
      </c>
      <c r="AL226" s="1">
        <v>45688</v>
      </c>
      <c r="AM226">
        <v>80</v>
      </c>
      <c r="AN226">
        <v>1863942</v>
      </c>
      <c r="AP226" s="1">
        <v>45716</v>
      </c>
      <c r="AQ226">
        <v>80</v>
      </c>
      <c r="AR226">
        <v>1869008</v>
      </c>
      <c r="AT226" s="1">
        <v>45744</v>
      </c>
      <c r="AU226">
        <v>80</v>
      </c>
      <c r="AV226">
        <v>1873288</v>
      </c>
      <c r="AX226" s="1">
        <v>45775</v>
      </c>
      <c r="AY226">
        <v>80</v>
      </c>
      <c r="AZ226">
        <v>1878571</v>
      </c>
      <c r="BB226" s="1">
        <v>45807</v>
      </c>
      <c r="BC226">
        <v>80</v>
      </c>
      <c r="BD226">
        <v>1883420</v>
      </c>
      <c r="BF226" s="1">
        <v>45841</v>
      </c>
      <c r="BG226">
        <v>80</v>
      </c>
      <c r="BH226">
        <v>1888784</v>
      </c>
      <c r="BJ226" s="1">
        <v>45867</v>
      </c>
      <c r="BK226">
        <v>80</v>
      </c>
      <c r="BL226">
        <v>1891889</v>
      </c>
      <c r="BN226" s="1">
        <v>45902</v>
      </c>
      <c r="BO226">
        <v>80</v>
      </c>
      <c r="BP226">
        <v>1897475</v>
      </c>
      <c r="BR226" s="1">
        <v>45930</v>
      </c>
      <c r="BS226">
        <v>80</v>
      </c>
      <c r="BT226">
        <v>1901855</v>
      </c>
      <c r="BV226" s="1">
        <v>45958</v>
      </c>
      <c r="BW226">
        <v>80</v>
      </c>
      <c r="BX226">
        <v>1906651</v>
      </c>
      <c r="BZ226" s="1">
        <v>45987</v>
      </c>
      <c r="CA226">
        <v>80</v>
      </c>
      <c r="CB226">
        <v>1911510</v>
      </c>
      <c r="CD226" s="1">
        <v>46021</v>
      </c>
      <c r="CE226">
        <v>80</v>
      </c>
      <c r="CF226">
        <v>1916731</v>
      </c>
      <c r="CH226">
        <v>478033889</v>
      </c>
    </row>
    <row r="227" spans="1:86" x14ac:dyDescent="0.25">
      <c r="A227">
        <v>572065</v>
      </c>
      <c r="B227">
        <v>102</v>
      </c>
      <c r="C227">
        <v>301105</v>
      </c>
      <c r="D227">
        <v>1</v>
      </c>
      <c r="E227">
        <v>1</v>
      </c>
      <c r="F227">
        <v>420669</v>
      </c>
      <c r="G227">
        <v>420669</v>
      </c>
      <c r="H227" t="s">
        <v>90</v>
      </c>
      <c r="N227" t="s">
        <v>1239</v>
      </c>
      <c r="O227">
        <v>4011130</v>
      </c>
      <c r="P227" t="s">
        <v>92</v>
      </c>
      <c r="Q227" t="s">
        <v>93</v>
      </c>
      <c r="R227" t="s">
        <v>1240</v>
      </c>
      <c r="V227" t="s">
        <v>1241</v>
      </c>
      <c r="W227" t="s">
        <v>1086</v>
      </c>
      <c r="X227">
        <v>47591</v>
      </c>
      <c r="Y227" t="s">
        <v>99</v>
      </c>
      <c r="AA227" t="s">
        <v>1239</v>
      </c>
      <c r="AB227" t="s">
        <v>1240</v>
      </c>
      <c r="AC227" t="s">
        <v>1242</v>
      </c>
      <c r="AI227">
        <v>342</v>
      </c>
      <c r="AK227">
        <v>0</v>
      </c>
      <c r="AL227" s="1">
        <v>45679</v>
      </c>
      <c r="AM227">
        <v>38</v>
      </c>
      <c r="AN227">
        <v>1862118</v>
      </c>
      <c r="AP227" s="1">
        <v>45702</v>
      </c>
      <c r="AQ227">
        <v>38</v>
      </c>
      <c r="AR227">
        <v>1866686</v>
      </c>
      <c r="AT227" s="1">
        <v>45796</v>
      </c>
      <c r="AU227">
        <v>38</v>
      </c>
      <c r="AV227">
        <v>1882336</v>
      </c>
      <c r="AX227" s="1">
        <v>45796</v>
      </c>
      <c r="AY227">
        <v>114</v>
      </c>
      <c r="AZ227">
        <v>1882337</v>
      </c>
      <c r="BB227" s="1">
        <v>45933</v>
      </c>
      <c r="BC227">
        <v>114</v>
      </c>
      <c r="BD227">
        <v>1902381</v>
      </c>
      <c r="CH227">
        <v>47591</v>
      </c>
    </row>
    <row r="228" spans="1:86" x14ac:dyDescent="0.25">
      <c r="A228">
        <v>572066</v>
      </c>
      <c r="B228">
        <v>102</v>
      </c>
      <c r="C228">
        <v>301106</v>
      </c>
      <c r="D228">
        <v>1</v>
      </c>
      <c r="E228">
        <v>1</v>
      </c>
      <c r="F228">
        <v>420671</v>
      </c>
      <c r="G228">
        <v>420671</v>
      </c>
      <c r="H228" t="s">
        <v>90</v>
      </c>
      <c r="N228" t="s">
        <v>1243</v>
      </c>
      <c r="O228">
        <v>4004429</v>
      </c>
      <c r="P228" t="s">
        <v>92</v>
      </c>
      <c r="Q228" t="s">
        <v>93</v>
      </c>
      <c r="R228" t="s">
        <v>1244</v>
      </c>
      <c r="S228" t="s">
        <v>1245</v>
      </c>
      <c r="V228" t="s">
        <v>1246</v>
      </c>
      <c r="W228" t="s">
        <v>1086</v>
      </c>
      <c r="X228" t="s">
        <v>1247</v>
      </c>
      <c r="Y228" t="s">
        <v>99</v>
      </c>
      <c r="AA228" t="s">
        <v>1243</v>
      </c>
      <c r="AB228" t="s">
        <v>1244</v>
      </c>
      <c r="AC228" t="s">
        <v>1245</v>
      </c>
      <c r="AD228" t="s">
        <v>1248</v>
      </c>
      <c r="AI228">
        <v>684</v>
      </c>
      <c r="AK228">
        <v>0</v>
      </c>
      <c r="AL228" s="1">
        <v>45733</v>
      </c>
      <c r="AM228">
        <v>304</v>
      </c>
      <c r="AN228">
        <v>1870991</v>
      </c>
      <c r="AP228" s="1">
        <v>45979</v>
      </c>
      <c r="AQ228">
        <v>380</v>
      </c>
      <c r="AR228">
        <v>1910162</v>
      </c>
      <c r="CH228">
        <v>475012852</v>
      </c>
    </row>
    <row r="229" spans="1:86" x14ac:dyDescent="0.25">
      <c r="A229">
        <v>572067</v>
      </c>
      <c r="B229">
        <v>102</v>
      </c>
      <c r="C229">
        <v>301107</v>
      </c>
      <c r="D229">
        <v>1</v>
      </c>
      <c r="E229">
        <v>1</v>
      </c>
      <c r="F229">
        <v>420706</v>
      </c>
      <c r="G229">
        <v>420706</v>
      </c>
      <c r="H229" t="s">
        <v>90</v>
      </c>
      <c r="N229" t="s">
        <v>1249</v>
      </c>
      <c r="O229">
        <v>420706</v>
      </c>
      <c r="P229" t="s">
        <v>92</v>
      </c>
      <c r="Q229" t="s">
        <v>93</v>
      </c>
      <c r="R229" t="s">
        <v>1250</v>
      </c>
      <c r="V229" t="s">
        <v>1251</v>
      </c>
      <c r="W229" t="s">
        <v>1086</v>
      </c>
      <c r="X229">
        <v>46060</v>
      </c>
      <c r="Y229" t="s">
        <v>99</v>
      </c>
      <c r="AA229" t="s">
        <v>1249</v>
      </c>
      <c r="AB229" t="s">
        <v>1250</v>
      </c>
      <c r="AC229" t="s">
        <v>1252</v>
      </c>
      <c r="AI229">
        <v>912</v>
      </c>
      <c r="AK229">
        <v>0</v>
      </c>
      <c r="AL229" s="1">
        <v>45658</v>
      </c>
      <c r="AM229">
        <v>76</v>
      </c>
      <c r="AN229">
        <v>1858530</v>
      </c>
      <c r="AP229" s="1">
        <v>45689</v>
      </c>
      <c r="AQ229">
        <v>76</v>
      </c>
      <c r="AR229">
        <v>1863698</v>
      </c>
      <c r="AT229" s="1">
        <v>45717</v>
      </c>
      <c r="AU229">
        <v>76</v>
      </c>
      <c r="AV229">
        <v>1868479</v>
      </c>
      <c r="AX229" s="1">
        <v>45748</v>
      </c>
      <c r="AY229">
        <v>76</v>
      </c>
      <c r="AZ229">
        <v>1873060</v>
      </c>
      <c r="BB229" s="1">
        <v>45778</v>
      </c>
      <c r="BC229">
        <v>76</v>
      </c>
      <c r="BD229">
        <v>1878300</v>
      </c>
      <c r="BF229" s="1">
        <v>45809</v>
      </c>
      <c r="BG229">
        <v>76</v>
      </c>
      <c r="BH229">
        <v>1883038</v>
      </c>
      <c r="BJ229" s="1">
        <v>45839</v>
      </c>
      <c r="BK229">
        <v>76</v>
      </c>
      <c r="BL229">
        <v>1887573</v>
      </c>
      <c r="BN229" s="1">
        <v>45870</v>
      </c>
      <c r="BO229">
        <v>76</v>
      </c>
      <c r="BP229">
        <v>1892499</v>
      </c>
      <c r="BR229" s="1">
        <v>45901</v>
      </c>
      <c r="BS229">
        <v>76</v>
      </c>
      <c r="BT229">
        <v>1897005</v>
      </c>
      <c r="BV229" s="1">
        <v>45931</v>
      </c>
      <c r="BW229">
        <v>76</v>
      </c>
      <c r="BX229">
        <v>1901608</v>
      </c>
      <c r="BZ229" s="1">
        <v>45962</v>
      </c>
      <c r="CA229">
        <v>76</v>
      </c>
      <c r="CB229">
        <v>1906158</v>
      </c>
      <c r="CD229" s="1">
        <v>45992</v>
      </c>
      <c r="CE229">
        <v>76</v>
      </c>
      <c r="CF229">
        <v>1910839</v>
      </c>
      <c r="CH229">
        <v>46060</v>
      </c>
    </row>
    <row r="230" spans="1:86" x14ac:dyDescent="0.25">
      <c r="A230">
        <v>572068</v>
      </c>
      <c r="B230">
        <v>102</v>
      </c>
      <c r="C230">
        <v>301108</v>
      </c>
      <c r="D230">
        <v>1</v>
      </c>
      <c r="E230">
        <v>1</v>
      </c>
      <c r="F230">
        <v>530032</v>
      </c>
      <c r="G230">
        <v>530032</v>
      </c>
      <c r="H230" t="s">
        <v>90</v>
      </c>
      <c r="N230" t="s">
        <v>1253</v>
      </c>
      <c r="O230">
        <v>4006649</v>
      </c>
      <c r="P230" t="s">
        <v>92</v>
      </c>
      <c r="Q230" t="s">
        <v>93</v>
      </c>
      <c r="R230" t="s">
        <v>1254</v>
      </c>
      <c r="V230" t="s">
        <v>1255</v>
      </c>
      <c r="Y230" t="s">
        <v>1256</v>
      </c>
      <c r="AA230" t="s">
        <v>1253</v>
      </c>
      <c r="AB230" t="s">
        <v>1254</v>
      </c>
      <c r="AC230" t="s">
        <v>1257</v>
      </c>
      <c r="AD230" t="s">
        <v>1258</v>
      </c>
      <c r="AH230" t="s">
        <v>1259</v>
      </c>
      <c r="AI230">
        <v>911.96</v>
      </c>
      <c r="AK230">
        <v>0</v>
      </c>
      <c r="AL230" s="1">
        <v>45663</v>
      </c>
      <c r="AM230">
        <v>76</v>
      </c>
      <c r="AN230">
        <v>1859193</v>
      </c>
      <c r="AP230" s="1">
        <v>45700</v>
      </c>
      <c r="AQ230">
        <v>70</v>
      </c>
      <c r="AR230">
        <v>1866583</v>
      </c>
      <c r="AT230" s="1">
        <v>45721</v>
      </c>
      <c r="AU230">
        <v>76</v>
      </c>
      <c r="AV230">
        <v>1869273</v>
      </c>
      <c r="AX230" s="1">
        <v>45756</v>
      </c>
      <c r="AY230">
        <v>76</v>
      </c>
      <c r="AZ230">
        <v>1874388</v>
      </c>
      <c r="BB230" s="1">
        <v>45786</v>
      </c>
      <c r="BC230">
        <v>76</v>
      </c>
      <c r="BD230">
        <v>1880385</v>
      </c>
      <c r="BF230" s="1">
        <v>45813</v>
      </c>
      <c r="BG230">
        <v>76</v>
      </c>
      <c r="BH230">
        <v>1883798</v>
      </c>
      <c r="BJ230" s="1">
        <v>45847</v>
      </c>
      <c r="BK230">
        <v>76</v>
      </c>
      <c r="BL230">
        <v>1888880</v>
      </c>
      <c r="BN230" s="1">
        <v>45875</v>
      </c>
      <c r="BO230">
        <v>77.959999999999994</v>
      </c>
      <c r="BP230">
        <v>1893946</v>
      </c>
      <c r="BR230" s="1">
        <v>45909</v>
      </c>
      <c r="BS230">
        <v>76</v>
      </c>
      <c r="BT230">
        <v>1898297</v>
      </c>
      <c r="BV230" s="1">
        <v>45939</v>
      </c>
      <c r="BW230">
        <v>76</v>
      </c>
      <c r="BX230">
        <v>1902888</v>
      </c>
      <c r="BZ230" s="1">
        <v>45966</v>
      </c>
      <c r="CA230">
        <v>76</v>
      </c>
      <c r="CB230">
        <v>1907163</v>
      </c>
      <c r="CD230" s="1">
        <v>45995</v>
      </c>
      <c r="CE230">
        <v>80</v>
      </c>
      <c r="CF230">
        <v>1911907</v>
      </c>
    </row>
    <row r="231" spans="1:86" x14ac:dyDescent="0.25">
      <c r="A231">
        <v>572069</v>
      </c>
      <c r="B231">
        <v>102</v>
      </c>
      <c r="C231">
        <v>301109</v>
      </c>
      <c r="D231">
        <v>1</v>
      </c>
      <c r="E231">
        <v>1</v>
      </c>
      <c r="F231">
        <v>531080</v>
      </c>
      <c r="G231">
        <v>531080</v>
      </c>
      <c r="H231" t="s">
        <v>90</v>
      </c>
      <c r="N231" t="s">
        <v>1260</v>
      </c>
      <c r="O231">
        <v>531080</v>
      </c>
      <c r="P231" t="s">
        <v>92</v>
      </c>
      <c r="Q231" t="s">
        <v>93</v>
      </c>
      <c r="R231" t="s">
        <v>1261</v>
      </c>
      <c r="V231" t="s">
        <v>1262</v>
      </c>
      <c r="X231" t="s">
        <v>1263</v>
      </c>
      <c r="Y231" t="s">
        <v>1264</v>
      </c>
      <c r="AA231" t="s">
        <v>1260</v>
      </c>
      <c r="AB231" t="s">
        <v>1261</v>
      </c>
      <c r="AC231" t="s">
        <v>1265</v>
      </c>
      <c r="AD231" t="s">
        <v>1266</v>
      </c>
      <c r="AI231">
        <v>360</v>
      </c>
      <c r="AK231">
        <v>0</v>
      </c>
      <c r="AL231" s="1">
        <v>45770</v>
      </c>
      <c r="AM231">
        <v>120</v>
      </c>
      <c r="AN231">
        <v>1877666</v>
      </c>
      <c r="AP231" s="1">
        <v>45838</v>
      </c>
      <c r="AQ231">
        <v>30</v>
      </c>
      <c r="AR231">
        <v>1887758</v>
      </c>
      <c r="AT231" s="1">
        <v>45838</v>
      </c>
      <c r="AU231">
        <v>30</v>
      </c>
      <c r="AV231">
        <v>1887769</v>
      </c>
      <c r="AX231" s="1">
        <v>45945</v>
      </c>
      <c r="AY231">
        <v>30</v>
      </c>
      <c r="AZ231">
        <v>1905052</v>
      </c>
      <c r="BB231" s="1">
        <v>45945</v>
      </c>
      <c r="BC231">
        <v>30</v>
      </c>
      <c r="BD231">
        <v>1905062</v>
      </c>
      <c r="BF231" s="1">
        <v>45945</v>
      </c>
      <c r="BG231">
        <v>30</v>
      </c>
      <c r="BH231">
        <v>1905072</v>
      </c>
      <c r="BJ231" s="1">
        <v>45945</v>
      </c>
      <c r="BK231">
        <v>30</v>
      </c>
      <c r="BL231">
        <v>1905082</v>
      </c>
      <c r="BN231" s="1">
        <v>46006</v>
      </c>
      <c r="BO231">
        <v>30</v>
      </c>
      <c r="BP231">
        <v>1913674</v>
      </c>
      <c r="BR231" s="1">
        <v>46006</v>
      </c>
      <c r="BS231">
        <v>30</v>
      </c>
      <c r="BT231">
        <v>1913686</v>
      </c>
    </row>
    <row r="232" spans="1:86" x14ac:dyDescent="0.25">
      <c r="A232">
        <v>572070</v>
      </c>
      <c r="B232">
        <v>102</v>
      </c>
      <c r="C232">
        <v>301110</v>
      </c>
      <c r="D232">
        <v>1</v>
      </c>
      <c r="E232">
        <v>2</v>
      </c>
      <c r="F232">
        <v>550221</v>
      </c>
      <c r="G232">
        <v>550221</v>
      </c>
      <c r="H232" t="s">
        <v>90</v>
      </c>
      <c r="N232" t="s">
        <v>1267</v>
      </c>
      <c r="O232">
        <v>4004436</v>
      </c>
      <c r="P232" t="s">
        <v>92</v>
      </c>
      <c r="Q232" t="s">
        <v>93</v>
      </c>
      <c r="R232" t="s">
        <v>1268</v>
      </c>
      <c r="S232" t="s">
        <v>1269</v>
      </c>
      <c r="V232" t="s">
        <v>1270</v>
      </c>
      <c r="W232" t="s">
        <v>959</v>
      </c>
      <c r="X232" t="s">
        <v>1271</v>
      </c>
      <c r="Y232" t="s">
        <v>99</v>
      </c>
      <c r="AA232" t="s">
        <v>1267</v>
      </c>
      <c r="AB232" t="s">
        <v>1268</v>
      </c>
      <c r="AC232" t="s">
        <v>1269</v>
      </c>
      <c r="AD232" t="s">
        <v>1272</v>
      </c>
      <c r="AH232" t="s">
        <v>1273</v>
      </c>
      <c r="AI232">
        <v>1458</v>
      </c>
      <c r="AK232">
        <v>0</v>
      </c>
      <c r="AL232" s="1">
        <v>45676</v>
      </c>
      <c r="AM232">
        <v>114</v>
      </c>
      <c r="AN232">
        <v>1861324</v>
      </c>
      <c r="AP232" s="1">
        <v>45707</v>
      </c>
      <c r="AQ232">
        <v>114</v>
      </c>
      <c r="AR232">
        <v>1866213</v>
      </c>
      <c r="AT232" s="1">
        <v>45735</v>
      </c>
      <c r="AU232">
        <v>114</v>
      </c>
      <c r="AV232">
        <v>1871151</v>
      </c>
      <c r="AX232" s="1">
        <v>45766</v>
      </c>
      <c r="AY232">
        <v>114</v>
      </c>
      <c r="AZ232">
        <v>1875958</v>
      </c>
      <c r="BB232" s="1">
        <v>45796</v>
      </c>
      <c r="BC232">
        <v>114</v>
      </c>
      <c r="BD232">
        <v>1880985</v>
      </c>
      <c r="BF232" s="1">
        <v>45827</v>
      </c>
      <c r="BG232">
        <v>114</v>
      </c>
      <c r="BH232">
        <v>1885684</v>
      </c>
      <c r="BJ232" s="1">
        <v>45857</v>
      </c>
      <c r="BK232">
        <v>114</v>
      </c>
      <c r="BL232">
        <v>1890373</v>
      </c>
      <c r="BN232" s="1">
        <v>45888</v>
      </c>
      <c r="BO232">
        <v>114</v>
      </c>
      <c r="BP232">
        <v>1895022</v>
      </c>
      <c r="BR232" s="1">
        <v>45919</v>
      </c>
      <c r="BS232">
        <v>114</v>
      </c>
      <c r="BT232">
        <v>1899708</v>
      </c>
      <c r="BV232" s="1">
        <v>45949</v>
      </c>
      <c r="BW232">
        <v>114</v>
      </c>
      <c r="BX232">
        <v>1904078</v>
      </c>
      <c r="BZ232" s="1">
        <v>45960</v>
      </c>
      <c r="CA232">
        <v>90</v>
      </c>
      <c r="CB232">
        <v>1905612</v>
      </c>
      <c r="CD232" s="1">
        <v>45980</v>
      </c>
      <c r="CE232">
        <v>114</v>
      </c>
      <c r="CF232">
        <v>1908864</v>
      </c>
      <c r="CH232">
        <v>265545082</v>
      </c>
    </row>
    <row r="233" spans="1:86" x14ac:dyDescent="0.25">
      <c r="A233">
        <v>572071</v>
      </c>
      <c r="B233">
        <v>102</v>
      </c>
      <c r="C233">
        <v>301110</v>
      </c>
      <c r="D233">
        <v>2</v>
      </c>
      <c r="E233">
        <v>2</v>
      </c>
      <c r="F233">
        <v>550221</v>
      </c>
      <c r="G233">
        <v>550221</v>
      </c>
      <c r="H233" t="s">
        <v>90</v>
      </c>
      <c r="N233" t="s">
        <v>1267</v>
      </c>
      <c r="O233">
        <v>4004436</v>
      </c>
      <c r="P233" t="s">
        <v>92</v>
      </c>
      <c r="Q233" t="s">
        <v>93</v>
      </c>
      <c r="R233" t="s">
        <v>1268</v>
      </c>
      <c r="S233" t="s">
        <v>1269</v>
      </c>
      <c r="V233" t="s">
        <v>1270</v>
      </c>
      <c r="W233" t="s">
        <v>959</v>
      </c>
      <c r="X233" t="s">
        <v>1271</v>
      </c>
      <c r="Y233" t="s">
        <v>99</v>
      </c>
      <c r="AA233" t="s">
        <v>1267</v>
      </c>
      <c r="AB233" t="s">
        <v>1268</v>
      </c>
      <c r="AC233" t="s">
        <v>1269</v>
      </c>
      <c r="AD233" t="s">
        <v>1272</v>
      </c>
      <c r="AH233" t="s">
        <v>1273</v>
      </c>
      <c r="AI233">
        <v>1458</v>
      </c>
      <c r="AK233">
        <v>0</v>
      </c>
      <c r="AL233" s="1">
        <v>46010</v>
      </c>
      <c r="AM233">
        <v>114</v>
      </c>
      <c r="AN233">
        <v>1913736</v>
      </c>
      <c r="CH233">
        <v>265545082</v>
      </c>
    </row>
    <row r="234" spans="1:86" x14ac:dyDescent="0.25">
      <c r="A234">
        <v>572072</v>
      </c>
      <c r="B234">
        <v>102</v>
      </c>
      <c r="C234">
        <v>301111</v>
      </c>
      <c r="D234">
        <v>1</v>
      </c>
      <c r="E234">
        <v>1</v>
      </c>
      <c r="F234">
        <v>550224</v>
      </c>
      <c r="G234">
        <v>550224</v>
      </c>
      <c r="H234" t="s">
        <v>90</v>
      </c>
      <c r="N234" t="s">
        <v>1274</v>
      </c>
      <c r="O234">
        <v>4004437</v>
      </c>
      <c r="P234" t="s">
        <v>92</v>
      </c>
      <c r="Q234" t="s">
        <v>93</v>
      </c>
      <c r="R234" t="s">
        <v>1275</v>
      </c>
      <c r="S234" t="s">
        <v>1276</v>
      </c>
      <c r="V234" t="s">
        <v>1270</v>
      </c>
      <c r="W234" t="s">
        <v>959</v>
      </c>
      <c r="X234" t="s">
        <v>1277</v>
      </c>
      <c r="Y234" t="s">
        <v>99</v>
      </c>
      <c r="AA234" t="s">
        <v>1274</v>
      </c>
      <c r="AB234" t="s">
        <v>1275</v>
      </c>
      <c r="AC234" t="s">
        <v>1276</v>
      </c>
      <c r="AD234" t="s">
        <v>1278</v>
      </c>
      <c r="AI234">
        <v>456</v>
      </c>
      <c r="AK234">
        <v>0</v>
      </c>
      <c r="AL234" s="1">
        <v>45667</v>
      </c>
      <c r="AM234">
        <v>114</v>
      </c>
      <c r="AN234">
        <v>1861392</v>
      </c>
      <c r="AP234" s="1">
        <v>45772</v>
      </c>
      <c r="AQ234">
        <v>114</v>
      </c>
      <c r="AR234">
        <v>1878530</v>
      </c>
      <c r="AT234" s="1">
        <v>45863</v>
      </c>
      <c r="AU234">
        <v>114</v>
      </c>
      <c r="AV234">
        <v>1891836</v>
      </c>
      <c r="AX234" s="1">
        <v>45954</v>
      </c>
      <c r="AY234">
        <v>114</v>
      </c>
      <c r="AZ234">
        <v>1906601</v>
      </c>
      <c r="CH234">
        <v>265544336</v>
      </c>
    </row>
    <row r="235" spans="1:86" x14ac:dyDescent="0.25">
      <c r="A235">
        <v>572073</v>
      </c>
      <c r="B235">
        <v>102</v>
      </c>
      <c r="C235">
        <v>301112</v>
      </c>
      <c r="D235">
        <v>1</v>
      </c>
      <c r="E235">
        <v>2</v>
      </c>
      <c r="F235">
        <v>550272</v>
      </c>
      <c r="G235">
        <v>550272</v>
      </c>
      <c r="H235" t="s">
        <v>90</v>
      </c>
      <c r="N235" t="s">
        <v>1279</v>
      </c>
      <c r="O235">
        <v>550272</v>
      </c>
      <c r="P235" t="s">
        <v>92</v>
      </c>
      <c r="Q235" t="s">
        <v>93</v>
      </c>
      <c r="R235" t="s">
        <v>1280</v>
      </c>
      <c r="V235" t="s">
        <v>1281</v>
      </c>
      <c r="W235" t="s">
        <v>959</v>
      </c>
      <c r="X235" t="s">
        <v>1282</v>
      </c>
      <c r="Y235" t="s">
        <v>99</v>
      </c>
      <c r="AA235" t="s">
        <v>1279</v>
      </c>
      <c r="AB235" t="s">
        <v>1280</v>
      </c>
      <c r="AC235" t="s">
        <v>1283</v>
      </c>
      <c r="AI235">
        <v>646</v>
      </c>
      <c r="AK235">
        <v>0</v>
      </c>
      <c r="AL235" s="1">
        <v>45707</v>
      </c>
      <c r="AM235">
        <v>38</v>
      </c>
      <c r="AN235">
        <v>1866793</v>
      </c>
      <c r="AP235" s="1">
        <v>45707</v>
      </c>
      <c r="AQ235">
        <v>152</v>
      </c>
      <c r="AR235">
        <v>1866848</v>
      </c>
      <c r="AT235" s="1">
        <v>45749</v>
      </c>
      <c r="AU235">
        <v>38</v>
      </c>
      <c r="AV235">
        <v>1873761</v>
      </c>
      <c r="AX235" s="1">
        <v>45758</v>
      </c>
      <c r="AY235">
        <v>38</v>
      </c>
      <c r="AZ235">
        <v>1875530</v>
      </c>
      <c r="BB235" s="1">
        <v>45772</v>
      </c>
      <c r="BC235">
        <v>38</v>
      </c>
      <c r="BD235">
        <v>1878529</v>
      </c>
      <c r="BF235" s="1">
        <v>45789</v>
      </c>
      <c r="BG235">
        <v>38</v>
      </c>
      <c r="BH235">
        <v>1880629</v>
      </c>
      <c r="BJ235" s="1">
        <v>45824</v>
      </c>
      <c r="BK235">
        <v>38</v>
      </c>
      <c r="BL235">
        <v>1885302</v>
      </c>
      <c r="BN235" s="1">
        <v>45828</v>
      </c>
      <c r="BO235">
        <v>38</v>
      </c>
      <c r="BP235">
        <v>1886028</v>
      </c>
      <c r="BR235" s="1">
        <v>45847</v>
      </c>
      <c r="BS235">
        <v>38</v>
      </c>
      <c r="BT235">
        <v>1890207</v>
      </c>
      <c r="BV235" s="1">
        <v>45902</v>
      </c>
      <c r="BW235">
        <v>38</v>
      </c>
      <c r="BX235">
        <v>1897531</v>
      </c>
      <c r="BZ235" s="1">
        <v>45926</v>
      </c>
      <c r="CA235">
        <v>38</v>
      </c>
      <c r="CB235">
        <v>1901046</v>
      </c>
      <c r="CD235" s="1">
        <v>45951</v>
      </c>
      <c r="CE235">
        <v>38</v>
      </c>
      <c r="CF235">
        <v>1905244</v>
      </c>
      <c r="CH235">
        <v>258510087</v>
      </c>
    </row>
    <row r="236" spans="1:86" x14ac:dyDescent="0.25">
      <c r="A236">
        <v>572074</v>
      </c>
      <c r="B236">
        <v>102</v>
      </c>
      <c r="C236">
        <v>301112</v>
      </c>
      <c r="D236">
        <v>2</v>
      </c>
      <c r="E236">
        <v>2</v>
      </c>
      <c r="F236">
        <v>550272</v>
      </c>
      <c r="G236">
        <v>550272</v>
      </c>
      <c r="H236" t="s">
        <v>90</v>
      </c>
      <c r="N236" t="s">
        <v>1279</v>
      </c>
      <c r="O236">
        <v>550272</v>
      </c>
      <c r="P236" t="s">
        <v>92</v>
      </c>
      <c r="Q236" t="s">
        <v>93</v>
      </c>
      <c r="R236" t="s">
        <v>1280</v>
      </c>
      <c r="V236" t="s">
        <v>1281</v>
      </c>
      <c r="W236" t="s">
        <v>959</v>
      </c>
      <c r="X236" t="s">
        <v>1282</v>
      </c>
      <c r="Y236" t="s">
        <v>99</v>
      </c>
      <c r="AA236" t="s">
        <v>1279</v>
      </c>
      <c r="AB236" t="s">
        <v>1280</v>
      </c>
      <c r="AC236" t="s">
        <v>1283</v>
      </c>
      <c r="AI236">
        <v>646</v>
      </c>
      <c r="AK236">
        <v>0</v>
      </c>
      <c r="AL236" s="1">
        <v>45979</v>
      </c>
      <c r="AM236">
        <v>38</v>
      </c>
      <c r="AN236">
        <v>1910227</v>
      </c>
      <c r="AP236" s="1">
        <v>46021</v>
      </c>
      <c r="AQ236">
        <v>38</v>
      </c>
      <c r="AR236">
        <v>1916810</v>
      </c>
      <c r="CH236">
        <v>258510087</v>
      </c>
    </row>
    <row r="237" spans="1:86" x14ac:dyDescent="0.25">
      <c r="A237">
        <v>572075</v>
      </c>
      <c r="B237">
        <v>102</v>
      </c>
      <c r="C237">
        <v>301113</v>
      </c>
      <c r="D237">
        <v>1</v>
      </c>
      <c r="E237">
        <v>1</v>
      </c>
      <c r="F237">
        <v>550280</v>
      </c>
      <c r="G237">
        <v>550280</v>
      </c>
      <c r="H237" t="s">
        <v>90</v>
      </c>
      <c r="N237" t="s">
        <v>1284</v>
      </c>
      <c r="O237">
        <v>4004438</v>
      </c>
      <c r="P237" t="s">
        <v>92</v>
      </c>
      <c r="Q237" t="s">
        <v>93</v>
      </c>
      <c r="R237" t="s">
        <v>1285</v>
      </c>
      <c r="S237" t="s">
        <v>1286</v>
      </c>
      <c r="V237" t="s">
        <v>1287</v>
      </c>
      <c r="W237" t="s">
        <v>959</v>
      </c>
      <c r="X237" t="s">
        <v>1288</v>
      </c>
      <c r="Y237" t="s">
        <v>99</v>
      </c>
      <c r="AA237" t="s">
        <v>1284</v>
      </c>
      <c r="AB237" t="s">
        <v>1285</v>
      </c>
      <c r="AC237" t="s">
        <v>1286</v>
      </c>
      <c r="AD237" t="s">
        <v>1289</v>
      </c>
      <c r="AH237" t="s">
        <v>1290</v>
      </c>
      <c r="AI237">
        <v>456</v>
      </c>
      <c r="AK237">
        <v>0</v>
      </c>
      <c r="AL237" s="1">
        <v>45982</v>
      </c>
      <c r="AM237">
        <v>456</v>
      </c>
      <c r="AN237">
        <v>1911271</v>
      </c>
      <c r="CH237">
        <v>262710044</v>
      </c>
    </row>
    <row r="238" spans="1:86" x14ac:dyDescent="0.25">
      <c r="A238">
        <v>572076</v>
      </c>
      <c r="B238">
        <v>102</v>
      </c>
      <c r="C238">
        <v>301114</v>
      </c>
      <c r="D238">
        <v>1</v>
      </c>
      <c r="E238">
        <v>1</v>
      </c>
      <c r="F238">
        <v>550283</v>
      </c>
      <c r="G238">
        <v>550283</v>
      </c>
      <c r="H238" t="s">
        <v>90</v>
      </c>
      <c r="N238" t="s">
        <v>1291</v>
      </c>
      <c r="O238">
        <v>550283</v>
      </c>
      <c r="P238" t="s">
        <v>92</v>
      </c>
      <c r="Q238" t="s">
        <v>93</v>
      </c>
      <c r="R238" t="s">
        <v>1286</v>
      </c>
      <c r="V238" t="s">
        <v>1287</v>
      </c>
      <c r="W238" t="s">
        <v>959</v>
      </c>
      <c r="X238" t="s">
        <v>1288</v>
      </c>
      <c r="Y238" t="s">
        <v>99</v>
      </c>
      <c r="AA238" t="s">
        <v>1291</v>
      </c>
      <c r="AB238" t="s">
        <v>1286</v>
      </c>
      <c r="AC238" t="s">
        <v>1289</v>
      </c>
      <c r="AI238">
        <v>456</v>
      </c>
      <c r="AK238">
        <v>0</v>
      </c>
      <c r="AL238" s="1">
        <v>45982</v>
      </c>
      <c r="AM238">
        <v>456</v>
      </c>
      <c r="AN238">
        <v>1911270</v>
      </c>
      <c r="CH238">
        <v>262710044</v>
      </c>
    </row>
    <row r="239" spans="1:86" x14ac:dyDescent="0.25">
      <c r="A239">
        <v>572077</v>
      </c>
      <c r="B239">
        <v>102</v>
      </c>
      <c r="C239">
        <v>301115</v>
      </c>
      <c r="D239">
        <v>1</v>
      </c>
      <c r="E239">
        <v>1</v>
      </c>
      <c r="F239">
        <v>550340</v>
      </c>
      <c r="G239">
        <v>550340</v>
      </c>
      <c r="H239" t="s">
        <v>90</v>
      </c>
      <c r="N239" t="s">
        <v>1292</v>
      </c>
      <c r="O239">
        <v>550340</v>
      </c>
      <c r="P239" t="s">
        <v>92</v>
      </c>
      <c r="Q239" t="s">
        <v>93</v>
      </c>
      <c r="R239" t="s">
        <v>1293</v>
      </c>
      <c r="V239" t="s">
        <v>1294</v>
      </c>
      <c r="W239" t="s">
        <v>959</v>
      </c>
      <c r="X239" t="s">
        <v>1295</v>
      </c>
      <c r="Y239" t="s">
        <v>99</v>
      </c>
      <c r="AA239" t="s">
        <v>1292</v>
      </c>
      <c r="AB239" t="s">
        <v>1293</v>
      </c>
      <c r="AC239" t="s">
        <v>1296</v>
      </c>
      <c r="AI239">
        <v>1000</v>
      </c>
      <c r="AK239">
        <v>0</v>
      </c>
      <c r="AL239" s="1">
        <v>45826</v>
      </c>
      <c r="AM239">
        <v>1000</v>
      </c>
      <c r="AN239">
        <v>1886477</v>
      </c>
      <c r="CH239">
        <v>255041220</v>
      </c>
    </row>
    <row r="240" spans="1:86" x14ac:dyDescent="0.25">
      <c r="A240">
        <v>572078</v>
      </c>
      <c r="B240">
        <v>102</v>
      </c>
      <c r="C240">
        <v>301116</v>
      </c>
      <c r="D240">
        <v>1</v>
      </c>
      <c r="E240">
        <v>1</v>
      </c>
      <c r="F240">
        <v>550680</v>
      </c>
      <c r="G240">
        <v>550680</v>
      </c>
      <c r="H240" t="s">
        <v>90</v>
      </c>
      <c r="N240" t="s">
        <v>1297</v>
      </c>
      <c r="O240">
        <v>4006328</v>
      </c>
      <c r="P240" t="s">
        <v>92</v>
      </c>
      <c r="Q240" t="s">
        <v>93</v>
      </c>
      <c r="R240" t="s">
        <v>1298</v>
      </c>
      <c r="S240" t="s">
        <v>1299</v>
      </c>
      <c r="V240" t="s">
        <v>1270</v>
      </c>
      <c r="W240" t="s">
        <v>959</v>
      </c>
      <c r="X240">
        <v>26525</v>
      </c>
      <c r="Y240" t="s">
        <v>99</v>
      </c>
      <c r="AA240" t="s">
        <v>1297</v>
      </c>
      <c r="AB240" t="s">
        <v>1298</v>
      </c>
      <c r="AC240" t="s">
        <v>1299</v>
      </c>
      <c r="AD240" t="s">
        <v>1300</v>
      </c>
      <c r="AH240" t="s">
        <v>1301</v>
      </c>
      <c r="AI240">
        <v>600</v>
      </c>
      <c r="AK240">
        <v>0</v>
      </c>
      <c r="AL240" s="1">
        <v>45944</v>
      </c>
      <c r="AM240">
        <v>600</v>
      </c>
      <c r="AN240">
        <v>1904482</v>
      </c>
      <c r="CH240">
        <v>26525</v>
      </c>
    </row>
    <row r="241" spans="1:86" x14ac:dyDescent="0.25">
      <c r="A241">
        <v>572079</v>
      </c>
      <c r="B241">
        <v>102</v>
      </c>
      <c r="C241">
        <v>301117</v>
      </c>
      <c r="D241">
        <v>1</v>
      </c>
      <c r="E241">
        <v>1</v>
      </c>
      <c r="F241">
        <v>601365</v>
      </c>
      <c r="G241">
        <v>601365</v>
      </c>
      <c r="H241" t="s">
        <v>90</v>
      </c>
      <c r="N241" t="s">
        <v>1302</v>
      </c>
      <c r="O241">
        <v>4009525</v>
      </c>
      <c r="P241" t="s">
        <v>92</v>
      </c>
      <c r="Q241" t="s">
        <v>93</v>
      </c>
      <c r="R241" t="s">
        <v>1303</v>
      </c>
      <c r="V241" t="s">
        <v>1304</v>
      </c>
      <c r="W241" t="s">
        <v>153</v>
      </c>
      <c r="X241">
        <v>62427</v>
      </c>
      <c r="Y241" t="s">
        <v>99</v>
      </c>
      <c r="AA241" t="s">
        <v>1302</v>
      </c>
      <c r="AB241" t="s">
        <v>1303</v>
      </c>
      <c r="AC241" t="s">
        <v>1305</v>
      </c>
      <c r="AI241">
        <v>1112</v>
      </c>
      <c r="AK241">
        <v>0</v>
      </c>
      <c r="AL241" s="1">
        <v>45784</v>
      </c>
      <c r="AM241">
        <v>556</v>
      </c>
      <c r="AN241">
        <v>1879622</v>
      </c>
      <c r="AP241" s="1">
        <v>45982</v>
      </c>
      <c r="AQ241">
        <v>556</v>
      </c>
      <c r="AR241">
        <v>1911301</v>
      </c>
      <c r="CH241">
        <v>62427</v>
      </c>
    </row>
    <row r="242" spans="1:86" x14ac:dyDescent="0.25">
      <c r="A242">
        <v>572080</v>
      </c>
      <c r="B242">
        <v>102</v>
      </c>
      <c r="C242">
        <v>301118</v>
      </c>
      <c r="D242">
        <v>1</v>
      </c>
      <c r="E242">
        <v>2</v>
      </c>
      <c r="F242">
        <v>605198</v>
      </c>
      <c r="G242">
        <v>0</v>
      </c>
      <c r="H242" t="s">
        <v>1214</v>
      </c>
      <c r="J242" t="s">
        <v>1306</v>
      </c>
      <c r="L242" t="s">
        <v>1307</v>
      </c>
      <c r="O242">
        <v>4009384</v>
      </c>
      <c r="P242" t="s">
        <v>92</v>
      </c>
      <c r="Q242" t="s">
        <v>93</v>
      </c>
      <c r="Y242" t="s">
        <v>1308</v>
      </c>
      <c r="AA242" t="s">
        <v>1309</v>
      </c>
      <c r="AC242" t="s">
        <v>1310</v>
      </c>
      <c r="AH242" t="s">
        <v>1311</v>
      </c>
      <c r="AI242">
        <v>1520</v>
      </c>
      <c r="AK242">
        <v>0</v>
      </c>
      <c r="AL242" s="1">
        <v>45658</v>
      </c>
      <c r="AM242">
        <v>38</v>
      </c>
      <c r="AN242">
        <v>1858139</v>
      </c>
      <c r="AP242" s="1">
        <v>45658</v>
      </c>
      <c r="AQ242">
        <v>38</v>
      </c>
      <c r="AR242">
        <v>1858140</v>
      </c>
      <c r="AT242" s="1">
        <v>45658</v>
      </c>
      <c r="AU242">
        <v>38</v>
      </c>
      <c r="AV242">
        <v>1858141</v>
      </c>
      <c r="AX242" s="1">
        <v>45658</v>
      </c>
      <c r="AY242">
        <v>38</v>
      </c>
      <c r="AZ242">
        <v>1858142</v>
      </c>
      <c r="BB242" s="1">
        <v>45764</v>
      </c>
      <c r="BC242">
        <v>152</v>
      </c>
      <c r="BD242">
        <v>1875679</v>
      </c>
      <c r="BF242" s="1">
        <v>45778</v>
      </c>
      <c r="BG242">
        <v>152</v>
      </c>
      <c r="BH242">
        <v>1877919</v>
      </c>
      <c r="BJ242" s="1">
        <v>45809</v>
      </c>
      <c r="BK242">
        <v>152</v>
      </c>
      <c r="BL242">
        <v>1882659</v>
      </c>
      <c r="BN242" s="1">
        <v>45840</v>
      </c>
      <c r="BO242">
        <v>152</v>
      </c>
      <c r="BP242">
        <v>1887990</v>
      </c>
      <c r="BR242" s="1">
        <v>45870</v>
      </c>
      <c r="BS242">
        <v>152</v>
      </c>
      <c r="BT242">
        <v>1892128</v>
      </c>
      <c r="BV242" s="1">
        <v>45901</v>
      </c>
      <c r="BW242">
        <v>152</v>
      </c>
      <c r="BX242">
        <v>1896626</v>
      </c>
      <c r="BZ242" s="1">
        <v>45931</v>
      </c>
      <c r="CA242">
        <v>152</v>
      </c>
      <c r="CB242">
        <v>1901232</v>
      </c>
      <c r="CD242" s="1">
        <v>45962</v>
      </c>
      <c r="CE242">
        <v>152</v>
      </c>
      <c r="CF242">
        <v>1905786</v>
      </c>
    </row>
    <row r="243" spans="1:86" x14ac:dyDescent="0.25">
      <c r="A243">
        <v>572081</v>
      </c>
      <c r="B243">
        <v>102</v>
      </c>
      <c r="C243">
        <v>301118</v>
      </c>
      <c r="D243">
        <v>2</v>
      </c>
      <c r="E243">
        <v>2</v>
      </c>
      <c r="F243">
        <v>605198</v>
      </c>
      <c r="G243">
        <v>0</v>
      </c>
      <c r="H243" t="s">
        <v>1214</v>
      </c>
      <c r="J243" t="s">
        <v>1306</v>
      </c>
      <c r="L243" t="s">
        <v>1307</v>
      </c>
      <c r="O243">
        <v>4009384</v>
      </c>
      <c r="P243" t="s">
        <v>92</v>
      </c>
      <c r="Q243" t="s">
        <v>93</v>
      </c>
      <c r="Y243" t="s">
        <v>1308</v>
      </c>
      <c r="AA243" t="s">
        <v>1309</v>
      </c>
      <c r="AC243" t="s">
        <v>1310</v>
      </c>
      <c r="AH243" t="s">
        <v>1311</v>
      </c>
      <c r="AI243">
        <v>1520</v>
      </c>
      <c r="AK243">
        <v>0</v>
      </c>
      <c r="AL243" s="1">
        <v>45992</v>
      </c>
      <c r="AM243">
        <v>152</v>
      </c>
      <c r="AN243">
        <v>1910465</v>
      </c>
    </row>
    <row r="244" spans="1:86" x14ac:dyDescent="0.25">
      <c r="A244">
        <v>572082</v>
      </c>
      <c r="B244">
        <v>102</v>
      </c>
      <c r="C244">
        <v>301119</v>
      </c>
      <c r="D244">
        <v>1</v>
      </c>
      <c r="E244">
        <v>1</v>
      </c>
      <c r="F244">
        <v>605314</v>
      </c>
      <c r="G244">
        <v>0</v>
      </c>
      <c r="H244" t="s">
        <v>1214</v>
      </c>
      <c r="J244" t="s">
        <v>1312</v>
      </c>
      <c r="L244" t="s">
        <v>1313</v>
      </c>
      <c r="O244">
        <v>4009404</v>
      </c>
      <c r="P244" t="s">
        <v>92</v>
      </c>
      <c r="Q244" t="s">
        <v>93</v>
      </c>
      <c r="Y244" t="s">
        <v>1308</v>
      </c>
      <c r="AA244" t="s">
        <v>1314</v>
      </c>
      <c r="AC244" t="s">
        <v>1310</v>
      </c>
      <c r="AH244" t="s">
        <v>1315</v>
      </c>
      <c r="AI244">
        <v>342</v>
      </c>
      <c r="AK244">
        <v>0</v>
      </c>
      <c r="AL244" s="1">
        <v>45717</v>
      </c>
      <c r="AM244">
        <v>0</v>
      </c>
      <c r="AN244">
        <v>1868070</v>
      </c>
      <c r="AO244">
        <v>0</v>
      </c>
      <c r="AP244" s="1">
        <v>45741</v>
      </c>
      <c r="AQ244">
        <v>38</v>
      </c>
      <c r="AR244">
        <v>1871901</v>
      </c>
      <c r="AT244" s="1">
        <v>45778</v>
      </c>
      <c r="AU244">
        <v>38</v>
      </c>
      <c r="AV244">
        <v>1877886</v>
      </c>
      <c r="AX244" s="1">
        <v>45809</v>
      </c>
      <c r="AY244">
        <v>38</v>
      </c>
      <c r="AZ244">
        <v>1882629</v>
      </c>
      <c r="BB244" s="1">
        <v>45839</v>
      </c>
      <c r="BC244">
        <v>38</v>
      </c>
      <c r="BD244">
        <v>1887168</v>
      </c>
      <c r="BF244" s="1">
        <v>45870</v>
      </c>
      <c r="BG244">
        <v>38</v>
      </c>
      <c r="BH244">
        <v>1892096</v>
      </c>
      <c r="BJ244" s="1">
        <v>45901</v>
      </c>
      <c r="BK244">
        <v>38</v>
      </c>
      <c r="BL244">
        <v>1896597</v>
      </c>
      <c r="BN244" s="1">
        <v>45931</v>
      </c>
      <c r="BO244">
        <v>38</v>
      </c>
      <c r="BP244">
        <v>1901200</v>
      </c>
      <c r="BR244" s="1">
        <v>46000</v>
      </c>
      <c r="BS244">
        <v>38</v>
      </c>
      <c r="BT244">
        <v>1911983</v>
      </c>
      <c r="BV244" s="1">
        <v>46000</v>
      </c>
      <c r="BW244">
        <v>38</v>
      </c>
      <c r="BX244">
        <v>1911984</v>
      </c>
    </row>
    <row r="245" spans="1:86" x14ac:dyDescent="0.25">
      <c r="A245">
        <v>572083</v>
      </c>
      <c r="B245">
        <v>102</v>
      </c>
      <c r="C245">
        <v>301120</v>
      </c>
      <c r="D245">
        <v>1</v>
      </c>
      <c r="E245">
        <v>1</v>
      </c>
      <c r="F245">
        <v>606310</v>
      </c>
      <c r="G245">
        <v>606310</v>
      </c>
      <c r="H245" t="s">
        <v>90</v>
      </c>
      <c r="N245" t="s">
        <v>1316</v>
      </c>
      <c r="O245">
        <v>606310</v>
      </c>
      <c r="P245" t="s">
        <v>1317</v>
      </c>
      <c r="Q245" t="s">
        <v>93</v>
      </c>
      <c r="R245" t="s">
        <v>1318</v>
      </c>
      <c r="V245" t="s">
        <v>1319</v>
      </c>
      <c r="W245" t="s">
        <v>1058</v>
      </c>
      <c r="X245">
        <v>75087</v>
      </c>
      <c r="Y245" t="s">
        <v>99</v>
      </c>
      <c r="AA245" t="s">
        <v>1316</v>
      </c>
      <c r="AB245" t="s">
        <v>1318</v>
      </c>
      <c r="AC245" t="s">
        <v>1320</v>
      </c>
      <c r="AH245" t="s">
        <v>1321</v>
      </c>
      <c r="AI245">
        <v>456</v>
      </c>
      <c r="AK245">
        <v>0</v>
      </c>
      <c r="AL245" s="1">
        <v>45683</v>
      </c>
      <c r="AM245">
        <v>38</v>
      </c>
      <c r="AN245">
        <v>1862444</v>
      </c>
      <c r="AP245" s="1">
        <v>45714</v>
      </c>
      <c r="AQ245">
        <v>38</v>
      </c>
      <c r="AR245">
        <v>1867128</v>
      </c>
      <c r="AT245" s="1">
        <v>45742</v>
      </c>
      <c r="AU245">
        <v>38</v>
      </c>
      <c r="AV245">
        <v>1871913</v>
      </c>
      <c r="AX245" s="1">
        <v>45773</v>
      </c>
      <c r="AY245">
        <v>38</v>
      </c>
      <c r="AZ245">
        <v>1877131</v>
      </c>
      <c r="BB245" s="1">
        <v>45803</v>
      </c>
      <c r="BC245">
        <v>38</v>
      </c>
      <c r="BD245">
        <v>1881644</v>
      </c>
      <c r="BF245" s="1">
        <v>45834</v>
      </c>
      <c r="BG245">
        <v>38</v>
      </c>
      <c r="BH245">
        <v>1886548</v>
      </c>
      <c r="BJ245" s="1">
        <v>45864</v>
      </c>
      <c r="BK245">
        <v>38</v>
      </c>
      <c r="BL245">
        <v>1891286</v>
      </c>
      <c r="BN245" s="1">
        <v>45895</v>
      </c>
      <c r="BO245">
        <v>38</v>
      </c>
      <c r="BP245">
        <v>1895730</v>
      </c>
      <c r="BR245" s="1">
        <v>45926</v>
      </c>
      <c r="BS245">
        <v>38</v>
      </c>
      <c r="BT245">
        <v>1900511</v>
      </c>
      <c r="BV245" s="1">
        <v>45956</v>
      </c>
      <c r="BW245">
        <v>38</v>
      </c>
      <c r="BX245">
        <v>1904888</v>
      </c>
      <c r="BZ245" s="1">
        <v>45987</v>
      </c>
      <c r="CA245">
        <v>38</v>
      </c>
      <c r="CB245">
        <v>1909631</v>
      </c>
      <c r="CD245" s="1">
        <v>46017</v>
      </c>
      <c r="CE245">
        <v>38</v>
      </c>
      <c r="CF245">
        <v>1914433</v>
      </c>
      <c r="CH245">
        <v>75087</v>
      </c>
    </row>
    <row r="246" spans="1:86" x14ac:dyDescent="0.25">
      <c r="A246">
        <v>572084</v>
      </c>
      <c r="B246">
        <v>102</v>
      </c>
      <c r="C246">
        <v>301121</v>
      </c>
      <c r="D246">
        <v>1</v>
      </c>
      <c r="E246">
        <v>1</v>
      </c>
      <c r="F246">
        <v>608334</v>
      </c>
      <c r="G246">
        <v>608334</v>
      </c>
      <c r="H246" t="s">
        <v>90</v>
      </c>
      <c r="N246" t="s">
        <v>1322</v>
      </c>
      <c r="O246">
        <v>4009245</v>
      </c>
      <c r="P246" t="s">
        <v>92</v>
      </c>
      <c r="Q246" t="s">
        <v>93</v>
      </c>
      <c r="R246" t="s">
        <v>1323</v>
      </c>
      <c r="V246" t="s">
        <v>1324</v>
      </c>
      <c r="Y246" t="s">
        <v>1325</v>
      </c>
      <c r="AA246" t="s">
        <v>1322</v>
      </c>
      <c r="AB246" t="s">
        <v>1323</v>
      </c>
      <c r="AC246" t="s">
        <v>1326</v>
      </c>
      <c r="AD246" t="s">
        <v>1327</v>
      </c>
      <c r="AI246">
        <v>44380</v>
      </c>
      <c r="AK246">
        <v>0</v>
      </c>
      <c r="AL246" s="1">
        <v>45716</v>
      </c>
      <c r="AM246">
        <v>0</v>
      </c>
      <c r="AN246">
        <v>1869030</v>
      </c>
      <c r="AO246">
        <v>0</v>
      </c>
      <c r="AP246" s="1">
        <v>45723</v>
      </c>
      <c r="AQ246">
        <v>44380</v>
      </c>
      <c r="AR246">
        <v>1869279</v>
      </c>
    </row>
    <row r="247" spans="1:86" x14ac:dyDescent="0.25">
      <c r="A247">
        <v>572085</v>
      </c>
      <c r="B247">
        <v>102</v>
      </c>
      <c r="C247">
        <v>301122</v>
      </c>
      <c r="D247">
        <v>1</v>
      </c>
      <c r="E247">
        <v>1</v>
      </c>
      <c r="F247">
        <v>608887</v>
      </c>
      <c r="G247">
        <v>608887</v>
      </c>
      <c r="H247" t="s">
        <v>90</v>
      </c>
      <c r="N247" t="s">
        <v>1328</v>
      </c>
      <c r="O247">
        <v>4006499</v>
      </c>
      <c r="P247" t="s">
        <v>92</v>
      </c>
      <c r="Q247" t="s">
        <v>93</v>
      </c>
      <c r="R247" t="s">
        <v>1329</v>
      </c>
      <c r="S247" t="s">
        <v>1330</v>
      </c>
      <c r="V247" t="s">
        <v>1331</v>
      </c>
      <c r="W247" t="s">
        <v>406</v>
      </c>
      <c r="X247">
        <v>56466</v>
      </c>
      <c r="Y247" t="s">
        <v>99</v>
      </c>
      <c r="AA247" t="s">
        <v>1328</v>
      </c>
      <c r="AB247" t="s">
        <v>1329</v>
      </c>
      <c r="AC247" t="s">
        <v>1330</v>
      </c>
      <c r="AD247" t="s">
        <v>1332</v>
      </c>
      <c r="AH247" t="s">
        <v>1333</v>
      </c>
      <c r="AI247">
        <v>592</v>
      </c>
      <c r="AK247">
        <v>0</v>
      </c>
      <c r="AL247" s="1">
        <v>45670</v>
      </c>
      <c r="AM247">
        <v>114</v>
      </c>
      <c r="AN247">
        <v>1861764</v>
      </c>
      <c r="AP247" s="1">
        <v>45695</v>
      </c>
      <c r="AQ247">
        <v>100</v>
      </c>
      <c r="AR247">
        <v>1864927</v>
      </c>
      <c r="AT247" s="1">
        <v>45814</v>
      </c>
      <c r="AU247">
        <v>126</v>
      </c>
      <c r="AV247">
        <v>1884077</v>
      </c>
      <c r="AX247" s="1">
        <v>45849</v>
      </c>
      <c r="AY247">
        <v>126</v>
      </c>
      <c r="AZ247">
        <v>1890270</v>
      </c>
      <c r="BB247" s="1">
        <v>45882</v>
      </c>
      <c r="BC247">
        <v>126</v>
      </c>
      <c r="BD247">
        <v>1893977</v>
      </c>
      <c r="CH247">
        <v>56466</v>
      </c>
    </row>
    <row r="248" spans="1:86" x14ac:dyDescent="0.25">
      <c r="A248">
        <v>572086</v>
      </c>
      <c r="B248">
        <v>102</v>
      </c>
      <c r="C248">
        <v>301123</v>
      </c>
      <c r="D248">
        <v>1</v>
      </c>
      <c r="E248">
        <v>1</v>
      </c>
      <c r="F248">
        <v>611703</v>
      </c>
      <c r="G248">
        <v>611703</v>
      </c>
      <c r="H248" t="s">
        <v>90</v>
      </c>
      <c r="N248" t="s">
        <v>1334</v>
      </c>
      <c r="O248">
        <v>4004463</v>
      </c>
      <c r="P248" t="s">
        <v>92</v>
      </c>
      <c r="Q248" t="s">
        <v>93</v>
      </c>
      <c r="R248" t="s">
        <v>1335</v>
      </c>
      <c r="S248" t="s">
        <v>1336</v>
      </c>
      <c r="V248" t="s">
        <v>472</v>
      </c>
      <c r="W248" t="s">
        <v>466</v>
      </c>
      <c r="X248" t="s">
        <v>1337</v>
      </c>
      <c r="Y248" t="s">
        <v>99</v>
      </c>
      <c r="AA248" t="s">
        <v>1334</v>
      </c>
      <c r="AB248" t="s">
        <v>1335</v>
      </c>
      <c r="AC248" t="s">
        <v>1336</v>
      </c>
      <c r="AD248" t="s">
        <v>1338</v>
      </c>
      <c r="AI248">
        <v>492</v>
      </c>
      <c r="AK248">
        <v>0</v>
      </c>
      <c r="AL248" s="1">
        <v>45993</v>
      </c>
      <c r="AM248">
        <v>492</v>
      </c>
      <c r="AN248">
        <v>1911777</v>
      </c>
      <c r="CH248">
        <v>674602305</v>
      </c>
    </row>
    <row r="249" spans="1:86" x14ac:dyDescent="0.25">
      <c r="A249">
        <v>572087</v>
      </c>
      <c r="B249">
        <v>102</v>
      </c>
      <c r="C249">
        <v>301124</v>
      </c>
      <c r="D249">
        <v>1</v>
      </c>
      <c r="E249">
        <v>1</v>
      </c>
      <c r="F249">
        <v>612200</v>
      </c>
      <c r="G249">
        <v>612200</v>
      </c>
      <c r="H249" t="s">
        <v>90</v>
      </c>
      <c r="N249" t="s">
        <v>1339</v>
      </c>
      <c r="O249">
        <v>612200</v>
      </c>
      <c r="P249" t="s">
        <v>92</v>
      </c>
      <c r="Q249" t="s">
        <v>93</v>
      </c>
      <c r="R249" t="s">
        <v>1340</v>
      </c>
      <c r="V249" t="s">
        <v>1341</v>
      </c>
      <c r="W249" t="s">
        <v>1342</v>
      </c>
      <c r="X249" t="s">
        <v>1343</v>
      </c>
      <c r="Y249" t="s">
        <v>99</v>
      </c>
      <c r="AA249" t="s">
        <v>1339</v>
      </c>
      <c r="AB249" t="s">
        <v>1340</v>
      </c>
      <c r="AC249" t="s">
        <v>1344</v>
      </c>
      <c r="AH249" t="s">
        <v>1345</v>
      </c>
      <c r="AI249">
        <v>360</v>
      </c>
      <c r="AK249">
        <v>0</v>
      </c>
      <c r="AL249" s="1">
        <v>45679</v>
      </c>
      <c r="AM249">
        <v>30</v>
      </c>
      <c r="AN249">
        <v>1862110</v>
      </c>
      <c r="AP249" s="1">
        <v>45709</v>
      </c>
      <c r="AQ249">
        <v>30</v>
      </c>
      <c r="AR249">
        <v>1867283</v>
      </c>
      <c r="AT249" s="1">
        <v>45735</v>
      </c>
      <c r="AU249">
        <v>30</v>
      </c>
      <c r="AV249">
        <v>1871581</v>
      </c>
      <c r="AX249" s="1">
        <v>45764</v>
      </c>
      <c r="AY249">
        <v>30</v>
      </c>
      <c r="AZ249">
        <v>1876566</v>
      </c>
      <c r="BB249" s="1">
        <v>45796</v>
      </c>
      <c r="BC249">
        <v>30</v>
      </c>
      <c r="BD249">
        <v>1882367</v>
      </c>
      <c r="BF249" s="1">
        <v>45826</v>
      </c>
      <c r="BG249">
        <v>30</v>
      </c>
      <c r="BH249">
        <v>1886464</v>
      </c>
      <c r="BJ249" s="1">
        <v>45854</v>
      </c>
      <c r="BK249">
        <v>30</v>
      </c>
      <c r="BL249">
        <v>1890714</v>
      </c>
      <c r="BN249" s="1">
        <v>45887</v>
      </c>
      <c r="BO249">
        <v>30</v>
      </c>
      <c r="BP249">
        <v>1895153</v>
      </c>
      <c r="BR249" s="1">
        <v>45916</v>
      </c>
      <c r="BS249">
        <v>30</v>
      </c>
      <c r="BT249">
        <v>1899657</v>
      </c>
      <c r="BV249" s="1">
        <v>45944</v>
      </c>
      <c r="BW249">
        <v>30</v>
      </c>
      <c r="BX249">
        <v>1904583</v>
      </c>
      <c r="BZ249" s="1">
        <v>45979</v>
      </c>
      <c r="CA249">
        <v>30</v>
      </c>
      <c r="CB249">
        <v>1910266</v>
      </c>
      <c r="CD249" s="1">
        <v>46007</v>
      </c>
      <c r="CE249">
        <v>30</v>
      </c>
      <c r="CF249">
        <v>1914134</v>
      </c>
      <c r="CH249">
        <v>800131914</v>
      </c>
    </row>
    <row r="250" spans="1:86" x14ac:dyDescent="0.25">
      <c r="A250">
        <v>572088</v>
      </c>
      <c r="B250">
        <v>102</v>
      </c>
      <c r="C250">
        <v>301125</v>
      </c>
      <c r="D250">
        <v>1</v>
      </c>
      <c r="E250">
        <v>3</v>
      </c>
      <c r="F250">
        <v>613955</v>
      </c>
      <c r="G250">
        <v>613955</v>
      </c>
      <c r="H250" t="s">
        <v>90</v>
      </c>
      <c r="N250" t="s">
        <v>1346</v>
      </c>
      <c r="O250">
        <v>4004465</v>
      </c>
      <c r="P250" t="s">
        <v>92</v>
      </c>
      <c r="Q250" t="s">
        <v>93</v>
      </c>
      <c r="R250" t="s">
        <v>1347</v>
      </c>
      <c r="S250" t="s">
        <v>1348</v>
      </c>
      <c r="V250" t="s">
        <v>1349</v>
      </c>
      <c r="W250" t="s">
        <v>212</v>
      </c>
      <c r="X250" t="s">
        <v>1350</v>
      </c>
      <c r="Y250" t="s">
        <v>99</v>
      </c>
      <c r="AA250" t="s">
        <v>1346</v>
      </c>
      <c r="AB250" t="s">
        <v>1347</v>
      </c>
      <c r="AC250" t="s">
        <v>1348</v>
      </c>
      <c r="AD250" t="s">
        <v>1351</v>
      </c>
      <c r="AH250" t="s">
        <v>1352</v>
      </c>
      <c r="AI250">
        <v>1276.6400000000001</v>
      </c>
      <c r="AK250">
        <v>0</v>
      </c>
      <c r="AL250" s="1">
        <v>45658</v>
      </c>
      <c r="AM250">
        <v>76</v>
      </c>
      <c r="AN250">
        <v>1858302</v>
      </c>
      <c r="AP250" s="1">
        <v>45658</v>
      </c>
      <c r="AQ250">
        <v>20</v>
      </c>
      <c r="AR250">
        <v>1858303</v>
      </c>
      <c r="AT250" s="1">
        <v>45689</v>
      </c>
      <c r="AU250">
        <v>76</v>
      </c>
      <c r="AV250">
        <v>1863480</v>
      </c>
      <c r="AX250" s="1">
        <v>45689</v>
      </c>
      <c r="AY250">
        <v>20</v>
      </c>
      <c r="AZ250">
        <v>1863481</v>
      </c>
      <c r="BB250" s="1">
        <v>45716</v>
      </c>
      <c r="BC250">
        <v>50</v>
      </c>
      <c r="BD250">
        <v>1867605</v>
      </c>
      <c r="BF250" s="1">
        <v>45717</v>
      </c>
      <c r="BG250">
        <v>76</v>
      </c>
      <c r="BH250">
        <v>1868261</v>
      </c>
      <c r="BJ250" s="1">
        <v>45717</v>
      </c>
      <c r="BK250">
        <v>20</v>
      </c>
      <c r="BL250">
        <v>1868262</v>
      </c>
      <c r="BN250" s="1">
        <v>45748</v>
      </c>
      <c r="BO250">
        <v>76</v>
      </c>
      <c r="BP250">
        <v>1872839</v>
      </c>
      <c r="BR250" s="1">
        <v>45748</v>
      </c>
      <c r="BS250">
        <v>20</v>
      </c>
      <c r="BT250">
        <v>1872840</v>
      </c>
      <c r="BV250" s="1">
        <v>45778</v>
      </c>
      <c r="BW250">
        <v>76</v>
      </c>
      <c r="BX250">
        <v>1878080</v>
      </c>
      <c r="BZ250" s="1">
        <v>45778</v>
      </c>
      <c r="CA250">
        <v>20</v>
      </c>
      <c r="CB250">
        <v>1878081</v>
      </c>
      <c r="CD250" s="1">
        <v>45804</v>
      </c>
      <c r="CE250">
        <v>74.64</v>
      </c>
      <c r="CF250">
        <v>1881786</v>
      </c>
      <c r="CH250">
        <v>481168319</v>
      </c>
    </row>
    <row r="251" spans="1:86" x14ac:dyDescent="0.25">
      <c r="A251">
        <v>572089</v>
      </c>
      <c r="B251">
        <v>102</v>
      </c>
      <c r="C251">
        <v>301125</v>
      </c>
      <c r="D251">
        <v>2</v>
      </c>
      <c r="E251">
        <v>3</v>
      </c>
      <c r="F251">
        <v>613955</v>
      </c>
      <c r="G251">
        <v>613955</v>
      </c>
      <c r="H251" t="s">
        <v>90</v>
      </c>
      <c r="N251" t="s">
        <v>1346</v>
      </c>
      <c r="O251">
        <v>4004465</v>
      </c>
      <c r="P251" t="s">
        <v>92</v>
      </c>
      <c r="Q251" t="s">
        <v>93</v>
      </c>
      <c r="R251" t="s">
        <v>1347</v>
      </c>
      <c r="S251" t="s">
        <v>1348</v>
      </c>
      <c r="V251" t="s">
        <v>1349</v>
      </c>
      <c r="W251" t="s">
        <v>212</v>
      </c>
      <c r="X251" t="s">
        <v>1350</v>
      </c>
      <c r="Y251" t="s">
        <v>99</v>
      </c>
      <c r="AA251" t="s">
        <v>1346</v>
      </c>
      <c r="AB251" t="s">
        <v>1347</v>
      </c>
      <c r="AC251" t="s">
        <v>1348</v>
      </c>
      <c r="AD251" t="s">
        <v>1351</v>
      </c>
      <c r="AH251" t="s">
        <v>1352</v>
      </c>
      <c r="AI251">
        <v>1276.6400000000001</v>
      </c>
      <c r="AK251">
        <v>0</v>
      </c>
      <c r="AL251" s="1">
        <v>45809</v>
      </c>
      <c r="AM251">
        <v>76</v>
      </c>
      <c r="AN251">
        <v>1882816</v>
      </c>
      <c r="AP251" s="1">
        <v>45809</v>
      </c>
      <c r="AQ251">
        <v>20</v>
      </c>
      <c r="AR251">
        <v>1882817</v>
      </c>
      <c r="AT251" s="1">
        <v>45839</v>
      </c>
      <c r="AU251">
        <v>76</v>
      </c>
      <c r="AV251">
        <v>1887350</v>
      </c>
      <c r="AX251" s="1">
        <v>45839</v>
      </c>
      <c r="AY251">
        <v>20</v>
      </c>
      <c r="AZ251">
        <v>1887351</v>
      </c>
      <c r="BB251" s="1">
        <v>45870</v>
      </c>
      <c r="BC251">
        <v>76</v>
      </c>
      <c r="BD251">
        <v>1892280</v>
      </c>
      <c r="BF251" s="1">
        <v>45870</v>
      </c>
      <c r="BG251">
        <v>20</v>
      </c>
      <c r="BH251">
        <v>1892281</v>
      </c>
      <c r="BJ251" s="1">
        <v>45901</v>
      </c>
      <c r="BK251">
        <v>76</v>
      </c>
      <c r="BL251">
        <v>1896782</v>
      </c>
      <c r="BN251" s="1">
        <v>45901</v>
      </c>
      <c r="BO251">
        <v>20</v>
      </c>
      <c r="BP251">
        <v>1896783</v>
      </c>
      <c r="BR251" s="1">
        <v>45931</v>
      </c>
      <c r="BS251">
        <v>76</v>
      </c>
      <c r="BT251">
        <v>1901383</v>
      </c>
      <c r="BV251" s="1">
        <v>45931</v>
      </c>
      <c r="BW251">
        <v>20</v>
      </c>
      <c r="BX251">
        <v>1901384</v>
      </c>
      <c r="BZ251" s="1">
        <v>45962</v>
      </c>
      <c r="CA251">
        <v>76</v>
      </c>
      <c r="CB251">
        <v>1905936</v>
      </c>
      <c r="CD251" s="1">
        <v>45962</v>
      </c>
      <c r="CE251">
        <v>20</v>
      </c>
      <c r="CF251">
        <v>1905937</v>
      </c>
      <c r="CH251">
        <v>481168319</v>
      </c>
    </row>
    <row r="252" spans="1:86" x14ac:dyDescent="0.25">
      <c r="A252">
        <v>572090</v>
      </c>
      <c r="B252">
        <v>102</v>
      </c>
      <c r="C252">
        <v>301125</v>
      </c>
      <c r="D252">
        <v>3</v>
      </c>
      <c r="E252">
        <v>3</v>
      </c>
      <c r="F252">
        <v>613955</v>
      </c>
      <c r="G252">
        <v>613955</v>
      </c>
      <c r="H252" t="s">
        <v>90</v>
      </c>
      <c r="N252" t="s">
        <v>1346</v>
      </c>
      <c r="O252">
        <v>4004465</v>
      </c>
      <c r="P252" t="s">
        <v>92</v>
      </c>
      <c r="Q252" t="s">
        <v>93</v>
      </c>
      <c r="R252" t="s">
        <v>1347</v>
      </c>
      <c r="S252" t="s">
        <v>1348</v>
      </c>
      <c r="V252" t="s">
        <v>1349</v>
      </c>
      <c r="W252" t="s">
        <v>212</v>
      </c>
      <c r="X252" t="s">
        <v>1350</v>
      </c>
      <c r="Y252" t="s">
        <v>99</v>
      </c>
      <c r="AA252" t="s">
        <v>1346</v>
      </c>
      <c r="AB252" t="s">
        <v>1347</v>
      </c>
      <c r="AC252" t="s">
        <v>1348</v>
      </c>
      <c r="AD252" t="s">
        <v>1351</v>
      </c>
      <c r="AH252" t="s">
        <v>1352</v>
      </c>
      <c r="AI252">
        <v>1276.6400000000001</v>
      </c>
      <c r="AK252">
        <v>0</v>
      </c>
      <c r="AL252" s="1">
        <v>45992</v>
      </c>
      <c r="AM252">
        <v>76</v>
      </c>
      <c r="AN252">
        <v>1910622</v>
      </c>
      <c r="AP252" s="1">
        <v>45992</v>
      </c>
      <c r="AQ252">
        <v>20</v>
      </c>
      <c r="AR252">
        <v>1910623</v>
      </c>
      <c r="CH252">
        <v>481168319</v>
      </c>
    </row>
    <row r="253" spans="1:86" x14ac:dyDescent="0.25">
      <c r="A253">
        <v>572091</v>
      </c>
      <c r="B253">
        <v>102</v>
      </c>
      <c r="C253">
        <v>301126</v>
      </c>
      <c r="D253">
        <v>1</v>
      </c>
      <c r="E253">
        <v>1</v>
      </c>
      <c r="F253">
        <v>614383</v>
      </c>
      <c r="G253">
        <v>614383</v>
      </c>
      <c r="H253" t="s">
        <v>90</v>
      </c>
      <c r="N253" t="s">
        <v>1353</v>
      </c>
      <c r="O253">
        <v>4004467</v>
      </c>
      <c r="P253" t="s">
        <v>92</v>
      </c>
      <c r="Q253" t="s">
        <v>93</v>
      </c>
      <c r="R253" t="s">
        <v>1354</v>
      </c>
      <c r="S253" t="s">
        <v>1355</v>
      </c>
      <c r="V253" t="s">
        <v>1356</v>
      </c>
      <c r="W253" t="s">
        <v>192</v>
      </c>
      <c r="X253">
        <v>99209</v>
      </c>
      <c r="Y253" t="s">
        <v>99</v>
      </c>
      <c r="AA253" t="s">
        <v>1353</v>
      </c>
      <c r="AB253" t="s">
        <v>1354</v>
      </c>
      <c r="AC253" t="s">
        <v>1355</v>
      </c>
      <c r="AD253" t="s">
        <v>1357</v>
      </c>
      <c r="AH253" t="s">
        <v>1358</v>
      </c>
      <c r="AI253">
        <v>912</v>
      </c>
      <c r="AK253">
        <v>0</v>
      </c>
      <c r="AL253" s="1">
        <v>45678</v>
      </c>
      <c r="AM253">
        <v>76</v>
      </c>
      <c r="AN253">
        <v>1861727</v>
      </c>
      <c r="AP253" s="1">
        <v>45709</v>
      </c>
      <c r="AQ253">
        <v>76</v>
      </c>
      <c r="AR253">
        <v>1866425</v>
      </c>
      <c r="AT253" s="1">
        <v>45737</v>
      </c>
      <c r="AU253">
        <v>76</v>
      </c>
      <c r="AV253">
        <v>1871351</v>
      </c>
      <c r="AX253" s="1">
        <v>45768</v>
      </c>
      <c r="AY253">
        <v>76</v>
      </c>
      <c r="AZ253">
        <v>1876137</v>
      </c>
      <c r="BB253" s="1">
        <v>45798</v>
      </c>
      <c r="BC253">
        <v>76</v>
      </c>
      <c r="BD253">
        <v>1881194</v>
      </c>
      <c r="BF253" s="1">
        <v>45829</v>
      </c>
      <c r="BG253">
        <v>76</v>
      </c>
      <c r="BH253">
        <v>1885875</v>
      </c>
      <c r="BJ253" s="1">
        <v>45859</v>
      </c>
      <c r="BK253">
        <v>76</v>
      </c>
      <c r="BL253">
        <v>1890545</v>
      </c>
      <c r="BN253" s="1">
        <v>45890</v>
      </c>
      <c r="BO253">
        <v>76</v>
      </c>
      <c r="BP253">
        <v>1895361</v>
      </c>
      <c r="BR253" s="1">
        <v>45921</v>
      </c>
      <c r="BS253">
        <v>76</v>
      </c>
      <c r="BT253">
        <v>1899896</v>
      </c>
      <c r="BV253" s="1">
        <v>45951</v>
      </c>
      <c r="BW253">
        <v>76</v>
      </c>
      <c r="BX253">
        <v>1904261</v>
      </c>
      <c r="BZ253" s="1">
        <v>45982</v>
      </c>
      <c r="CA253">
        <v>76</v>
      </c>
      <c r="CB253">
        <v>1909108</v>
      </c>
      <c r="CD253" s="1">
        <v>46012</v>
      </c>
      <c r="CE253">
        <v>76</v>
      </c>
      <c r="CF253">
        <v>1913945</v>
      </c>
      <c r="CH253">
        <v>99209</v>
      </c>
    </row>
    <row r="254" spans="1:86" x14ac:dyDescent="0.25">
      <c r="A254">
        <v>572092</v>
      </c>
      <c r="B254">
        <v>102</v>
      </c>
      <c r="C254">
        <v>301127</v>
      </c>
      <c r="D254">
        <v>1</v>
      </c>
      <c r="E254">
        <v>1</v>
      </c>
      <c r="F254">
        <v>618000</v>
      </c>
      <c r="G254">
        <v>618000</v>
      </c>
      <c r="H254" t="s">
        <v>90</v>
      </c>
      <c r="N254" t="s">
        <v>1359</v>
      </c>
      <c r="O254">
        <v>4010985</v>
      </c>
      <c r="P254" t="s">
        <v>92</v>
      </c>
      <c r="Q254" t="s">
        <v>93</v>
      </c>
      <c r="R254" t="s">
        <v>1360</v>
      </c>
      <c r="S254" t="s">
        <v>1361</v>
      </c>
      <c r="V254" t="s">
        <v>1362</v>
      </c>
      <c r="Y254" t="s">
        <v>1363</v>
      </c>
      <c r="AA254" t="s">
        <v>1359</v>
      </c>
      <c r="AB254" t="s">
        <v>1360</v>
      </c>
      <c r="AC254" t="s">
        <v>1361</v>
      </c>
      <c r="AD254" t="s">
        <v>1364</v>
      </c>
      <c r="AE254" t="s">
        <v>1365</v>
      </c>
      <c r="AH254" t="s">
        <v>1366</v>
      </c>
      <c r="AI254">
        <v>187846</v>
      </c>
      <c r="AK254">
        <v>0</v>
      </c>
      <c r="AL254" s="1">
        <v>45673</v>
      </c>
      <c r="AM254">
        <v>48424</v>
      </c>
      <c r="AN254">
        <v>1863120</v>
      </c>
      <c r="AP254" s="1">
        <v>45776</v>
      </c>
      <c r="AQ254">
        <v>47424</v>
      </c>
      <c r="AR254">
        <v>1878995</v>
      </c>
      <c r="AT254" s="1">
        <v>45895</v>
      </c>
      <c r="AU254">
        <v>40848</v>
      </c>
      <c r="AV254">
        <v>1897793</v>
      </c>
      <c r="AX254" s="1">
        <v>45923</v>
      </c>
      <c r="AY254">
        <v>570</v>
      </c>
      <c r="AZ254">
        <v>1900037</v>
      </c>
      <c r="BB254" s="1">
        <v>45923</v>
      </c>
      <c r="BC254">
        <v>456</v>
      </c>
      <c r="BD254">
        <v>1900039</v>
      </c>
      <c r="BF254" s="1">
        <v>45958</v>
      </c>
      <c r="BG254">
        <v>44346</v>
      </c>
      <c r="BH254">
        <v>1907252</v>
      </c>
      <c r="BJ254" s="1">
        <v>45995</v>
      </c>
      <c r="BK254">
        <v>5778</v>
      </c>
      <c r="BL254">
        <v>1911347</v>
      </c>
    </row>
    <row r="255" spans="1:86" x14ac:dyDescent="0.25">
      <c r="A255">
        <v>572093</v>
      </c>
      <c r="B255">
        <v>102</v>
      </c>
      <c r="C255">
        <v>301128</v>
      </c>
      <c r="D255">
        <v>1</v>
      </c>
      <c r="E255">
        <v>1</v>
      </c>
      <c r="F255">
        <v>618977</v>
      </c>
      <c r="G255">
        <v>618977</v>
      </c>
      <c r="H255" t="s">
        <v>90</v>
      </c>
      <c r="N255" t="s">
        <v>1367</v>
      </c>
      <c r="O255">
        <v>4009130</v>
      </c>
      <c r="P255" t="s">
        <v>92</v>
      </c>
      <c r="Q255" t="s">
        <v>93</v>
      </c>
      <c r="R255" t="s">
        <v>1368</v>
      </c>
      <c r="S255" t="s">
        <v>1369</v>
      </c>
      <c r="V255" t="s">
        <v>1370</v>
      </c>
      <c r="W255" t="s">
        <v>212</v>
      </c>
      <c r="X255">
        <v>49233</v>
      </c>
      <c r="Y255" t="s">
        <v>99</v>
      </c>
      <c r="AA255" t="s">
        <v>1367</v>
      </c>
      <c r="AB255" t="s">
        <v>1368</v>
      </c>
      <c r="AC255" t="s">
        <v>1369</v>
      </c>
      <c r="AD255" t="s">
        <v>1371</v>
      </c>
      <c r="AH255" t="s">
        <v>1372</v>
      </c>
      <c r="AI255">
        <v>2280</v>
      </c>
      <c r="AK255">
        <v>0</v>
      </c>
      <c r="AL255" s="1">
        <v>45698</v>
      </c>
      <c r="AM255">
        <v>570</v>
      </c>
      <c r="AN255">
        <v>1864794</v>
      </c>
      <c r="AP255" s="1">
        <v>45787</v>
      </c>
      <c r="AQ255">
        <v>570</v>
      </c>
      <c r="AR255">
        <v>1879509</v>
      </c>
      <c r="AT255" s="1">
        <v>45879</v>
      </c>
      <c r="AU255">
        <v>570</v>
      </c>
      <c r="AV255">
        <v>1893591</v>
      </c>
      <c r="AX255" s="1">
        <v>45971</v>
      </c>
      <c r="AY255">
        <v>570</v>
      </c>
      <c r="AZ255">
        <v>1907453</v>
      </c>
      <c r="CH255">
        <v>49233</v>
      </c>
    </row>
    <row r="256" spans="1:86" x14ac:dyDescent="0.25">
      <c r="A256">
        <v>572094</v>
      </c>
      <c r="B256">
        <v>102</v>
      </c>
      <c r="C256">
        <v>301129</v>
      </c>
      <c r="D256">
        <v>1</v>
      </c>
      <c r="E256">
        <v>2</v>
      </c>
      <c r="F256">
        <v>620178</v>
      </c>
      <c r="G256">
        <v>620178</v>
      </c>
      <c r="H256" t="s">
        <v>90</v>
      </c>
      <c r="N256" t="s">
        <v>1373</v>
      </c>
      <c r="O256">
        <v>620178</v>
      </c>
      <c r="P256" t="s">
        <v>92</v>
      </c>
      <c r="Q256" t="s">
        <v>93</v>
      </c>
      <c r="R256" t="s">
        <v>1374</v>
      </c>
      <c r="V256" t="s">
        <v>1375</v>
      </c>
      <c r="W256" t="s">
        <v>180</v>
      </c>
      <c r="X256" t="s">
        <v>1376</v>
      </c>
      <c r="Y256" t="s">
        <v>99</v>
      </c>
      <c r="AA256" t="s">
        <v>1373</v>
      </c>
      <c r="AB256" t="s">
        <v>1374</v>
      </c>
      <c r="AC256" t="s">
        <v>1377</v>
      </c>
      <c r="AH256" t="s">
        <v>1378</v>
      </c>
      <c r="AI256">
        <v>390</v>
      </c>
      <c r="AK256">
        <v>0</v>
      </c>
      <c r="AL256" s="1">
        <v>45681</v>
      </c>
      <c r="AM256">
        <v>30</v>
      </c>
      <c r="AN256">
        <v>1862170</v>
      </c>
      <c r="AP256" s="1">
        <v>45712</v>
      </c>
      <c r="AQ256">
        <v>30</v>
      </c>
      <c r="AR256">
        <v>1867113</v>
      </c>
      <c r="AT256" s="1">
        <v>45740</v>
      </c>
      <c r="AU256">
        <v>30</v>
      </c>
      <c r="AV256">
        <v>1871480</v>
      </c>
      <c r="AX256" s="1">
        <v>45771</v>
      </c>
      <c r="AY256">
        <v>30</v>
      </c>
      <c r="AZ256">
        <v>1876714</v>
      </c>
      <c r="BB256" s="1">
        <v>45800</v>
      </c>
      <c r="BC256">
        <v>30</v>
      </c>
      <c r="BD256">
        <v>1881816</v>
      </c>
      <c r="BF256" s="1">
        <v>45819</v>
      </c>
      <c r="BG256">
        <v>30</v>
      </c>
      <c r="BH256">
        <v>1885124</v>
      </c>
      <c r="BJ256" s="1">
        <v>45832</v>
      </c>
      <c r="BK256">
        <v>30</v>
      </c>
      <c r="BL256">
        <v>1886002</v>
      </c>
      <c r="BN256" s="1">
        <v>45862</v>
      </c>
      <c r="BO256">
        <v>30</v>
      </c>
      <c r="BP256">
        <v>1891020</v>
      </c>
      <c r="BR256" s="1">
        <v>45891</v>
      </c>
      <c r="BS256">
        <v>30</v>
      </c>
      <c r="BT256">
        <v>1895854</v>
      </c>
      <c r="BV256" s="1">
        <v>45924</v>
      </c>
      <c r="BW256">
        <v>30</v>
      </c>
      <c r="BX256">
        <v>1900323</v>
      </c>
      <c r="BZ256" s="1">
        <v>45954</v>
      </c>
      <c r="CA256">
        <v>30</v>
      </c>
      <c r="CB256">
        <v>1905041</v>
      </c>
      <c r="CD256" s="1">
        <v>45985</v>
      </c>
      <c r="CE256">
        <v>30</v>
      </c>
      <c r="CF256">
        <v>1910276</v>
      </c>
      <c r="CH256">
        <v>836192617</v>
      </c>
    </row>
    <row r="257" spans="1:86" x14ac:dyDescent="0.25">
      <c r="A257">
        <v>572095</v>
      </c>
      <c r="B257">
        <v>102</v>
      </c>
      <c r="C257">
        <v>301129</v>
      </c>
      <c r="D257">
        <v>2</v>
      </c>
      <c r="E257">
        <v>2</v>
      </c>
      <c r="F257">
        <v>620178</v>
      </c>
      <c r="G257">
        <v>620178</v>
      </c>
      <c r="H257" t="s">
        <v>90</v>
      </c>
      <c r="N257" t="s">
        <v>1373</v>
      </c>
      <c r="O257">
        <v>620178</v>
      </c>
      <c r="P257" t="s">
        <v>92</v>
      </c>
      <c r="Q257" t="s">
        <v>93</v>
      </c>
      <c r="R257" t="s">
        <v>1374</v>
      </c>
      <c r="V257" t="s">
        <v>1375</v>
      </c>
      <c r="W257" t="s">
        <v>180</v>
      </c>
      <c r="X257" t="s">
        <v>1376</v>
      </c>
      <c r="Y257" t="s">
        <v>99</v>
      </c>
      <c r="AA257" t="s">
        <v>1373</v>
      </c>
      <c r="AB257" t="s">
        <v>1374</v>
      </c>
      <c r="AC257" t="s">
        <v>1377</v>
      </c>
      <c r="AH257" t="s">
        <v>1378</v>
      </c>
      <c r="AI257">
        <v>390</v>
      </c>
      <c r="AK257">
        <v>0</v>
      </c>
      <c r="AL257" s="1">
        <v>46015</v>
      </c>
      <c r="AM257">
        <v>30</v>
      </c>
      <c r="AN257">
        <v>1915981</v>
      </c>
      <c r="CH257">
        <v>836192617</v>
      </c>
    </row>
    <row r="258" spans="1:86" x14ac:dyDescent="0.25">
      <c r="A258">
        <v>572096</v>
      </c>
      <c r="B258">
        <v>102</v>
      </c>
      <c r="C258">
        <v>301130</v>
      </c>
      <c r="D258">
        <v>1</v>
      </c>
      <c r="E258">
        <v>1</v>
      </c>
      <c r="F258">
        <v>624925</v>
      </c>
      <c r="G258">
        <v>624925</v>
      </c>
      <c r="H258" t="s">
        <v>90</v>
      </c>
      <c r="N258" t="s">
        <v>1076</v>
      </c>
      <c r="O258">
        <v>4015778</v>
      </c>
      <c r="P258" t="s">
        <v>92</v>
      </c>
      <c r="Q258" t="s">
        <v>93</v>
      </c>
      <c r="R258" t="s">
        <v>1379</v>
      </c>
      <c r="S258" t="s">
        <v>1380</v>
      </c>
      <c r="V258" t="s">
        <v>1381</v>
      </c>
      <c r="W258" t="s">
        <v>212</v>
      </c>
      <c r="X258" t="s">
        <v>1382</v>
      </c>
      <c r="Y258" t="s">
        <v>99</v>
      </c>
      <c r="AA258" t="s">
        <v>1076</v>
      </c>
      <c r="AB258" t="s">
        <v>1379</v>
      </c>
      <c r="AC258" t="s">
        <v>1380</v>
      </c>
      <c r="AD258" t="s">
        <v>1383</v>
      </c>
      <c r="AH258" t="s">
        <v>1384</v>
      </c>
      <c r="AI258">
        <v>456</v>
      </c>
      <c r="AK258">
        <v>0</v>
      </c>
      <c r="AL258" s="1">
        <v>45695</v>
      </c>
      <c r="AM258">
        <v>38</v>
      </c>
      <c r="AN258">
        <v>1864952</v>
      </c>
      <c r="AP258" s="1">
        <v>45719</v>
      </c>
      <c r="AQ258">
        <v>38</v>
      </c>
      <c r="AR258">
        <v>1869083</v>
      </c>
      <c r="AT258" s="1">
        <v>45744</v>
      </c>
      <c r="AU258">
        <v>38</v>
      </c>
      <c r="AV258">
        <v>1873469</v>
      </c>
      <c r="AX258" s="1">
        <v>45772</v>
      </c>
      <c r="AY258">
        <v>38</v>
      </c>
      <c r="AZ258">
        <v>1878546</v>
      </c>
      <c r="BB258" s="1">
        <v>45804</v>
      </c>
      <c r="BC258">
        <v>38</v>
      </c>
      <c r="BD258">
        <v>1883322</v>
      </c>
      <c r="BF258" s="1">
        <v>45838</v>
      </c>
      <c r="BG258">
        <v>38</v>
      </c>
      <c r="BH258">
        <v>1887949</v>
      </c>
      <c r="BJ258" s="1">
        <v>45867</v>
      </c>
      <c r="BK258">
        <v>38</v>
      </c>
      <c r="BL258">
        <v>1891936</v>
      </c>
      <c r="BN258" s="1">
        <v>45902</v>
      </c>
      <c r="BO258">
        <v>38</v>
      </c>
      <c r="BP258">
        <v>1897541</v>
      </c>
      <c r="BR258" s="1">
        <v>45926</v>
      </c>
      <c r="BS258">
        <v>38</v>
      </c>
      <c r="BT258">
        <v>1901048</v>
      </c>
      <c r="BV258" s="1">
        <v>45993</v>
      </c>
      <c r="BW258">
        <v>38</v>
      </c>
      <c r="BX258">
        <v>1911840</v>
      </c>
      <c r="BZ258" s="1">
        <v>46003</v>
      </c>
      <c r="CA258">
        <v>38</v>
      </c>
      <c r="CB258">
        <v>1913141</v>
      </c>
      <c r="CD258" s="1">
        <v>46021</v>
      </c>
      <c r="CE258">
        <v>38</v>
      </c>
      <c r="CF258">
        <v>1916612</v>
      </c>
      <c r="CH258">
        <v>492240146</v>
      </c>
    </row>
    <row r="259" spans="1:86" x14ac:dyDescent="0.25">
      <c r="A259">
        <v>572097</v>
      </c>
      <c r="B259">
        <v>102</v>
      </c>
      <c r="C259">
        <v>301131</v>
      </c>
      <c r="D259">
        <v>1</v>
      </c>
      <c r="E259">
        <v>1</v>
      </c>
      <c r="F259">
        <v>624962</v>
      </c>
      <c r="G259">
        <v>624962</v>
      </c>
      <c r="H259" t="s">
        <v>90</v>
      </c>
      <c r="N259" t="s">
        <v>1385</v>
      </c>
      <c r="O259">
        <v>4004488</v>
      </c>
      <c r="P259" t="s">
        <v>92</v>
      </c>
      <c r="Q259" t="s">
        <v>93</v>
      </c>
      <c r="R259" t="s">
        <v>1386</v>
      </c>
      <c r="S259" t="s">
        <v>1387</v>
      </c>
      <c r="V259" t="s">
        <v>1139</v>
      </c>
      <c r="W259" t="s">
        <v>1388</v>
      </c>
      <c r="X259" t="s">
        <v>1389</v>
      </c>
      <c r="Y259" t="s">
        <v>99</v>
      </c>
      <c r="AA259" t="s">
        <v>1385</v>
      </c>
      <c r="AB259" t="s">
        <v>1386</v>
      </c>
      <c r="AC259" t="s">
        <v>1387</v>
      </c>
      <c r="AD259" t="s">
        <v>1390</v>
      </c>
      <c r="AH259" t="s">
        <v>1391</v>
      </c>
      <c r="AI259">
        <v>380</v>
      </c>
      <c r="AK259">
        <v>0</v>
      </c>
      <c r="AL259" s="1">
        <v>45658</v>
      </c>
      <c r="AM259">
        <v>38</v>
      </c>
      <c r="AN259">
        <v>1857992</v>
      </c>
      <c r="AP259" s="1">
        <v>45689</v>
      </c>
      <c r="AQ259">
        <v>38</v>
      </c>
      <c r="AR259">
        <v>1863171</v>
      </c>
      <c r="AT259" s="1">
        <v>45717</v>
      </c>
      <c r="AU259">
        <v>38</v>
      </c>
      <c r="AV259">
        <v>1867966</v>
      </c>
      <c r="AX259" s="1">
        <v>45748</v>
      </c>
      <c r="AY259">
        <v>38</v>
      </c>
      <c r="AZ259">
        <v>1872546</v>
      </c>
      <c r="BB259" s="1">
        <v>45778</v>
      </c>
      <c r="BC259">
        <v>38</v>
      </c>
      <c r="BD259">
        <v>1877780</v>
      </c>
      <c r="BF259" s="1">
        <v>45809</v>
      </c>
      <c r="BG259">
        <v>38</v>
      </c>
      <c r="BH259">
        <v>1882519</v>
      </c>
      <c r="BJ259" s="1">
        <v>45839</v>
      </c>
      <c r="BK259">
        <v>38</v>
      </c>
      <c r="BL259">
        <v>1887061</v>
      </c>
      <c r="BN259" s="1">
        <v>45870</v>
      </c>
      <c r="BO259">
        <v>38</v>
      </c>
      <c r="BP259">
        <v>1891990</v>
      </c>
      <c r="BR259" s="1">
        <v>45901</v>
      </c>
      <c r="BS259">
        <v>38</v>
      </c>
      <c r="BT259">
        <v>1896495</v>
      </c>
      <c r="BV259" s="1">
        <v>45931</v>
      </c>
      <c r="BW259">
        <v>38</v>
      </c>
      <c r="BX259">
        <v>1901095</v>
      </c>
      <c r="CH259">
        <v>319071298</v>
      </c>
    </row>
    <row r="260" spans="1:86" x14ac:dyDescent="0.25">
      <c r="A260">
        <v>572098</v>
      </c>
      <c r="B260">
        <v>102</v>
      </c>
      <c r="C260">
        <v>301132</v>
      </c>
      <c r="D260">
        <v>1</v>
      </c>
      <c r="E260">
        <v>1</v>
      </c>
      <c r="F260">
        <v>625142</v>
      </c>
      <c r="G260">
        <v>625142</v>
      </c>
      <c r="H260" t="s">
        <v>90</v>
      </c>
      <c r="N260" t="s">
        <v>1392</v>
      </c>
      <c r="O260">
        <v>625142</v>
      </c>
      <c r="P260" t="s">
        <v>92</v>
      </c>
      <c r="Q260" t="s">
        <v>93</v>
      </c>
      <c r="R260" t="s">
        <v>1393</v>
      </c>
      <c r="V260" t="s">
        <v>1394</v>
      </c>
      <c r="W260" t="s">
        <v>105</v>
      </c>
      <c r="X260" t="s">
        <v>1395</v>
      </c>
      <c r="Y260" t="s">
        <v>99</v>
      </c>
      <c r="AA260" t="s">
        <v>1392</v>
      </c>
      <c r="AB260" t="s">
        <v>1393</v>
      </c>
      <c r="AC260" t="s">
        <v>1396</v>
      </c>
      <c r="AH260" t="s">
        <v>1397</v>
      </c>
      <c r="AI260">
        <v>1000</v>
      </c>
      <c r="AK260">
        <v>0</v>
      </c>
      <c r="AL260" s="1">
        <v>45951</v>
      </c>
      <c r="AM260">
        <v>1000</v>
      </c>
      <c r="AN260">
        <v>1905237</v>
      </c>
      <c r="CH260">
        <v>920273058</v>
      </c>
    </row>
    <row r="261" spans="1:86" x14ac:dyDescent="0.25">
      <c r="A261">
        <v>572099</v>
      </c>
      <c r="B261">
        <v>102</v>
      </c>
      <c r="C261">
        <v>301133</v>
      </c>
      <c r="D261">
        <v>1</v>
      </c>
      <c r="E261">
        <v>1</v>
      </c>
      <c r="F261">
        <v>625336</v>
      </c>
      <c r="G261">
        <v>625336</v>
      </c>
      <c r="H261" t="s">
        <v>90</v>
      </c>
      <c r="N261" t="s">
        <v>1398</v>
      </c>
      <c r="O261">
        <v>4004492</v>
      </c>
      <c r="P261" t="s">
        <v>92</v>
      </c>
      <c r="Q261" t="s">
        <v>93</v>
      </c>
      <c r="R261" t="s">
        <v>1399</v>
      </c>
      <c r="S261" t="s">
        <v>1400</v>
      </c>
      <c r="V261" t="s">
        <v>1401</v>
      </c>
      <c r="W261" t="s">
        <v>398</v>
      </c>
      <c r="X261" t="s">
        <v>1402</v>
      </c>
      <c r="Y261" t="s">
        <v>99</v>
      </c>
      <c r="AA261" t="s">
        <v>1398</v>
      </c>
      <c r="AB261" t="s">
        <v>1399</v>
      </c>
      <c r="AC261" t="s">
        <v>1400</v>
      </c>
      <c r="AD261" t="s">
        <v>1403</v>
      </c>
      <c r="AH261" t="s">
        <v>1404</v>
      </c>
      <c r="AI261">
        <v>570</v>
      </c>
      <c r="AK261">
        <v>0</v>
      </c>
      <c r="AL261" s="1">
        <v>45667</v>
      </c>
      <c r="AM261">
        <v>76</v>
      </c>
      <c r="AN261">
        <v>1861452</v>
      </c>
      <c r="AP261" s="1">
        <v>45728</v>
      </c>
      <c r="AQ261">
        <v>76</v>
      </c>
      <c r="AR261">
        <v>1870956</v>
      </c>
      <c r="AT261" s="1">
        <v>45793</v>
      </c>
      <c r="AU261">
        <v>76</v>
      </c>
      <c r="AV261">
        <v>1881304</v>
      </c>
      <c r="AX261" s="1">
        <v>45867</v>
      </c>
      <c r="AY261">
        <v>76</v>
      </c>
      <c r="AZ261">
        <v>1891911</v>
      </c>
      <c r="BB261" s="1">
        <v>45902</v>
      </c>
      <c r="BC261">
        <v>152</v>
      </c>
      <c r="BD261">
        <v>1897488</v>
      </c>
      <c r="BF261" s="1">
        <v>46021</v>
      </c>
      <c r="BG261">
        <v>114</v>
      </c>
      <c r="BH261">
        <v>1917097</v>
      </c>
      <c r="CH261">
        <v>535549780</v>
      </c>
    </row>
    <row r="262" spans="1:86" x14ac:dyDescent="0.25">
      <c r="A262">
        <v>572100</v>
      </c>
      <c r="B262">
        <v>102</v>
      </c>
      <c r="C262">
        <v>301134</v>
      </c>
      <c r="D262">
        <v>1</v>
      </c>
      <c r="E262">
        <v>1</v>
      </c>
      <c r="F262">
        <v>625401</v>
      </c>
      <c r="G262">
        <v>625401</v>
      </c>
      <c r="H262" t="s">
        <v>90</v>
      </c>
      <c r="N262" t="s">
        <v>1405</v>
      </c>
      <c r="O262">
        <v>4004493</v>
      </c>
      <c r="P262" t="s">
        <v>92</v>
      </c>
      <c r="Q262" t="s">
        <v>93</v>
      </c>
      <c r="R262" t="s">
        <v>1406</v>
      </c>
      <c r="S262" t="s">
        <v>1407</v>
      </c>
      <c r="V262" t="s">
        <v>1408</v>
      </c>
      <c r="W262" t="s">
        <v>105</v>
      </c>
      <c r="X262" t="s">
        <v>1409</v>
      </c>
      <c r="Y262" t="s">
        <v>99</v>
      </c>
      <c r="AA262" t="s">
        <v>1405</v>
      </c>
      <c r="AB262" t="s">
        <v>1406</v>
      </c>
      <c r="AC262" t="s">
        <v>1407</v>
      </c>
      <c r="AD262" t="s">
        <v>1410</v>
      </c>
      <c r="AH262" t="s">
        <v>1411</v>
      </c>
      <c r="AI262">
        <v>456</v>
      </c>
      <c r="AK262">
        <v>0</v>
      </c>
      <c r="AL262" s="1">
        <v>45658</v>
      </c>
      <c r="AM262">
        <v>38</v>
      </c>
      <c r="AN262">
        <v>1858484</v>
      </c>
      <c r="AP262" s="1">
        <v>45689</v>
      </c>
      <c r="AQ262">
        <v>38</v>
      </c>
      <c r="AR262">
        <v>1863653</v>
      </c>
      <c r="AT262" s="1">
        <v>45717</v>
      </c>
      <c r="AU262">
        <v>38</v>
      </c>
      <c r="AV262">
        <v>1868433</v>
      </c>
      <c r="AX262" s="1">
        <v>45748</v>
      </c>
      <c r="AY262">
        <v>38</v>
      </c>
      <c r="AZ262">
        <v>1873014</v>
      </c>
      <c r="BB262" s="1">
        <v>45778</v>
      </c>
      <c r="BC262">
        <v>38</v>
      </c>
      <c r="BD262">
        <v>1878254</v>
      </c>
      <c r="BF262" s="1">
        <v>45809</v>
      </c>
      <c r="BG262">
        <v>38</v>
      </c>
      <c r="BH262">
        <v>1882992</v>
      </c>
      <c r="BJ262" s="1">
        <v>45839</v>
      </c>
      <c r="BK262">
        <v>38</v>
      </c>
      <c r="BL262">
        <v>1887528</v>
      </c>
      <c r="BN262" s="1">
        <v>45870</v>
      </c>
      <c r="BO262">
        <v>38</v>
      </c>
      <c r="BP262">
        <v>1892455</v>
      </c>
      <c r="BR262" s="1">
        <v>45901</v>
      </c>
      <c r="BS262">
        <v>38</v>
      </c>
      <c r="BT262">
        <v>1896958</v>
      </c>
      <c r="BV262" s="1">
        <v>45931</v>
      </c>
      <c r="BW262">
        <v>38</v>
      </c>
      <c r="BX262">
        <v>1901562</v>
      </c>
      <c r="BZ262" s="1">
        <v>45962</v>
      </c>
      <c r="CA262">
        <v>38</v>
      </c>
      <c r="CB262">
        <v>1906112</v>
      </c>
      <c r="CD262" s="1">
        <v>45992</v>
      </c>
      <c r="CE262">
        <v>38</v>
      </c>
      <c r="CF262">
        <v>1910794</v>
      </c>
      <c r="CH262">
        <v>900654827</v>
      </c>
    </row>
    <row r="263" spans="1:86" x14ac:dyDescent="0.25">
      <c r="A263">
        <v>572101</v>
      </c>
      <c r="B263">
        <v>102</v>
      </c>
      <c r="C263">
        <v>301135</v>
      </c>
      <c r="D263">
        <v>1</v>
      </c>
      <c r="E263">
        <v>1</v>
      </c>
      <c r="F263">
        <v>625599</v>
      </c>
      <c r="G263">
        <v>625599</v>
      </c>
      <c r="H263" t="s">
        <v>90</v>
      </c>
      <c r="N263" t="s">
        <v>1412</v>
      </c>
      <c r="O263">
        <v>625599</v>
      </c>
      <c r="P263" t="s">
        <v>92</v>
      </c>
      <c r="Q263" t="s">
        <v>93</v>
      </c>
      <c r="R263" t="s">
        <v>1413</v>
      </c>
      <c r="V263" t="s">
        <v>1414</v>
      </c>
      <c r="W263" t="s">
        <v>212</v>
      </c>
      <c r="X263" t="s">
        <v>1415</v>
      </c>
      <c r="Y263" t="s">
        <v>99</v>
      </c>
      <c r="AA263" t="s">
        <v>1412</v>
      </c>
      <c r="AB263" t="s">
        <v>1413</v>
      </c>
      <c r="AC263" t="s">
        <v>1416</v>
      </c>
      <c r="AH263" t="s">
        <v>1417</v>
      </c>
      <c r="AI263">
        <v>38</v>
      </c>
      <c r="AK263">
        <v>0</v>
      </c>
      <c r="AL263" s="1">
        <v>45999</v>
      </c>
      <c r="AM263">
        <v>38</v>
      </c>
      <c r="AN263">
        <v>1911906</v>
      </c>
      <c r="CH263">
        <v>490245386</v>
      </c>
    </row>
    <row r="264" spans="1:86" x14ac:dyDescent="0.25">
      <c r="A264">
        <v>572102</v>
      </c>
      <c r="B264">
        <v>102</v>
      </c>
      <c r="C264">
        <v>301136</v>
      </c>
      <c r="D264">
        <v>1</v>
      </c>
      <c r="E264">
        <v>1</v>
      </c>
      <c r="F264">
        <v>625829</v>
      </c>
      <c r="G264">
        <v>625829</v>
      </c>
      <c r="H264" t="s">
        <v>90</v>
      </c>
      <c r="N264" t="s">
        <v>1418</v>
      </c>
      <c r="O264">
        <v>4004496</v>
      </c>
      <c r="P264" t="s">
        <v>92</v>
      </c>
      <c r="Q264" t="s">
        <v>93</v>
      </c>
      <c r="R264" t="s">
        <v>1419</v>
      </c>
      <c r="S264" t="s">
        <v>1420</v>
      </c>
      <c r="V264" t="s">
        <v>1421</v>
      </c>
      <c r="W264" t="s">
        <v>406</v>
      </c>
      <c r="X264">
        <v>56308</v>
      </c>
      <c r="Y264" t="s">
        <v>99</v>
      </c>
      <c r="AA264" t="s">
        <v>1418</v>
      </c>
      <c r="AB264" t="s">
        <v>1419</v>
      </c>
      <c r="AC264" t="s">
        <v>1420</v>
      </c>
      <c r="AD264" t="s">
        <v>1422</v>
      </c>
      <c r="AH264" t="s">
        <v>1423</v>
      </c>
      <c r="AI264">
        <v>380</v>
      </c>
      <c r="AK264">
        <v>0</v>
      </c>
      <c r="AL264" s="1">
        <v>45685</v>
      </c>
      <c r="AM264">
        <v>38</v>
      </c>
      <c r="AN264">
        <v>1863008</v>
      </c>
      <c r="AP264" s="1">
        <v>45716</v>
      </c>
      <c r="AQ264">
        <v>38</v>
      </c>
      <c r="AR264">
        <v>1867854</v>
      </c>
      <c r="AT264" s="1">
        <v>45744</v>
      </c>
      <c r="AU264">
        <v>38</v>
      </c>
      <c r="AV264">
        <v>1872388</v>
      </c>
      <c r="AX264" s="1">
        <v>45775</v>
      </c>
      <c r="AY264">
        <v>38</v>
      </c>
      <c r="AZ264">
        <v>1877567</v>
      </c>
      <c r="BB264" s="1">
        <v>45805</v>
      </c>
      <c r="BC264">
        <v>38</v>
      </c>
      <c r="BD264">
        <v>1882156</v>
      </c>
      <c r="BF264" s="1">
        <v>45836</v>
      </c>
      <c r="BG264">
        <v>38</v>
      </c>
      <c r="BH264">
        <v>1886965</v>
      </c>
      <c r="BJ264" s="1">
        <v>45866</v>
      </c>
      <c r="BK264">
        <v>38</v>
      </c>
      <c r="BL264">
        <v>1891702</v>
      </c>
      <c r="BN264" s="1">
        <v>45897</v>
      </c>
      <c r="BO264">
        <v>38</v>
      </c>
      <c r="BP264">
        <v>1896195</v>
      </c>
      <c r="BR264" s="1">
        <v>45928</v>
      </c>
      <c r="BS264">
        <v>38</v>
      </c>
      <c r="BT264">
        <v>1900922</v>
      </c>
      <c r="BV264" s="1">
        <v>45958</v>
      </c>
      <c r="BW264">
        <v>38</v>
      </c>
      <c r="BX264">
        <v>1905526</v>
      </c>
      <c r="CH264">
        <v>56308</v>
      </c>
    </row>
    <row r="265" spans="1:86" x14ac:dyDescent="0.25">
      <c r="A265">
        <v>572103</v>
      </c>
      <c r="B265">
        <v>102</v>
      </c>
      <c r="C265">
        <v>301137</v>
      </c>
      <c r="D265">
        <v>1</v>
      </c>
      <c r="E265">
        <v>1</v>
      </c>
      <c r="F265">
        <v>625903</v>
      </c>
      <c r="G265">
        <v>625903</v>
      </c>
      <c r="H265" t="s">
        <v>90</v>
      </c>
      <c r="N265" t="s">
        <v>1424</v>
      </c>
      <c r="O265">
        <v>4007445</v>
      </c>
      <c r="P265" t="s">
        <v>92</v>
      </c>
      <c r="Q265" t="s">
        <v>93</v>
      </c>
      <c r="R265" t="s">
        <v>1425</v>
      </c>
      <c r="S265" t="s">
        <v>1426</v>
      </c>
      <c r="V265" t="s">
        <v>1427</v>
      </c>
      <c r="W265" t="s">
        <v>698</v>
      </c>
      <c r="X265" t="s">
        <v>1428</v>
      </c>
      <c r="Y265" t="s">
        <v>99</v>
      </c>
      <c r="AA265" t="s">
        <v>1424</v>
      </c>
      <c r="AB265" t="s">
        <v>1425</v>
      </c>
      <c r="AC265" t="s">
        <v>1426</v>
      </c>
      <c r="AD265" t="s">
        <v>1429</v>
      </c>
      <c r="AH265" t="s">
        <v>1430</v>
      </c>
      <c r="AI265">
        <v>912</v>
      </c>
      <c r="AK265">
        <v>0</v>
      </c>
      <c r="AL265" s="1">
        <v>45740</v>
      </c>
      <c r="AM265">
        <v>304</v>
      </c>
      <c r="AN265">
        <v>1872093</v>
      </c>
      <c r="AP265" s="1">
        <v>45884</v>
      </c>
      <c r="AQ265">
        <v>304</v>
      </c>
      <c r="AR265">
        <v>1894538</v>
      </c>
      <c r="AT265" s="1">
        <v>45965</v>
      </c>
      <c r="AU265">
        <v>304</v>
      </c>
      <c r="AV265">
        <v>1907060</v>
      </c>
      <c r="CH265">
        <v>437250082</v>
      </c>
    </row>
    <row r="266" spans="1:86" x14ac:dyDescent="0.25">
      <c r="A266">
        <v>572104</v>
      </c>
      <c r="B266">
        <v>102</v>
      </c>
      <c r="C266">
        <v>301138</v>
      </c>
      <c r="D266">
        <v>1</v>
      </c>
      <c r="E266">
        <v>1</v>
      </c>
      <c r="F266">
        <v>626021</v>
      </c>
      <c r="G266">
        <v>626021</v>
      </c>
      <c r="H266" t="s">
        <v>90</v>
      </c>
      <c r="N266" t="s">
        <v>1431</v>
      </c>
      <c r="O266">
        <v>4006735</v>
      </c>
      <c r="P266" t="s">
        <v>92</v>
      </c>
      <c r="Q266" t="s">
        <v>93</v>
      </c>
      <c r="R266" t="s">
        <v>1432</v>
      </c>
      <c r="S266" t="s">
        <v>1433</v>
      </c>
      <c r="V266" t="s">
        <v>1434</v>
      </c>
      <c r="W266" t="s">
        <v>451</v>
      </c>
      <c r="X266" t="s">
        <v>1435</v>
      </c>
      <c r="Y266" t="s">
        <v>99</v>
      </c>
      <c r="AA266" t="s">
        <v>1431</v>
      </c>
      <c r="AB266" t="s">
        <v>1432</v>
      </c>
      <c r="AC266" t="s">
        <v>1433</v>
      </c>
      <c r="AD266" t="s">
        <v>1436</v>
      </c>
      <c r="AH266" t="s">
        <v>1437</v>
      </c>
      <c r="AI266">
        <v>456</v>
      </c>
      <c r="AK266">
        <v>0</v>
      </c>
      <c r="AL266" s="1">
        <v>45814</v>
      </c>
      <c r="AM266">
        <v>456</v>
      </c>
      <c r="AN266">
        <v>1884081</v>
      </c>
      <c r="CH266">
        <v>508541739</v>
      </c>
    </row>
    <row r="267" spans="1:86" x14ac:dyDescent="0.25">
      <c r="A267">
        <v>572105</v>
      </c>
      <c r="B267">
        <v>102</v>
      </c>
      <c r="C267">
        <v>301139</v>
      </c>
      <c r="D267">
        <v>1</v>
      </c>
      <c r="E267">
        <v>1</v>
      </c>
      <c r="F267">
        <v>626059</v>
      </c>
      <c r="G267">
        <v>626059</v>
      </c>
      <c r="H267" t="s">
        <v>90</v>
      </c>
      <c r="N267" t="s">
        <v>1438</v>
      </c>
      <c r="O267">
        <v>626059</v>
      </c>
      <c r="P267" t="s">
        <v>92</v>
      </c>
      <c r="Q267" t="s">
        <v>93</v>
      </c>
      <c r="R267" t="s">
        <v>1439</v>
      </c>
      <c r="V267" t="s">
        <v>1440</v>
      </c>
      <c r="W267" t="s">
        <v>491</v>
      </c>
      <c r="X267" t="s">
        <v>1441</v>
      </c>
      <c r="Y267" t="s">
        <v>99</v>
      </c>
      <c r="AA267" t="s">
        <v>1438</v>
      </c>
      <c r="AB267" t="s">
        <v>1439</v>
      </c>
      <c r="AC267" t="s">
        <v>1442</v>
      </c>
      <c r="AH267" t="s">
        <v>1443</v>
      </c>
      <c r="AI267">
        <v>456</v>
      </c>
      <c r="AK267">
        <v>0</v>
      </c>
      <c r="AL267" s="1">
        <v>45979</v>
      </c>
      <c r="AM267">
        <v>456</v>
      </c>
      <c r="AN267">
        <v>1910226</v>
      </c>
      <c r="CH267">
        <v>370665455</v>
      </c>
    </row>
    <row r="268" spans="1:86" x14ac:dyDescent="0.25">
      <c r="A268">
        <v>572106</v>
      </c>
      <c r="B268">
        <v>102</v>
      </c>
      <c r="C268">
        <v>301140</v>
      </c>
      <c r="D268">
        <v>1</v>
      </c>
      <c r="E268">
        <v>1</v>
      </c>
      <c r="F268">
        <v>626392</v>
      </c>
      <c r="G268">
        <v>626392</v>
      </c>
      <c r="H268" t="s">
        <v>90</v>
      </c>
      <c r="N268" t="s">
        <v>1444</v>
      </c>
      <c r="O268">
        <v>626392</v>
      </c>
      <c r="P268" t="s">
        <v>92</v>
      </c>
      <c r="Q268" t="s">
        <v>93</v>
      </c>
      <c r="R268" t="s">
        <v>1445</v>
      </c>
      <c r="V268" t="s">
        <v>1446</v>
      </c>
      <c r="W268" t="s">
        <v>192</v>
      </c>
      <c r="X268" t="s">
        <v>1447</v>
      </c>
      <c r="Y268" t="s">
        <v>99</v>
      </c>
      <c r="AA268" t="s">
        <v>1444</v>
      </c>
      <c r="AB268" t="s">
        <v>1445</v>
      </c>
      <c r="AC268" t="s">
        <v>1448</v>
      </c>
      <c r="AH268" t="s">
        <v>1449</v>
      </c>
      <c r="AI268">
        <v>456</v>
      </c>
      <c r="AK268">
        <v>0</v>
      </c>
      <c r="AL268" s="1">
        <v>45664</v>
      </c>
      <c r="AM268">
        <v>38</v>
      </c>
      <c r="AN268">
        <v>1859094</v>
      </c>
      <c r="AP268" s="1">
        <v>45695</v>
      </c>
      <c r="AQ268">
        <v>38</v>
      </c>
      <c r="AR268">
        <v>1864557</v>
      </c>
      <c r="AT268" s="1">
        <v>45723</v>
      </c>
      <c r="AU268">
        <v>38</v>
      </c>
      <c r="AV268">
        <v>1869222</v>
      </c>
      <c r="AX268" s="1">
        <v>45754</v>
      </c>
      <c r="AY268">
        <v>38</v>
      </c>
      <c r="AZ268">
        <v>1874082</v>
      </c>
      <c r="BB268" s="1">
        <v>45784</v>
      </c>
      <c r="BC268">
        <v>38</v>
      </c>
      <c r="BD268">
        <v>1879122</v>
      </c>
      <c r="BF268" s="1">
        <v>45815</v>
      </c>
      <c r="BG268">
        <v>38</v>
      </c>
      <c r="BH268">
        <v>1883922</v>
      </c>
      <c r="BJ268" s="1">
        <v>45845</v>
      </c>
      <c r="BK268">
        <v>38</v>
      </c>
      <c r="BL268">
        <v>1888437</v>
      </c>
      <c r="BN268" s="1">
        <v>45876</v>
      </c>
      <c r="BO268">
        <v>38</v>
      </c>
      <c r="BP268">
        <v>1893154</v>
      </c>
      <c r="BR268" s="1">
        <v>45907</v>
      </c>
      <c r="BS268">
        <v>38</v>
      </c>
      <c r="BT268">
        <v>1897808</v>
      </c>
      <c r="BV268" s="1">
        <v>45937</v>
      </c>
      <c r="BW268">
        <v>38</v>
      </c>
      <c r="BX268">
        <v>1902464</v>
      </c>
      <c r="BZ268" s="1">
        <v>45968</v>
      </c>
      <c r="CA268">
        <v>38</v>
      </c>
      <c r="CB268">
        <v>1907190</v>
      </c>
      <c r="CD268" s="1">
        <v>45998</v>
      </c>
      <c r="CE268">
        <v>38</v>
      </c>
      <c r="CF268">
        <v>1911692</v>
      </c>
      <c r="CH268">
        <v>988410033</v>
      </c>
    </row>
    <row r="269" spans="1:86" x14ac:dyDescent="0.25">
      <c r="A269">
        <v>572107</v>
      </c>
      <c r="B269">
        <v>102</v>
      </c>
      <c r="C269">
        <v>301141</v>
      </c>
      <c r="D269">
        <v>1</v>
      </c>
      <c r="E269">
        <v>1</v>
      </c>
      <c r="F269">
        <v>626393</v>
      </c>
      <c r="G269">
        <v>626393</v>
      </c>
      <c r="H269" t="s">
        <v>90</v>
      </c>
      <c r="N269" t="s">
        <v>1450</v>
      </c>
      <c r="O269">
        <v>626393</v>
      </c>
      <c r="P269" t="s">
        <v>92</v>
      </c>
      <c r="Q269" t="s">
        <v>93</v>
      </c>
      <c r="R269" t="s">
        <v>1451</v>
      </c>
      <c r="V269" t="s">
        <v>1452</v>
      </c>
      <c r="W269" t="s">
        <v>212</v>
      </c>
      <c r="X269" t="s">
        <v>1453</v>
      </c>
      <c r="Y269" t="s">
        <v>99</v>
      </c>
      <c r="AA269" t="s">
        <v>1450</v>
      </c>
      <c r="AB269" t="s">
        <v>1451</v>
      </c>
      <c r="AC269" t="s">
        <v>1454</v>
      </c>
      <c r="AH269" t="s">
        <v>1455</v>
      </c>
      <c r="AI269">
        <v>836</v>
      </c>
      <c r="AK269">
        <v>0</v>
      </c>
      <c r="AL269" s="1">
        <v>45674</v>
      </c>
      <c r="AM269">
        <v>76</v>
      </c>
      <c r="AN269">
        <v>1861992</v>
      </c>
      <c r="AP269" s="1">
        <v>45702</v>
      </c>
      <c r="AQ269">
        <v>76</v>
      </c>
      <c r="AR269">
        <v>1866755</v>
      </c>
      <c r="AT269" s="1">
        <v>45730</v>
      </c>
      <c r="AU269">
        <v>76</v>
      </c>
      <c r="AV269">
        <v>1871055</v>
      </c>
      <c r="AX269" s="1">
        <v>45761</v>
      </c>
      <c r="AY269">
        <v>76</v>
      </c>
      <c r="AZ269">
        <v>1876303</v>
      </c>
      <c r="BB269" s="1">
        <v>45814</v>
      </c>
      <c r="BC269">
        <v>76</v>
      </c>
      <c r="BD269">
        <v>1884089</v>
      </c>
      <c r="BF269" s="1">
        <v>45849</v>
      </c>
      <c r="BG269">
        <v>76</v>
      </c>
      <c r="BH269">
        <v>1890297</v>
      </c>
      <c r="BJ269" s="1">
        <v>45882</v>
      </c>
      <c r="BK269">
        <v>76</v>
      </c>
      <c r="BL269">
        <v>1893998</v>
      </c>
      <c r="BN269" s="1">
        <v>45912</v>
      </c>
      <c r="BO269">
        <v>76</v>
      </c>
      <c r="BP269">
        <v>1899205</v>
      </c>
      <c r="BR269" s="1">
        <v>45937</v>
      </c>
      <c r="BS269">
        <v>76</v>
      </c>
      <c r="BT269">
        <v>1902656</v>
      </c>
      <c r="BV269" s="1">
        <v>45968</v>
      </c>
      <c r="BW269">
        <v>76</v>
      </c>
      <c r="BX269">
        <v>1908697</v>
      </c>
      <c r="BZ269" s="1">
        <v>46003</v>
      </c>
      <c r="CA269">
        <v>76</v>
      </c>
      <c r="CB269">
        <v>1913614</v>
      </c>
      <c r="CH269">
        <v>484338823</v>
      </c>
    </row>
    <row r="270" spans="1:86" x14ac:dyDescent="0.25">
      <c r="A270">
        <v>572108</v>
      </c>
      <c r="B270">
        <v>102</v>
      </c>
      <c r="C270">
        <v>301142</v>
      </c>
      <c r="D270">
        <v>1</v>
      </c>
      <c r="E270">
        <v>1</v>
      </c>
      <c r="F270">
        <v>626659</v>
      </c>
      <c r="G270">
        <v>626659</v>
      </c>
      <c r="H270" t="s">
        <v>90</v>
      </c>
      <c r="N270" t="s">
        <v>1456</v>
      </c>
      <c r="O270">
        <v>626659</v>
      </c>
      <c r="P270" t="s">
        <v>92</v>
      </c>
      <c r="Q270" t="s">
        <v>93</v>
      </c>
      <c r="R270" t="s">
        <v>1457</v>
      </c>
      <c r="V270" t="s">
        <v>1458</v>
      </c>
      <c r="W270" t="s">
        <v>579</v>
      </c>
      <c r="X270" t="s">
        <v>1459</v>
      </c>
      <c r="Y270" t="s">
        <v>99</v>
      </c>
      <c r="AA270" t="s">
        <v>1456</v>
      </c>
      <c r="AB270" t="s">
        <v>1457</v>
      </c>
      <c r="AC270" t="s">
        <v>1460</v>
      </c>
      <c r="AI270">
        <v>1668</v>
      </c>
      <c r="AK270">
        <v>0</v>
      </c>
      <c r="AL270" s="1">
        <v>45664</v>
      </c>
      <c r="AM270">
        <v>342</v>
      </c>
      <c r="AN270">
        <v>1861496</v>
      </c>
      <c r="AP270" s="1">
        <v>45758</v>
      </c>
      <c r="AQ270">
        <v>392</v>
      </c>
      <c r="AR270">
        <v>1875526</v>
      </c>
      <c r="AT270" s="1">
        <v>45847</v>
      </c>
      <c r="AU270">
        <v>442</v>
      </c>
      <c r="AV270">
        <v>1890209</v>
      </c>
      <c r="AX270" s="1">
        <v>45937</v>
      </c>
      <c r="AY270">
        <v>492</v>
      </c>
      <c r="AZ270">
        <v>1902649</v>
      </c>
      <c r="CH270">
        <v>186577707</v>
      </c>
    </row>
    <row r="271" spans="1:86" x14ac:dyDescent="0.25">
      <c r="A271">
        <v>572109</v>
      </c>
      <c r="B271">
        <v>102</v>
      </c>
      <c r="C271">
        <v>301143</v>
      </c>
      <c r="D271">
        <v>1</v>
      </c>
      <c r="E271">
        <v>1</v>
      </c>
      <c r="F271">
        <v>626664</v>
      </c>
      <c r="G271">
        <v>626664</v>
      </c>
      <c r="H271" t="s">
        <v>90</v>
      </c>
      <c r="N271" t="s">
        <v>1461</v>
      </c>
      <c r="O271">
        <v>4011026</v>
      </c>
      <c r="P271" t="s">
        <v>92</v>
      </c>
      <c r="Q271" t="s">
        <v>93</v>
      </c>
      <c r="R271" t="s">
        <v>1462</v>
      </c>
      <c r="V271" t="s">
        <v>738</v>
      </c>
      <c r="W271" t="s">
        <v>579</v>
      </c>
      <c r="X271" t="s">
        <v>1463</v>
      </c>
      <c r="Y271" t="s">
        <v>99</v>
      </c>
      <c r="AA271" t="s">
        <v>1461</v>
      </c>
      <c r="AB271" t="s">
        <v>1462</v>
      </c>
      <c r="AC271" t="s">
        <v>1464</v>
      </c>
      <c r="AH271" t="s">
        <v>1465</v>
      </c>
      <c r="AI271">
        <v>342</v>
      </c>
      <c r="AK271">
        <v>0</v>
      </c>
      <c r="AL271" s="1">
        <v>45684</v>
      </c>
      <c r="AM271">
        <v>38</v>
      </c>
      <c r="AN271">
        <v>1862721</v>
      </c>
      <c r="AP271" s="1">
        <v>45714</v>
      </c>
      <c r="AQ271">
        <v>38</v>
      </c>
      <c r="AR271">
        <v>1867430</v>
      </c>
      <c r="AT271" s="1">
        <v>45744</v>
      </c>
      <c r="AU271">
        <v>38</v>
      </c>
      <c r="AV271">
        <v>1873259</v>
      </c>
      <c r="AX271" s="1">
        <v>45777</v>
      </c>
      <c r="AY271">
        <v>38</v>
      </c>
      <c r="AZ271">
        <v>1879085</v>
      </c>
      <c r="BB271" s="1">
        <v>45804</v>
      </c>
      <c r="BC271">
        <v>38</v>
      </c>
      <c r="BD271">
        <v>1883321</v>
      </c>
      <c r="BF271" s="1">
        <v>45841</v>
      </c>
      <c r="BG271">
        <v>38</v>
      </c>
      <c r="BH271">
        <v>1888813</v>
      </c>
      <c r="BJ271" s="1">
        <v>45867</v>
      </c>
      <c r="BK271">
        <v>38</v>
      </c>
      <c r="BL271">
        <v>1891933</v>
      </c>
      <c r="BN271" s="1">
        <v>45896</v>
      </c>
      <c r="BO271">
        <v>38</v>
      </c>
      <c r="BP271">
        <v>1896400</v>
      </c>
      <c r="BR271" s="1">
        <v>45930</v>
      </c>
      <c r="BS271">
        <v>38</v>
      </c>
      <c r="BT271">
        <v>1901903</v>
      </c>
      <c r="CH271">
        <v>167013223</v>
      </c>
    </row>
    <row r="272" spans="1:86" x14ac:dyDescent="0.25">
      <c r="A272">
        <v>572110</v>
      </c>
      <c r="B272">
        <v>102</v>
      </c>
      <c r="C272">
        <v>301144</v>
      </c>
      <c r="D272">
        <v>1</v>
      </c>
      <c r="E272">
        <v>1</v>
      </c>
      <c r="F272">
        <v>626762</v>
      </c>
      <c r="G272">
        <v>626762</v>
      </c>
      <c r="H272" t="s">
        <v>90</v>
      </c>
      <c r="N272" t="s">
        <v>1466</v>
      </c>
      <c r="O272">
        <v>626762</v>
      </c>
      <c r="P272" t="s">
        <v>92</v>
      </c>
      <c r="Q272" t="s">
        <v>93</v>
      </c>
      <c r="R272" t="s">
        <v>1467</v>
      </c>
      <c r="V272" t="s">
        <v>1468</v>
      </c>
      <c r="W272" t="s">
        <v>579</v>
      </c>
      <c r="X272" t="s">
        <v>1469</v>
      </c>
      <c r="Y272" t="s">
        <v>99</v>
      </c>
      <c r="AA272" t="s">
        <v>1466</v>
      </c>
      <c r="AB272" t="s">
        <v>1467</v>
      </c>
      <c r="AC272" t="s">
        <v>1470</v>
      </c>
      <c r="AH272" t="s">
        <v>1471</v>
      </c>
      <c r="AI272">
        <v>756</v>
      </c>
      <c r="AK272">
        <v>0</v>
      </c>
      <c r="AL272" s="1">
        <v>46000</v>
      </c>
      <c r="AM272">
        <v>756</v>
      </c>
      <c r="AN272">
        <v>1913014</v>
      </c>
      <c r="CH272">
        <v>154781429</v>
      </c>
    </row>
    <row r="273" spans="1:86" x14ac:dyDescent="0.25">
      <c r="A273">
        <v>572111</v>
      </c>
      <c r="B273">
        <v>102</v>
      </c>
      <c r="C273">
        <v>301145</v>
      </c>
      <c r="D273">
        <v>1</v>
      </c>
      <c r="E273">
        <v>2</v>
      </c>
      <c r="F273">
        <v>626787</v>
      </c>
      <c r="G273">
        <v>626787</v>
      </c>
      <c r="H273" t="s">
        <v>90</v>
      </c>
      <c r="N273" t="s">
        <v>1472</v>
      </c>
      <c r="O273">
        <v>4008332</v>
      </c>
      <c r="P273" t="s">
        <v>92</v>
      </c>
      <c r="Q273" t="s">
        <v>93</v>
      </c>
      <c r="R273" t="s">
        <v>1473</v>
      </c>
      <c r="V273" t="s">
        <v>1474</v>
      </c>
      <c r="W273" t="s">
        <v>809</v>
      </c>
      <c r="X273">
        <v>97123</v>
      </c>
      <c r="Y273" t="s">
        <v>99</v>
      </c>
      <c r="AA273" t="s">
        <v>1472</v>
      </c>
      <c r="AB273" t="s">
        <v>1473</v>
      </c>
      <c r="AC273" t="s">
        <v>1475</v>
      </c>
      <c r="AH273" t="s">
        <v>1476</v>
      </c>
      <c r="AI273">
        <v>520.5</v>
      </c>
      <c r="AK273">
        <v>0</v>
      </c>
      <c r="AL273" s="1">
        <v>45685</v>
      </c>
      <c r="AM273">
        <v>38</v>
      </c>
      <c r="AN273">
        <v>1862845</v>
      </c>
      <c r="AP273" s="1">
        <v>45716</v>
      </c>
      <c r="AQ273">
        <v>38</v>
      </c>
      <c r="AR273">
        <v>1867686</v>
      </c>
      <c r="AT273" s="1">
        <v>45716</v>
      </c>
      <c r="AU273">
        <v>64.5</v>
      </c>
      <c r="AV273">
        <v>1867940</v>
      </c>
      <c r="AX273" s="1">
        <v>45744</v>
      </c>
      <c r="AY273">
        <v>38</v>
      </c>
      <c r="AZ273">
        <v>1872225</v>
      </c>
      <c r="BB273" s="1">
        <v>45775</v>
      </c>
      <c r="BC273">
        <v>38</v>
      </c>
      <c r="BD273">
        <v>1877406</v>
      </c>
      <c r="BF273" s="1">
        <v>45805</v>
      </c>
      <c r="BG273">
        <v>38</v>
      </c>
      <c r="BH273">
        <v>1881991</v>
      </c>
      <c r="BJ273" s="1">
        <v>45836</v>
      </c>
      <c r="BK273">
        <v>38</v>
      </c>
      <c r="BL273">
        <v>1886806</v>
      </c>
      <c r="BN273" s="1">
        <v>45866</v>
      </c>
      <c r="BO273">
        <v>38</v>
      </c>
      <c r="BP273">
        <v>1891543</v>
      </c>
      <c r="BR273" s="1">
        <v>45897</v>
      </c>
      <c r="BS273">
        <v>38</v>
      </c>
      <c r="BT273">
        <v>1895993</v>
      </c>
      <c r="BV273" s="1">
        <v>45928</v>
      </c>
      <c r="BW273">
        <v>38</v>
      </c>
      <c r="BX273">
        <v>1900721</v>
      </c>
      <c r="BZ273" s="1">
        <v>45958</v>
      </c>
      <c r="CA273">
        <v>38</v>
      </c>
      <c r="CB273">
        <v>1905338</v>
      </c>
      <c r="CD273" s="1">
        <v>45989</v>
      </c>
      <c r="CE273">
        <v>38</v>
      </c>
      <c r="CF273">
        <v>1909852</v>
      </c>
      <c r="CH273">
        <v>97123</v>
      </c>
    </row>
    <row r="274" spans="1:86" x14ac:dyDescent="0.25">
      <c r="A274">
        <v>572112</v>
      </c>
      <c r="B274">
        <v>102</v>
      </c>
      <c r="C274">
        <v>301145</v>
      </c>
      <c r="D274">
        <v>2</v>
      </c>
      <c r="E274">
        <v>2</v>
      </c>
      <c r="F274">
        <v>626787</v>
      </c>
      <c r="G274">
        <v>626787</v>
      </c>
      <c r="H274" t="s">
        <v>90</v>
      </c>
      <c r="N274" t="s">
        <v>1472</v>
      </c>
      <c r="O274">
        <v>4008332</v>
      </c>
      <c r="P274" t="s">
        <v>92</v>
      </c>
      <c r="Q274" t="s">
        <v>93</v>
      </c>
      <c r="R274" t="s">
        <v>1473</v>
      </c>
      <c r="V274" t="s">
        <v>1474</v>
      </c>
      <c r="W274" t="s">
        <v>809</v>
      </c>
      <c r="X274">
        <v>97123</v>
      </c>
      <c r="Y274" t="s">
        <v>99</v>
      </c>
      <c r="AA274" t="s">
        <v>1472</v>
      </c>
      <c r="AB274" t="s">
        <v>1473</v>
      </c>
      <c r="AC274" t="s">
        <v>1475</v>
      </c>
      <c r="AH274" t="s">
        <v>1476</v>
      </c>
      <c r="AI274">
        <v>520.5</v>
      </c>
      <c r="AK274">
        <v>0</v>
      </c>
      <c r="AL274" s="1">
        <v>46019</v>
      </c>
      <c r="AM274">
        <v>38</v>
      </c>
      <c r="AN274">
        <v>1914664</v>
      </c>
      <c r="CH274">
        <v>97123</v>
      </c>
    </row>
    <row r="275" spans="1:86" x14ac:dyDescent="0.25">
      <c r="A275">
        <v>572113</v>
      </c>
      <c r="B275">
        <v>102</v>
      </c>
      <c r="C275">
        <v>301146</v>
      </c>
      <c r="D275">
        <v>1</v>
      </c>
      <c r="E275">
        <v>1</v>
      </c>
      <c r="F275">
        <v>626812</v>
      </c>
      <c r="G275">
        <v>626812</v>
      </c>
      <c r="H275" t="s">
        <v>90</v>
      </c>
      <c r="N275" t="s">
        <v>1477</v>
      </c>
      <c r="O275">
        <v>626812</v>
      </c>
      <c r="P275" t="s">
        <v>92</v>
      </c>
      <c r="Q275" t="s">
        <v>93</v>
      </c>
      <c r="R275" t="s">
        <v>1478</v>
      </c>
      <c r="V275" t="s">
        <v>1479</v>
      </c>
      <c r="W275" t="s">
        <v>579</v>
      </c>
      <c r="X275" t="s">
        <v>1480</v>
      </c>
      <c r="Y275" t="s">
        <v>99</v>
      </c>
      <c r="AA275" t="s">
        <v>1477</v>
      </c>
      <c r="AB275" t="s">
        <v>1478</v>
      </c>
      <c r="AC275" t="s">
        <v>1481</v>
      </c>
      <c r="AI275">
        <v>1080</v>
      </c>
      <c r="AK275">
        <v>0</v>
      </c>
      <c r="AL275" s="1">
        <v>45667</v>
      </c>
      <c r="AM275">
        <v>90</v>
      </c>
      <c r="AN275">
        <v>1861439</v>
      </c>
      <c r="AP275" s="1">
        <v>45698</v>
      </c>
      <c r="AQ275">
        <v>90</v>
      </c>
      <c r="AR275">
        <v>1865042</v>
      </c>
      <c r="AT275" s="1">
        <v>45726</v>
      </c>
      <c r="AU275">
        <v>90</v>
      </c>
      <c r="AV275">
        <v>1870925</v>
      </c>
      <c r="AX275" s="1">
        <v>45758</v>
      </c>
      <c r="AY275">
        <v>90</v>
      </c>
      <c r="AZ275">
        <v>1875589</v>
      </c>
      <c r="BB275" s="1">
        <v>45784</v>
      </c>
      <c r="BC275">
        <v>90</v>
      </c>
      <c r="BD275">
        <v>1879653</v>
      </c>
      <c r="BF275" s="1">
        <v>45814</v>
      </c>
      <c r="BG275">
        <v>90</v>
      </c>
      <c r="BH275">
        <v>1884123</v>
      </c>
      <c r="BJ275" s="1">
        <v>45854</v>
      </c>
      <c r="BK275">
        <v>90</v>
      </c>
      <c r="BL275">
        <v>1890712</v>
      </c>
      <c r="BN275" s="1">
        <v>45877</v>
      </c>
      <c r="BO275">
        <v>90</v>
      </c>
      <c r="BP275">
        <v>1893828</v>
      </c>
      <c r="BR275" s="1">
        <v>45909</v>
      </c>
      <c r="BS275">
        <v>90</v>
      </c>
      <c r="BT275">
        <v>1898293</v>
      </c>
      <c r="BV275" s="1">
        <v>45944</v>
      </c>
      <c r="BW275">
        <v>90</v>
      </c>
      <c r="BX275">
        <v>1904585</v>
      </c>
      <c r="BZ275" s="1">
        <v>45968</v>
      </c>
      <c r="CA275">
        <v>90</v>
      </c>
      <c r="CB275">
        <v>1908732</v>
      </c>
      <c r="CD275" s="1">
        <v>46000</v>
      </c>
      <c r="CE275">
        <v>90</v>
      </c>
      <c r="CF275">
        <v>1913075</v>
      </c>
      <c r="CH275">
        <v>163012446</v>
      </c>
    </row>
    <row r="276" spans="1:86" x14ac:dyDescent="0.25">
      <c r="A276">
        <v>572114</v>
      </c>
      <c r="B276">
        <v>102</v>
      </c>
      <c r="C276">
        <v>301147</v>
      </c>
      <c r="D276">
        <v>1</v>
      </c>
      <c r="E276">
        <v>1</v>
      </c>
      <c r="F276">
        <v>626815</v>
      </c>
      <c r="G276">
        <v>626815</v>
      </c>
      <c r="H276" t="s">
        <v>90</v>
      </c>
      <c r="N276" t="s">
        <v>1482</v>
      </c>
      <c r="O276">
        <v>626815</v>
      </c>
      <c r="P276" t="s">
        <v>92</v>
      </c>
      <c r="Q276" t="s">
        <v>93</v>
      </c>
      <c r="R276" t="s">
        <v>1483</v>
      </c>
      <c r="V276" t="s">
        <v>1484</v>
      </c>
      <c r="W276" t="s">
        <v>307</v>
      </c>
      <c r="X276" t="s">
        <v>1485</v>
      </c>
      <c r="Y276" t="s">
        <v>99</v>
      </c>
      <c r="AA276" t="s">
        <v>1482</v>
      </c>
      <c r="AB276" t="s">
        <v>1483</v>
      </c>
      <c r="AC276" t="s">
        <v>1486</v>
      </c>
      <c r="AI276">
        <v>912</v>
      </c>
      <c r="AK276">
        <v>0</v>
      </c>
      <c r="AL276" s="1">
        <v>45662</v>
      </c>
      <c r="AM276">
        <v>76</v>
      </c>
      <c r="AN276">
        <v>1859008</v>
      </c>
      <c r="AP276" s="1">
        <v>45693</v>
      </c>
      <c r="AQ276">
        <v>76</v>
      </c>
      <c r="AR276">
        <v>1864445</v>
      </c>
      <c r="AT276" s="1">
        <v>45721</v>
      </c>
      <c r="AU276">
        <v>76</v>
      </c>
      <c r="AV276">
        <v>1868973</v>
      </c>
      <c r="AX276" s="1">
        <v>45752</v>
      </c>
      <c r="AY276">
        <v>76</v>
      </c>
      <c r="AZ276">
        <v>1874005</v>
      </c>
      <c r="BB276" s="1">
        <v>45782</v>
      </c>
      <c r="BC276">
        <v>76</v>
      </c>
      <c r="BD276">
        <v>1878972</v>
      </c>
      <c r="BF276" s="1">
        <v>45813</v>
      </c>
      <c r="BG276">
        <v>76</v>
      </c>
      <c r="BH276">
        <v>1883716</v>
      </c>
      <c r="BJ276" s="1">
        <v>45843</v>
      </c>
      <c r="BK276">
        <v>76</v>
      </c>
      <c r="BL276">
        <v>1888285</v>
      </c>
      <c r="BN276" s="1">
        <v>45874</v>
      </c>
      <c r="BO276">
        <v>76</v>
      </c>
      <c r="BP276">
        <v>1892995</v>
      </c>
      <c r="BR276" s="1">
        <v>45905</v>
      </c>
      <c r="BS276">
        <v>76</v>
      </c>
      <c r="BT276">
        <v>1897732</v>
      </c>
      <c r="BV276" s="1">
        <v>45935</v>
      </c>
      <c r="BW276">
        <v>76</v>
      </c>
      <c r="BX276">
        <v>1902285</v>
      </c>
      <c r="BZ276" s="1">
        <v>45966</v>
      </c>
      <c r="CA276">
        <v>76</v>
      </c>
      <c r="CB276">
        <v>1907001</v>
      </c>
      <c r="CD276" s="1">
        <v>45996</v>
      </c>
      <c r="CE276">
        <v>76</v>
      </c>
      <c r="CF276">
        <v>1911468</v>
      </c>
      <c r="CH276">
        <v>328351920</v>
      </c>
    </row>
    <row r="277" spans="1:86" x14ac:dyDescent="0.25">
      <c r="A277">
        <v>572115</v>
      </c>
      <c r="B277">
        <v>102</v>
      </c>
      <c r="C277">
        <v>301148</v>
      </c>
      <c r="D277">
        <v>1</v>
      </c>
      <c r="E277">
        <v>1</v>
      </c>
      <c r="F277">
        <v>626975</v>
      </c>
      <c r="G277">
        <v>626975</v>
      </c>
      <c r="H277" t="s">
        <v>90</v>
      </c>
      <c r="N277" t="s">
        <v>1487</v>
      </c>
      <c r="O277">
        <v>626975</v>
      </c>
      <c r="P277" t="s">
        <v>1488</v>
      </c>
      <c r="Q277" t="s">
        <v>93</v>
      </c>
      <c r="R277" t="s">
        <v>1489</v>
      </c>
      <c r="V277" t="s">
        <v>1490</v>
      </c>
      <c r="W277" t="s">
        <v>809</v>
      </c>
      <c r="X277" t="s">
        <v>1491</v>
      </c>
      <c r="Y277" t="s">
        <v>99</v>
      </c>
      <c r="AA277" t="s">
        <v>1487</v>
      </c>
      <c r="AB277" t="s">
        <v>1489</v>
      </c>
      <c r="AC277" t="s">
        <v>1492</v>
      </c>
      <c r="AH277" t="s">
        <v>1493</v>
      </c>
      <c r="AI277">
        <v>360</v>
      </c>
      <c r="AK277">
        <v>0</v>
      </c>
      <c r="AL277" s="1">
        <v>45660</v>
      </c>
      <c r="AM277">
        <v>30</v>
      </c>
      <c r="AN277">
        <v>1859159</v>
      </c>
      <c r="AP277" s="1">
        <v>45693</v>
      </c>
      <c r="AQ277">
        <v>30</v>
      </c>
      <c r="AR277">
        <v>1864519</v>
      </c>
      <c r="AT277" s="1">
        <v>45721</v>
      </c>
      <c r="AU277">
        <v>30</v>
      </c>
      <c r="AV277">
        <v>1869162</v>
      </c>
      <c r="AX277" s="1">
        <v>45751</v>
      </c>
      <c r="AY277">
        <v>30</v>
      </c>
      <c r="AZ277">
        <v>1873820</v>
      </c>
      <c r="BB277" s="1">
        <v>45782</v>
      </c>
      <c r="BC277">
        <v>30</v>
      </c>
      <c r="BD277">
        <v>1879009</v>
      </c>
      <c r="BF277" s="1">
        <v>45813</v>
      </c>
      <c r="BG277">
        <v>30</v>
      </c>
      <c r="BH277">
        <v>1883758</v>
      </c>
      <c r="BJ277" s="1">
        <v>45841</v>
      </c>
      <c r="BK277">
        <v>30</v>
      </c>
      <c r="BL277">
        <v>1888358</v>
      </c>
      <c r="BN277" s="1">
        <v>45874</v>
      </c>
      <c r="BO277">
        <v>30</v>
      </c>
      <c r="BP277">
        <v>1893099</v>
      </c>
      <c r="BR277" s="1">
        <v>45905</v>
      </c>
      <c r="BS277">
        <v>30</v>
      </c>
      <c r="BT277">
        <v>1897926</v>
      </c>
      <c r="BV277" s="1">
        <v>45933</v>
      </c>
      <c r="BW277">
        <v>30</v>
      </c>
      <c r="BX277">
        <v>1902087</v>
      </c>
      <c r="BZ277" s="1">
        <v>45966</v>
      </c>
      <c r="CA277">
        <v>30</v>
      </c>
      <c r="CB277">
        <v>1907115</v>
      </c>
      <c r="CD277" s="1">
        <v>45996</v>
      </c>
      <c r="CE277">
        <v>30</v>
      </c>
      <c r="CF277">
        <v>1911944</v>
      </c>
      <c r="CH277">
        <v>977569805</v>
      </c>
    </row>
    <row r="278" spans="1:86" x14ac:dyDescent="0.25">
      <c r="A278">
        <v>572116</v>
      </c>
      <c r="B278">
        <v>102</v>
      </c>
      <c r="C278">
        <v>301149</v>
      </c>
      <c r="D278">
        <v>1</v>
      </c>
      <c r="E278">
        <v>1</v>
      </c>
      <c r="F278">
        <v>626987</v>
      </c>
      <c r="G278">
        <v>0</v>
      </c>
      <c r="H278" t="s">
        <v>1214</v>
      </c>
      <c r="J278" t="s">
        <v>1494</v>
      </c>
      <c r="L278" t="s">
        <v>1495</v>
      </c>
      <c r="O278">
        <v>626987</v>
      </c>
      <c r="P278" t="s">
        <v>1494</v>
      </c>
      <c r="Q278" t="s">
        <v>93</v>
      </c>
      <c r="R278" t="s">
        <v>1496</v>
      </c>
      <c r="V278" t="s">
        <v>1497</v>
      </c>
      <c r="W278" t="s">
        <v>809</v>
      </c>
      <c r="X278">
        <v>97741</v>
      </c>
      <c r="Y278" t="s">
        <v>99</v>
      </c>
      <c r="AA278" t="s">
        <v>1498</v>
      </c>
      <c r="AB278" t="s">
        <v>1496</v>
      </c>
      <c r="AC278" t="s">
        <v>1499</v>
      </c>
      <c r="AH278" t="s">
        <v>1500</v>
      </c>
      <c r="AI278">
        <v>456</v>
      </c>
      <c r="AK278">
        <v>0</v>
      </c>
      <c r="AL278" s="1">
        <v>45660</v>
      </c>
      <c r="AM278">
        <v>38</v>
      </c>
      <c r="AN278">
        <v>1858763</v>
      </c>
      <c r="AP278" s="1">
        <v>45691</v>
      </c>
      <c r="AQ278">
        <v>38</v>
      </c>
      <c r="AR278">
        <v>1863987</v>
      </c>
      <c r="AT278" s="1">
        <v>45719</v>
      </c>
      <c r="AU278">
        <v>38</v>
      </c>
      <c r="AV278">
        <v>1868687</v>
      </c>
      <c r="AX278" s="1">
        <v>45750</v>
      </c>
      <c r="AY278">
        <v>38</v>
      </c>
      <c r="AZ278">
        <v>1873560</v>
      </c>
      <c r="BB278" s="1">
        <v>45780</v>
      </c>
      <c r="BC278">
        <v>38</v>
      </c>
      <c r="BD278">
        <v>1878735</v>
      </c>
      <c r="BF278" s="1">
        <v>45811</v>
      </c>
      <c r="BG278">
        <v>38</v>
      </c>
      <c r="BH278">
        <v>1883255</v>
      </c>
      <c r="BJ278" s="1">
        <v>45841</v>
      </c>
      <c r="BK278">
        <v>38</v>
      </c>
      <c r="BL278">
        <v>1888050</v>
      </c>
      <c r="BN278" s="1">
        <v>45872</v>
      </c>
      <c r="BO278">
        <v>38</v>
      </c>
      <c r="BP278">
        <v>1892726</v>
      </c>
      <c r="BR278" s="1">
        <v>45903</v>
      </c>
      <c r="BS278">
        <v>38</v>
      </c>
      <c r="BT278">
        <v>1897242</v>
      </c>
      <c r="BV278" s="1">
        <v>45933</v>
      </c>
      <c r="BW278">
        <v>38</v>
      </c>
      <c r="BX278">
        <v>1902027</v>
      </c>
      <c r="BZ278" s="1">
        <v>45964</v>
      </c>
      <c r="CA278">
        <v>38</v>
      </c>
      <c r="CB278">
        <v>1906381</v>
      </c>
      <c r="CD278" s="1">
        <v>45994</v>
      </c>
      <c r="CE278">
        <v>38</v>
      </c>
      <c r="CF278">
        <v>1911134</v>
      </c>
      <c r="CH278">
        <v>97741</v>
      </c>
    </row>
    <row r="279" spans="1:86" x14ac:dyDescent="0.25">
      <c r="A279">
        <v>572117</v>
      </c>
      <c r="B279">
        <v>102</v>
      </c>
      <c r="C279">
        <v>301150</v>
      </c>
      <c r="D279">
        <v>1</v>
      </c>
      <c r="E279">
        <v>3</v>
      </c>
      <c r="F279">
        <v>627050</v>
      </c>
      <c r="G279">
        <v>627050</v>
      </c>
      <c r="H279" t="s">
        <v>90</v>
      </c>
      <c r="N279" t="s">
        <v>1501</v>
      </c>
      <c r="O279">
        <v>627050</v>
      </c>
      <c r="P279" t="s">
        <v>92</v>
      </c>
      <c r="Q279" t="s">
        <v>93</v>
      </c>
      <c r="R279" t="s">
        <v>1502</v>
      </c>
      <c r="V279" t="s">
        <v>1503</v>
      </c>
      <c r="W279" t="s">
        <v>212</v>
      </c>
      <c r="X279" t="s">
        <v>1504</v>
      </c>
      <c r="Y279" t="s">
        <v>99</v>
      </c>
      <c r="AA279" t="s">
        <v>1501</v>
      </c>
      <c r="AB279" t="s">
        <v>1502</v>
      </c>
      <c r="AC279" t="s">
        <v>1505</v>
      </c>
      <c r="AH279" t="s">
        <v>1506</v>
      </c>
      <c r="AI279">
        <v>1212</v>
      </c>
      <c r="AK279">
        <v>0</v>
      </c>
      <c r="AL279" s="1">
        <v>45675</v>
      </c>
      <c r="AM279">
        <v>38</v>
      </c>
      <c r="AN279">
        <v>1861049</v>
      </c>
      <c r="AP279" s="1">
        <v>45675</v>
      </c>
      <c r="AQ279">
        <v>38</v>
      </c>
      <c r="AR279">
        <v>1861055</v>
      </c>
      <c r="AT279" s="1">
        <v>45706</v>
      </c>
      <c r="AU279">
        <v>38</v>
      </c>
      <c r="AV279">
        <v>1865936</v>
      </c>
      <c r="AX279" s="1">
        <v>45706</v>
      </c>
      <c r="AY279">
        <v>38</v>
      </c>
      <c r="AZ279">
        <v>1865937</v>
      </c>
      <c r="BB279" s="1">
        <v>45734</v>
      </c>
      <c r="BC279">
        <v>38</v>
      </c>
      <c r="BD279">
        <v>1870652</v>
      </c>
      <c r="BF279" s="1">
        <v>45734</v>
      </c>
      <c r="BG279">
        <v>38</v>
      </c>
      <c r="BH279">
        <v>1870654</v>
      </c>
      <c r="BJ279" s="1">
        <v>45765</v>
      </c>
      <c r="BK279">
        <v>38</v>
      </c>
      <c r="BL279">
        <v>1875693</v>
      </c>
      <c r="BN279" s="1">
        <v>45765</v>
      </c>
      <c r="BO279">
        <v>38</v>
      </c>
      <c r="BP279">
        <v>1875695</v>
      </c>
      <c r="BR279" s="1">
        <v>45795</v>
      </c>
      <c r="BS279">
        <v>38</v>
      </c>
      <c r="BT279">
        <v>1880720</v>
      </c>
      <c r="BV279" s="1">
        <v>45795</v>
      </c>
      <c r="BW279">
        <v>38</v>
      </c>
      <c r="BX279">
        <v>1880722</v>
      </c>
      <c r="BZ279" s="1">
        <v>45826</v>
      </c>
      <c r="CA279">
        <v>38</v>
      </c>
      <c r="CB279">
        <v>1885415</v>
      </c>
      <c r="CD279" s="1">
        <v>45826</v>
      </c>
      <c r="CE279">
        <v>38</v>
      </c>
      <c r="CF279">
        <v>1885416</v>
      </c>
      <c r="CH279">
        <v>483710063</v>
      </c>
    </row>
    <row r="280" spans="1:86" x14ac:dyDescent="0.25">
      <c r="A280">
        <v>572118</v>
      </c>
      <c r="B280">
        <v>102</v>
      </c>
      <c r="C280">
        <v>301150</v>
      </c>
      <c r="D280">
        <v>2</v>
      </c>
      <c r="E280">
        <v>3</v>
      </c>
      <c r="F280">
        <v>627050</v>
      </c>
      <c r="G280">
        <v>627050</v>
      </c>
      <c r="H280" t="s">
        <v>90</v>
      </c>
      <c r="N280" t="s">
        <v>1501</v>
      </c>
      <c r="O280">
        <v>627050</v>
      </c>
      <c r="P280" t="s">
        <v>92</v>
      </c>
      <c r="Q280" t="s">
        <v>93</v>
      </c>
      <c r="R280" t="s">
        <v>1502</v>
      </c>
      <c r="V280" t="s">
        <v>1503</v>
      </c>
      <c r="W280" t="s">
        <v>212</v>
      </c>
      <c r="X280" t="s">
        <v>1504</v>
      </c>
      <c r="Y280" t="s">
        <v>99</v>
      </c>
      <c r="AA280" t="s">
        <v>1501</v>
      </c>
      <c r="AB280" t="s">
        <v>1502</v>
      </c>
      <c r="AC280" t="s">
        <v>1505</v>
      </c>
      <c r="AH280" t="s">
        <v>1506</v>
      </c>
      <c r="AI280">
        <v>1212</v>
      </c>
      <c r="AK280">
        <v>0</v>
      </c>
      <c r="AL280" s="1">
        <v>45856</v>
      </c>
      <c r="AM280">
        <v>38</v>
      </c>
      <c r="AN280">
        <v>1889959</v>
      </c>
      <c r="AP280" s="1">
        <v>45856</v>
      </c>
      <c r="AQ280">
        <v>38</v>
      </c>
      <c r="AR280">
        <v>1889960</v>
      </c>
      <c r="AT280" s="1">
        <v>45887</v>
      </c>
      <c r="AU280">
        <v>38</v>
      </c>
      <c r="AV280">
        <v>1894771</v>
      </c>
      <c r="AX280" s="1">
        <v>45887</v>
      </c>
      <c r="AY280">
        <v>38</v>
      </c>
      <c r="AZ280">
        <v>1894772</v>
      </c>
      <c r="BB280" s="1">
        <v>45918</v>
      </c>
      <c r="BC280">
        <v>38</v>
      </c>
      <c r="BD280">
        <v>1899315</v>
      </c>
      <c r="BF280" s="1">
        <v>45918</v>
      </c>
      <c r="BG280">
        <v>38</v>
      </c>
      <c r="BH280">
        <v>1899317</v>
      </c>
      <c r="BJ280" s="1">
        <v>45948</v>
      </c>
      <c r="BK280">
        <v>38</v>
      </c>
      <c r="BL280">
        <v>1903812</v>
      </c>
      <c r="BN280" s="1">
        <v>45948</v>
      </c>
      <c r="BO280">
        <v>38</v>
      </c>
      <c r="BP280">
        <v>1903819</v>
      </c>
      <c r="BR280" s="1">
        <v>45979</v>
      </c>
      <c r="BS280">
        <v>38</v>
      </c>
      <c r="BT280">
        <v>1908450</v>
      </c>
      <c r="BV280" s="1">
        <v>45979</v>
      </c>
      <c r="BW280">
        <v>38</v>
      </c>
      <c r="BX280">
        <v>1908455</v>
      </c>
      <c r="BZ280" s="1">
        <v>46001</v>
      </c>
      <c r="CA280">
        <v>0</v>
      </c>
      <c r="CB280">
        <v>1912140</v>
      </c>
      <c r="CC280">
        <v>0</v>
      </c>
      <c r="CD280" s="1">
        <v>46002</v>
      </c>
      <c r="CE280">
        <v>300</v>
      </c>
      <c r="CF280">
        <v>1912179</v>
      </c>
      <c r="CH280">
        <v>483710063</v>
      </c>
    </row>
    <row r="281" spans="1:86" x14ac:dyDescent="0.25">
      <c r="A281">
        <v>572119</v>
      </c>
      <c r="B281">
        <v>102</v>
      </c>
      <c r="C281">
        <v>301150</v>
      </c>
      <c r="D281">
        <v>3</v>
      </c>
      <c r="E281">
        <v>3</v>
      </c>
      <c r="F281">
        <v>627050</v>
      </c>
      <c r="G281">
        <v>627050</v>
      </c>
      <c r="H281" t="s">
        <v>90</v>
      </c>
      <c r="N281" t="s">
        <v>1501</v>
      </c>
      <c r="O281">
        <v>627050</v>
      </c>
      <c r="P281" t="s">
        <v>92</v>
      </c>
      <c r="Q281" t="s">
        <v>93</v>
      </c>
      <c r="R281" t="s">
        <v>1502</v>
      </c>
      <c r="V281" t="s">
        <v>1503</v>
      </c>
      <c r="W281" t="s">
        <v>212</v>
      </c>
      <c r="X281" t="s">
        <v>1504</v>
      </c>
      <c r="Y281" t="s">
        <v>99</v>
      </c>
      <c r="AA281" t="s">
        <v>1501</v>
      </c>
      <c r="AB281" t="s">
        <v>1502</v>
      </c>
      <c r="AC281" t="s">
        <v>1505</v>
      </c>
      <c r="AH281" t="s">
        <v>1506</v>
      </c>
      <c r="AI281">
        <v>1212</v>
      </c>
      <c r="AK281">
        <v>0</v>
      </c>
      <c r="AL281" s="1">
        <v>46009</v>
      </c>
      <c r="AM281">
        <v>38</v>
      </c>
      <c r="AN281">
        <v>1913384</v>
      </c>
      <c r="AP281" s="1">
        <v>46009</v>
      </c>
      <c r="AQ281">
        <v>38</v>
      </c>
      <c r="AR281">
        <v>1913390</v>
      </c>
      <c r="CH281">
        <v>483710063</v>
      </c>
    </row>
    <row r="282" spans="1:86" x14ac:dyDescent="0.25">
      <c r="A282">
        <v>572120</v>
      </c>
      <c r="B282">
        <v>102</v>
      </c>
      <c r="C282">
        <v>301151</v>
      </c>
      <c r="D282">
        <v>1</v>
      </c>
      <c r="E282">
        <v>1</v>
      </c>
      <c r="F282">
        <v>627093</v>
      </c>
      <c r="G282">
        <v>627093</v>
      </c>
      <c r="H282" t="s">
        <v>90</v>
      </c>
      <c r="N282" t="s">
        <v>1507</v>
      </c>
      <c r="O282">
        <v>4015672</v>
      </c>
      <c r="P282" t="s">
        <v>92</v>
      </c>
      <c r="Q282" t="s">
        <v>93</v>
      </c>
      <c r="R282" t="s">
        <v>1508</v>
      </c>
      <c r="V282" t="s">
        <v>1509</v>
      </c>
      <c r="W282" t="s">
        <v>124</v>
      </c>
      <c r="X282">
        <v>14420</v>
      </c>
      <c r="Y282" t="s">
        <v>99</v>
      </c>
      <c r="AA282" t="s">
        <v>1507</v>
      </c>
      <c r="AB282" t="s">
        <v>1508</v>
      </c>
      <c r="AC282" t="s">
        <v>1510</v>
      </c>
      <c r="AH282" t="s">
        <v>1511</v>
      </c>
      <c r="AI282">
        <v>456</v>
      </c>
      <c r="AK282">
        <v>0</v>
      </c>
      <c r="AL282" s="1">
        <v>45674</v>
      </c>
      <c r="AM282">
        <v>38</v>
      </c>
      <c r="AN282">
        <v>1860984</v>
      </c>
      <c r="AP282" s="1">
        <v>45705</v>
      </c>
      <c r="AQ282">
        <v>38</v>
      </c>
      <c r="AR282">
        <v>1865862</v>
      </c>
      <c r="AT282" s="1">
        <v>45733</v>
      </c>
      <c r="AU282">
        <v>38</v>
      </c>
      <c r="AV282">
        <v>1870575</v>
      </c>
      <c r="AX282" s="1">
        <v>45764</v>
      </c>
      <c r="AY282">
        <v>38</v>
      </c>
      <c r="AZ282">
        <v>1875613</v>
      </c>
      <c r="BB282" s="1">
        <v>45794</v>
      </c>
      <c r="BC282">
        <v>38</v>
      </c>
      <c r="BD282">
        <v>1880651</v>
      </c>
      <c r="BF282" s="1">
        <v>45825</v>
      </c>
      <c r="BG282">
        <v>38</v>
      </c>
      <c r="BH282">
        <v>1885239</v>
      </c>
      <c r="BJ282" s="1">
        <v>45855</v>
      </c>
      <c r="BK282">
        <v>38</v>
      </c>
      <c r="BL282">
        <v>1889901</v>
      </c>
      <c r="BN282" s="1">
        <v>45886</v>
      </c>
      <c r="BO282">
        <v>38</v>
      </c>
      <c r="BP282">
        <v>1894701</v>
      </c>
      <c r="BR282" s="1">
        <v>45917</v>
      </c>
      <c r="BS282">
        <v>38</v>
      </c>
      <c r="BT282">
        <v>1899250</v>
      </c>
      <c r="BV282" s="1">
        <v>45947</v>
      </c>
      <c r="BW282">
        <v>38</v>
      </c>
      <c r="BX282">
        <v>1903741</v>
      </c>
      <c r="BZ282" s="1">
        <v>45978</v>
      </c>
      <c r="CA282">
        <v>38</v>
      </c>
      <c r="CB282">
        <v>1908342</v>
      </c>
      <c r="CD282" s="1">
        <v>46008</v>
      </c>
      <c r="CE282">
        <v>38</v>
      </c>
      <c r="CF282">
        <v>1913316</v>
      </c>
      <c r="CH282">
        <v>14420</v>
      </c>
    </row>
    <row r="283" spans="1:86" x14ac:dyDescent="0.25">
      <c r="A283">
        <v>572121</v>
      </c>
      <c r="B283">
        <v>102</v>
      </c>
      <c r="C283">
        <v>301152</v>
      </c>
      <c r="D283">
        <v>1</v>
      </c>
      <c r="E283">
        <v>3</v>
      </c>
      <c r="F283">
        <v>627105</v>
      </c>
      <c r="G283">
        <v>627105</v>
      </c>
      <c r="H283" t="s">
        <v>90</v>
      </c>
      <c r="N283" t="s">
        <v>1512</v>
      </c>
      <c r="O283">
        <v>627105</v>
      </c>
      <c r="P283" t="s">
        <v>92</v>
      </c>
      <c r="Q283" t="s">
        <v>93</v>
      </c>
      <c r="R283" t="s">
        <v>1513</v>
      </c>
      <c r="V283" t="s">
        <v>1514</v>
      </c>
      <c r="W283" t="s">
        <v>579</v>
      </c>
      <c r="X283" t="s">
        <v>1515</v>
      </c>
      <c r="Y283" t="s">
        <v>99</v>
      </c>
      <c r="AA283" t="s">
        <v>1512</v>
      </c>
      <c r="AB283" t="s">
        <v>1513</v>
      </c>
      <c r="AC283" t="s">
        <v>1516</v>
      </c>
      <c r="AI283">
        <v>1320</v>
      </c>
      <c r="AK283">
        <v>0</v>
      </c>
      <c r="AL283" s="1">
        <v>45709</v>
      </c>
      <c r="AM283">
        <v>76</v>
      </c>
      <c r="AN283">
        <v>1867250</v>
      </c>
      <c r="AP283" s="1">
        <v>45712</v>
      </c>
      <c r="AQ283">
        <v>58</v>
      </c>
      <c r="AR283">
        <v>1867289</v>
      </c>
      <c r="AT283" s="1">
        <v>45712</v>
      </c>
      <c r="AU283">
        <v>20</v>
      </c>
      <c r="AV283">
        <v>1867290</v>
      </c>
      <c r="AX283" s="1">
        <v>45712</v>
      </c>
      <c r="AY283">
        <v>76</v>
      </c>
      <c r="AZ283">
        <v>1867291</v>
      </c>
      <c r="BB283" s="1">
        <v>45744</v>
      </c>
      <c r="BC283">
        <v>38</v>
      </c>
      <c r="BD283">
        <v>1873225</v>
      </c>
      <c r="BF283" s="1">
        <v>45744</v>
      </c>
      <c r="BG283">
        <v>38</v>
      </c>
      <c r="BH283">
        <v>1873226</v>
      </c>
      <c r="BJ283" s="1">
        <v>45770</v>
      </c>
      <c r="BK283">
        <v>38</v>
      </c>
      <c r="BL283">
        <v>1878459</v>
      </c>
      <c r="BN283" s="1">
        <v>45770</v>
      </c>
      <c r="BO283">
        <v>76</v>
      </c>
      <c r="BP283">
        <v>1878460</v>
      </c>
      <c r="BR283" s="1">
        <v>45831</v>
      </c>
      <c r="BS283">
        <v>20</v>
      </c>
      <c r="BT283">
        <v>1886322</v>
      </c>
      <c r="BV283" s="1">
        <v>45831</v>
      </c>
      <c r="BW283">
        <v>76</v>
      </c>
      <c r="BX283">
        <v>1886323</v>
      </c>
      <c r="BZ283" s="1">
        <v>45831</v>
      </c>
      <c r="CA283">
        <v>76</v>
      </c>
      <c r="CB283">
        <v>1886324</v>
      </c>
      <c r="CD283" s="1">
        <v>45849</v>
      </c>
      <c r="CE283">
        <v>40</v>
      </c>
      <c r="CF283">
        <v>1890240</v>
      </c>
      <c r="CH283">
        <v>164342513</v>
      </c>
    </row>
    <row r="284" spans="1:86" x14ac:dyDescent="0.25">
      <c r="A284">
        <v>572122</v>
      </c>
      <c r="B284">
        <v>102</v>
      </c>
      <c r="C284">
        <v>301152</v>
      </c>
      <c r="D284">
        <v>2</v>
      </c>
      <c r="E284">
        <v>3</v>
      </c>
      <c r="F284">
        <v>627105</v>
      </c>
      <c r="G284">
        <v>627105</v>
      </c>
      <c r="H284" t="s">
        <v>90</v>
      </c>
      <c r="N284" t="s">
        <v>1512</v>
      </c>
      <c r="O284">
        <v>627105</v>
      </c>
      <c r="P284" t="s">
        <v>92</v>
      </c>
      <c r="Q284" t="s">
        <v>93</v>
      </c>
      <c r="R284" t="s">
        <v>1513</v>
      </c>
      <c r="V284" t="s">
        <v>1514</v>
      </c>
      <c r="W284" t="s">
        <v>579</v>
      </c>
      <c r="X284" t="s">
        <v>1515</v>
      </c>
      <c r="Y284" t="s">
        <v>99</v>
      </c>
      <c r="AA284" t="s">
        <v>1512</v>
      </c>
      <c r="AB284" t="s">
        <v>1513</v>
      </c>
      <c r="AC284" t="s">
        <v>1516</v>
      </c>
      <c r="AI284">
        <v>1320</v>
      </c>
      <c r="AK284">
        <v>0</v>
      </c>
      <c r="AL284" s="1">
        <v>45849</v>
      </c>
      <c r="AM284">
        <v>38</v>
      </c>
      <c r="AN284">
        <v>1890241</v>
      </c>
      <c r="AP284" s="1">
        <v>45880</v>
      </c>
      <c r="AQ284">
        <v>38</v>
      </c>
      <c r="AR284">
        <v>1893837</v>
      </c>
      <c r="AT284" s="1">
        <v>45880</v>
      </c>
      <c r="AU284">
        <v>38</v>
      </c>
      <c r="AV284">
        <v>1893838</v>
      </c>
      <c r="AX284" s="1">
        <v>45951</v>
      </c>
      <c r="AY284">
        <v>40</v>
      </c>
      <c r="AZ284">
        <v>1905093</v>
      </c>
      <c r="BB284" s="1">
        <v>45951</v>
      </c>
      <c r="BC284">
        <v>76</v>
      </c>
      <c r="BD284">
        <v>1905094</v>
      </c>
      <c r="BF284" s="1">
        <v>45951</v>
      </c>
      <c r="BG284">
        <v>38</v>
      </c>
      <c r="BH284">
        <v>1905095</v>
      </c>
      <c r="BJ284" s="1">
        <v>45951</v>
      </c>
      <c r="BK284">
        <v>60</v>
      </c>
      <c r="BL284">
        <v>1905096</v>
      </c>
      <c r="BN284" s="1">
        <v>45979</v>
      </c>
      <c r="BO284">
        <v>38</v>
      </c>
      <c r="BP284">
        <v>1910198</v>
      </c>
      <c r="BR284" s="1">
        <v>45979</v>
      </c>
      <c r="BS284">
        <v>58</v>
      </c>
      <c r="BT284">
        <v>1910199</v>
      </c>
      <c r="BV284" s="1">
        <v>45979</v>
      </c>
      <c r="BW284">
        <v>40</v>
      </c>
      <c r="BX284">
        <v>1910200</v>
      </c>
      <c r="BZ284" s="1">
        <v>45979</v>
      </c>
      <c r="CA284">
        <v>38</v>
      </c>
      <c r="CB284">
        <v>1910201</v>
      </c>
      <c r="CD284" s="1">
        <v>45979</v>
      </c>
      <c r="CE284">
        <v>58</v>
      </c>
      <c r="CF284">
        <v>1910202</v>
      </c>
      <c r="CH284">
        <v>164342513</v>
      </c>
    </row>
    <row r="285" spans="1:86" x14ac:dyDescent="0.25">
      <c r="A285">
        <v>572123</v>
      </c>
      <c r="B285">
        <v>102</v>
      </c>
      <c r="C285">
        <v>301152</v>
      </c>
      <c r="D285">
        <v>3</v>
      </c>
      <c r="E285">
        <v>3</v>
      </c>
      <c r="F285">
        <v>627105</v>
      </c>
      <c r="G285">
        <v>627105</v>
      </c>
      <c r="H285" t="s">
        <v>90</v>
      </c>
      <c r="N285" t="s">
        <v>1512</v>
      </c>
      <c r="O285">
        <v>627105</v>
      </c>
      <c r="P285" t="s">
        <v>92</v>
      </c>
      <c r="Q285" t="s">
        <v>93</v>
      </c>
      <c r="R285" t="s">
        <v>1513</v>
      </c>
      <c r="V285" t="s">
        <v>1514</v>
      </c>
      <c r="W285" t="s">
        <v>579</v>
      </c>
      <c r="X285" t="s">
        <v>1515</v>
      </c>
      <c r="Y285" t="s">
        <v>99</v>
      </c>
      <c r="AA285" t="s">
        <v>1512</v>
      </c>
      <c r="AB285" t="s">
        <v>1513</v>
      </c>
      <c r="AC285" t="s">
        <v>1516</v>
      </c>
      <c r="AI285">
        <v>1320</v>
      </c>
      <c r="AK285">
        <v>0</v>
      </c>
      <c r="AL285" s="1">
        <v>45979</v>
      </c>
      <c r="AM285">
        <v>40</v>
      </c>
      <c r="AN285">
        <v>1910203</v>
      </c>
      <c r="AP285" s="1">
        <v>46021</v>
      </c>
      <c r="AQ285">
        <v>38</v>
      </c>
      <c r="AR285">
        <v>1916691</v>
      </c>
      <c r="AT285" s="1">
        <v>46021</v>
      </c>
      <c r="AU285">
        <v>50</v>
      </c>
      <c r="AV285">
        <v>1916692</v>
      </c>
      <c r="CH285">
        <v>164342513</v>
      </c>
    </row>
    <row r="286" spans="1:86" x14ac:dyDescent="0.25">
      <c r="A286">
        <v>572124</v>
      </c>
      <c r="B286">
        <v>102</v>
      </c>
      <c r="C286">
        <v>301153</v>
      </c>
      <c r="D286">
        <v>1</v>
      </c>
      <c r="E286">
        <v>1</v>
      </c>
      <c r="F286">
        <v>627309</v>
      </c>
      <c r="G286">
        <v>627309</v>
      </c>
      <c r="H286" t="s">
        <v>90</v>
      </c>
      <c r="N286" t="s">
        <v>1517</v>
      </c>
      <c r="O286">
        <v>627309</v>
      </c>
      <c r="P286" t="s">
        <v>92</v>
      </c>
      <c r="Q286" t="s">
        <v>93</v>
      </c>
      <c r="R286" t="s">
        <v>1518</v>
      </c>
      <c r="V286" t="s">
        <v>1519</v>
      </c>
      <c r="W286" t="s">
        <v>451</v>
      </c>
      <c r="X286" t="s">
        <v>1520</v>
      </c>
      <c r="Y286" t="s">
        <v>99</v>
      </c>
      <c r="AA286" t="s">
        <v>1517</v>
      </c>
      <c r="AB286" t="s">
        <v>1518</v>
      </c>
      <c r="AC286" t="s">
        <v>1521</v>
      </c>
      <c r="AH286" t="s">
        <v>1522</v>
      </c>
      <c r="AI286">
        <v>456</v>
      </c>
      <c r="AK286">
        <v>0</v>
      </c>
      <c r="AL286" s="1">
        <v>45658</v>
      </c>
      <c r="AM286">
        <v>38</v>
      </c>
      <c r="AN286">
        <v>1858014</v>
      </c>
      <c r="AP286" s="1">
        <v>45689</v>
      </c>
      <c r="AQ286">
        <v>38</v>
      </c>
      <c r="AR286">
        <v>1863192</v>
      </c>
      <c r="AT286" s="1">
        <v>45717</v>
      </c>
      <c r="AU286">
        <v>38</v>
      </c>
      <c r="AV286">
        <v>1867986</v>
      </c>
      <c r="AX286" s="1">
        <v>45748</v>
      </c>
      <c r="AY286">
        <v>38</v>
      </c>
      <c r="AZ286">
        <v>1872567</v>
      </c>
      <c r="BB286" s="1">
        <v>45778</v>
      </c>
      <c r="BC286">
        <v>38</v>
      </c>
      <c r="BD286">
        <v>1877801</v>
      </c>
      <c r="BF286" s="1">
        <v>45809</v>
      </c>
      <c r="BG286">
        <v>38</v>
      </c>
      <c r="BH286">
        <v>1882540</v>
      </c>
      <c r="BJ286" s="1">
        <v>45839</v>
      </c>
      <c r="BK286">
        <v>38</v>
      </c>
      <c r="BL286">
        <v>1887083</v>
      </c>
      <c r="BN286" s="1">
        <v>45881</v>
      </c>
      <c r="BO286">
        <v>38</v>
      </c>
      <c r="BP286">
        <v>1893873</v>
      </c>
      <c r="BR286" s="1">
        <v>45901</v>
      </c>
      <c r="BS286">
        <v>38</v>
      </c>
      <c r="BT286">
        <v>1896516</v>
      </c>
      <c r="BV286" s="1">
        <v>45931</v>
      </c>
      <c r="BW286">
        <v>38</v>
      </c>
      <c r="BX286">
        <v>1901116</v>
      </c>
      <c r="BZ286" s="1">
        <v>45962</v>
      </c>
      <c r="CA286">
        <v>38</v>
      </c>
      <c r="CB286">
        <v>1905675</v>
      </c>
      <c r="CD286" s="1">
        <v>45992</v>
      </c>
      <c r="CE286">
        <v>38</v>
      </c>
      <c r="CF286">
        <v>1910354</v>
      </c>
      <c r="CH286">
        <v>504016406</v>
      </c>
    </row>
    <row r="287" spans="1:86" x14ac:dyDescent="0.25">
      <c r="A287">
        <v>572125</v>
      </c>
      <c r="B287">
        <v>102</v>
      </c>
      <c r="C287">
        <v>301154</v>
      </c>
      <c r="D287">
        <v>1</v>
      </c>
      <c r="E287">
        <v>1</v>
      </c>
      <c r="F287">
        <v>627320</v>
      </c>
      <c r="G287">
        <v>627320</v>
      </c>
      <c r="H287" t="s">
        <v>90</v>
      </c>
      <c r="N287" t="s">
        <v>1523</v>
      </c>
      <c r="O287">
        <v>627320</v>
      </c>
      <c r="P287" t="s">
        <v>92</v>
      </c>
      <c r="Q287" t="s">
        <v>93</v>
      </c>
      <c r="R287" t="s">
        <v>1524</v>
      </c>
      <c r="V287" t="s">
        <v>1525</v>
      </c>
      <c r="W287" t="s">
        <v>307</v>
      </c>
      <c r="X287" t="s">
        <v>1526</v>
      </c>
      <c r="Y287" t="s">
        <v>99</v>
      </c>
      <c r="AA287" t="s">
        <v>1523</v>
      </c>
      <c r="AB287" t="s">
        <v>1524</v>
      </c>
      <c r="AC287" t="s">
        <v>1527</v>
      </c>
      <c r="AH287" t="s">
        <v>1528</v>
      </c>
      <c r="AI287">
        <v>456</v>
      </c>
      <c r="AK287">
        <v>0</v>
      </c>
      <c r="AL287" s="1">
        <v>45670</v>
      </c>
      <c r="AM287">
        <v>38</v>
      </c>
      <c r="AN287">
        <v>1859992</v>
      </c>
      <c r="AP287" s="1">
        <v>45701</v>
      </c>
      <c r="AQ287">
        <v>38</v>
      </c>
      <c r="AR287">
        <v>1865107</v>
      </c>
      <c r="AT287" s="1">
        <v>45729</v>
      </c>
      <c r="AU287">
        <v>38</v>
      </c>
      <c r="AV287">
        <v>1869613</v>
      </c>
      <c r="AX287" s="1">
        <v>45760</v>
      </c>
      <c r="AY287">
        <v>38</v>
      </c>
      <c r="AZ287">
        <v>1874498</v>
      </c>
      <c r="BB287" s="1">
        <v>45790</v>
      </c>
      <c r="BC287">
        <v>38</v>
      </c>
      <c r="BD287">
        <v>1879672</v>
      </c>
      <c r="BF287" s="1">
        <v>45821</v>
      </c>
      <c r="BG287">
        <v>38</v>
      </c>
      <c r="BH287">
        <v>1884395</v>
      </c>
      <c r="BJ287" s="1">
        <v>45851</v>
      </c>
      <c r="BK287">
        <v>38</v>
      </c>
      <c r="BL287">
        <v>1889129</v>
      </c>
      <c r="BN287" s="1">
        <v>45882</v>
      </c>
      <c r="BO287">
        <v>38</v>
      </c>
      <c r="BP287">
        <v>1893880</v>
      </c>
      <c r="BR287" s="1">
        <v>45913</v>
      </c>
      <c r="BS287">
        <v>38</v>
      </c>
      <c r="BT287">
        <v>1898393</v>
      </c>
      <c r="BV287" s="1">
        <v>45943</v>
      </c>
      <c r="BW287">
        <v>38</v>
      </c>
      <c r="BX287">
        <v>1902991</v>
      </c>
      <c r="BZ287" s="1">
        <v>45974</v>
      </c>
      <c r="CA287">
        <v>38</v>
      </c>
      <c r="CB287">
        <v>1907583</v>
      </c>
      <c r="CD287" s="1">
        <v>46004</v>
      </c>
      <c r="CE287">
        <v>38</v>
      </c>
      <c r="CF287">
        <v>1912364</v>
      </c>
      <c r="CH287">
        <v>346902143</v>
      </c>
    </row>
    <row r="288" spans="1:86" x14ac:dyDescent="0.25">
      <c r="A288">
        <v>572126</v>
      </c>
      <c r="B288">
        <v>102</v>
      </c>
      <c r="C288">
        <v>301155</v>
      </c>
      <c r="D288">
        <v>1</v>
      </c>
      <c r="E288">
        <v>1</v>
      </c>
      <c r="F288">
        <v>627438</v>
      </c>
      <c r="G288">
        <v>627438</v>
      </c>
      <c r="H288" t="s">
        <v>90</v>
      </c>
      <c r="N288" t="s">
        <v>1529</v>
      </c>
      <c r="O288">
        <v>627438</v>
      </c>
      <c r="P288" t="s">
        <v>92</v>
      </c>
      <c r="Q288" t="s">
        <v>93</v>
      </c>
      <c r="R288" t="s">
        <v>1530</v>
      </c>
      <c r="V288" t="s">
        <v>1531</v>
      </c>
      <c r="W288" t="s">
        <v>307</v>
      </c>
      <c r="X288" t="s">
        <v>1532</v>
      </c>
      <c r="Y288" t="s">
        <v>99</v>
      </c>
      <c r="AA288" t="s">
        <v>1529</v>
      </c>
      <c r="AB288" t="s">
        <v>1530</v>
      </c>
      <c r="AC288" t="s">
        <v>1533</v>
      </c>
      <c r="AH288" t="s">
        <v>1534</v>
      </c>
      <c r="AI288">
        <v>912</v>
      </c>
      <c r="AK288">
        <v>0</v>
      </c>
      <c r="AL288" s="1">
        <v>45664</v>
      </c>
      <c r="AM288">
        <v>114</v>
      </c>
      <c r="AN288">
        <v>1861492</v>
      </c>
      <c r="AP288" s="1">
        <v>45664</v>
      </c>
      <c r="AQ288">
        <v>114</v>
      </c>
      <c r="AR288">
        <v>1861493</v>
      </c>
      <c r="AT288" s="1">
        <v>45768</v>
      </c>
      <c r="AU288">
        <v>114</v>
      </c>
      <c r="AV288">
        <v>1877690</v>
      </c>
      <c r="AX288" s="1">
        <v>45768</v>
      </c>
      <c r="AY288">
        <v>114</v>
      </c>
      <c r="AZ288">
        <v>1877691</v>
      </c>
      <c r="BB288" s="1">
        <v>45863</v>
      </c>
      <c r="BC288">
        <v>114</v>
      </c>
      <c r="BD288">
        <v>1891807</v>
      </c>
      <c r="BF288" s="1">
        <v>45863</v>
      </c>
      <c r="BG288">
        <v>114</v>
      </c>
      <c r="BH288">
        <v>1891808</v>
      </c>
      <c r="BJ288" s="1">
        <v>45937</v>
      </c>
      <c r="BK288">
        <v>114</v>
      </c>
      <c r="BL288">
        <v>1902638</v>
      </c>
      <c r="BN288" s="1">
        <v>45937</v>
      </c>
      <c r="BO288">
        <v>114</v>
      </c>
      <c r="BP288">
        <v>1902639</v>
      </c>
      <c r="CH288">
        <v>330342242</v>
      </c>
    </row>
    <row r="289" spans="1:86" x14ac:dyDescent="0.25">
      <c r="A289">
        <v>572127</v>
      </c>
      <c r="B289">
        <v>102</v>
      </c>
      <c r="C289">
        <v>301156</v>
      </c>
      <c r="D289">
        <v>1</v>
      </c>
      <c r="E289">
        <v>1</v>
      </c>
      <c r="F289">
        <v>627907</v>
      </c>
      <c r="G289">
        <v>627907</v>
      </c>
      <c r="H289" t="s">
        <v>90</v>
      </c>
      <c r="N289" t="s">
        <v>1535</v>
      </c>
      <c r="O289">
        <v>627907</v>
      </c>
      <c r="P289" t="s">
        <v>92</v>
      </c>
      <c r="Q289" t="s">
        <v>93</v>
      </c>
      <c r="R289" t="s">
        <v>1536</v>
      </c>
      <c r="V289" t="s">
        <v>1537</v>
      </c>
      <c r="W289" t="s">
        <v>809</v>
      </c>
      <c r="X289" t="s">
        <v>1538</v>
      </c>
      <c r="Y289" t="s">
        <v>99</v>
      </c>
      <c r="AA289" t="s">
        <v>1535</v>
      </c>
      <c r="AB289" t="s">
        <v>1536</v>
      </c>
      <c r="AC289" t="s">
        <v>1539</v>
      </c>
      <c r="AH289" t="s">
        <v>1540</v>
      </c>
      <c r="AI289">
        <v>1500</v>
      </c>
      <c r="AK289">
        <v>0</v>
      </c>
      <c r="AL289" s="1">
        <v>45749</v>
      </c>
      <c r="AM289">
        <v>1500</v>
      </c>
      <c r="AN289">
        <v>1873767</v>
      </c>
      <c r="CH289">
        <v>971400322</v>
      </c>
    </row>
    <row r="290" spans="1:86" x14ac:dyDescent="0.25">
      <c r="A290">
        <v>572128</v>
      </c>
      <c r="B290">
        <v>102</v>
      </c>
      <c r="C290">
        <v>301157</v>
      </c>
      <c r="D290">
        <v>1</v>
      </c>
      <c r="E290">
        <v>1</v>
      </c>
      <c r="F290">
        <v>4000304</v>
      </c>
      <c r="G290">
        <v>4000304</v>
      </c>
      <c r="H290" t="s">
        <v>90</v>
      </c>
      <c r="N290" t="s">
        <v>1541</v>
      </c>
      <c r="O290">
        <v>4000304</v>
      </c>
      <c r="P290" t="s">
        <v>92</v>
      </c>
      <c r="Q290" t="s">
        <v>93</v>
      </c>
      <c r="R290" t="s">
        <v>1542</v>
      </c>
      <c r="V290" t="s">
        <v>1543</v>
      </c>
      <c r="W290" t="s">
        <v>124</v>
      </c>
      <c r="X290" t="s">
        <v>1544</v>
      </c>
      <c r="Y290" t="s">
        <v>99</v>
      </c>
      <c r="AA290" t="s">
        <v>1541</v>
      </c>
      <c r="AB290" t="s">
        <v>1542</v>
      </c>
      <c r="AC290" t="s">
        <v>1545</v>
      </c>
      <c r="AH290" t="s">
        <v>1546</v>
      </c>
      <c r="AI290">
        <v>456</v>
      </c>
      <c r="AK290">
        <v>0</v>
      </c>
      <c r="AL290" s="1">
        <v>45901</v>
      </c>
      <c r="AM290">
        <v>456</v>
      </c>
      <c r="AN290">
        <v>1896663</v>
      </c>
      <c r="CH290">
        <v>145141204</v>
      </c>
    </row>
    <row r="291" spans="1:86" x14ac:dyDescent="0.25">
      <c r="A291">
        <v>572129</v>
      </c>
      <c r="B291">
        <v>102</v>
      </c>
      <c r="C291">
        <v>301158</v>
      </c>
      <c r="D291">
        <v>1</v>
      </c>
      <c r="E291">
        <v>1</v>
      </c>
      <c r="F291">
        <v>4001046</v>
      </c>
      <c r="G291">
        <v>4001046</v>
      </c>
      <c r="H291" t="s">
        <v>90</v>
      </c>
      <c r="N291" t="s">
        <v>1547</v>
      </c>
      <c r="O291">
        <v>4005052</v>
      </c>
      <c r="P291" t="s">
        <v>92</v>
      </c>
      <c r="Q291" t="s">
        <v>93</v>
      </c>
      <c r="R291" t="s">
        <v>1548</v>
      </c>
      <c r="V291" t="s">
        <v>1549</v>
      </c>
      <c r="W291" t="s">
        <v>579</v>
      </c>
      <c r="X291">
        <v>15601</v>
      </c>
      <c r="Y291" t="s">
        <v>99</v>
      </c>
      <c r="AA291" t="s">
        <v>1547</v>
      </c>
      <c r="AB291" t="s">
        <v>1548</v>
      </c>
      <c r="AC291" t="s">
        <v>1550</v>
      </c>
      <c r="AH291" t="s">
        <v>1551</v>
      </c>
      <c r="AI291">
        <v>456</v>
      </c>
      <c r="AK291">
        <v>0</v>
      </c>
      <c r="AL291" s="1">
        <v>45667</v>
      </c>
      <c r="AM291">
        <v>38</v>
      </c>
      <c r="AN291">
        <v>1859577</v>
      </c>
      <c r="AP291" s="1">
        <v>45698</v>
      </c>
      <c r="AQ291">
        <v>38</v>
      </c>
      <c r="AR291">
        <v>1864793</v>
      </c>
      <c r="AT291" s="1">
        <v>45726</v>
      </c>
      <c r="AU291">
        <v>38</v>
      </c>
      <c r="AV291">
        <v>1869480</v>
      </c>
      <c r="AX291" s="1">
        <v>45757</v>
      </c>
      <c r="AY291">
        <v>38</v>
      </c>
      <c r="AZ291">
        <v>1874368</v>
      </c>
      <c r="BB291" s="1">
        <v>45787</v>
      </c>
      <c r="BC291">
        <v>38</v>
      </c>
      <c r="BD291">
        <v>1879508</v>
      </c>
      <c r="BF291" s="1">
        <v>45818</v>
      </c>
      <c r="BG291">
        <v>38</v>
      </c>
      <c r="BH291">
        <v>1884258</v>
      </c>
      <c r="BJ291" s="1">
        <v>45848</v>
      </c>
      <c r="BK291">
        <v>38</v>
      </c>
      <c r="BL291">
        <v>1888695</v>
      </c>
      <c r="BN291" s="1">
        <v>45879</v>
      </c>
      <c r="BO291">
        <v>38</v>
      </c>
      <c r="BP291">
        <v>1893590</v>
      </c>
      <c r="BR291" s="1">
        <v>45910</v>
      </c>
      <c r="BS291">
        <v>38</v>
      </c>
      <c r="BT291">
        <v>1898118</v>
      </c>
      <c r="BV291" s="1">
        <v>45940</v>
      </c>
      <c r="BW291">
        <v>38</v>
      </c>
      <c r="BX291">
        <v>1902869</v>
      </c>
      <c r="BZ291" s="1">
        <v>45971</v>
      </c>
      <c r="CA291">
        <v>38</v>
      </c>
      <c r="CB291">
        <v>1907442</v>
      </c>
      <c r="CD291" s="1">
        <v>46001</v>
      </c>
      <c r="CE291">
        <v>38</v>
      </c>
      <c r="CF291">
        <v>1912116</v>
      </c>
      <c r="CH291">
        <v>15601</v>
      </c>
    </row>
    <row r="292" spans="1:86" x14ac:dyDescent="0.25">
      <c r="A292">
        <v>572130</v>
      </c>
      <c r="B292">
        <v>102</v>
      </c>
      <c r="C292">
        <v>301159</v>
      </c>
      <c r="D292">
        <v>1</v>
      </c>
      <c r="E292">
        <v>1</v>
      </c>
      <c r="F292">
        <v>4001304</v>
      </c>
      <c r="G292">
        <v>4001304</v>
      </c>
      <c r="H292" t="s">
        <v>90</v>
      </c>
      <c r="N292" t="s">
        <v>462</v>
      </c>
      <c r="O292">
        <v>4001304</v>
      </c>
      <c r="P292" t="s">
        <v>92</v>
      </c>
      <c r="Q292" t="s">
        <v>93</v>
      </c>
      <c r="R292" t="s">
        <v>1552</v>
      </c>
      <c r="V292" t="s">
        <v>1553</v>
      </c>
      <c r="W292" t="s">
        <v>466</v>
      </c>
      <c r="X292">
        <v>66502</v>
      </c>
      <c r="Y292" t="s">
        <v>99</v>
      </c>
      <c r="AA292" t="s">
        <v>462</v>
      </c>
      <c r="AB292" t="s">
        <v>1552</v>
      </c>
      <c r="AC292" t="s">
        <v>1554</v>
      </c>
      <c r="AH292" t="s">
        <v>1555</v>
      </c>
      <c r="AI292">
        <v>660</v>
      </c>
      <c r="AK292">
        <v>0</v>
      </c>
      <c r="AL292" s="1">
        <v>46021</v>
      </c>
      <c r="AM292">
        <v>660</v>
      </c>
      <c r="AN292">
        <v>1917271</v>
      </c>
      <c r="CH292">
        <v>66502</v>
      </c>
    </row>
    <row r="293" spans="1:86" x14ac:dyDescent="0.25">
      <c r="A293">
        <v>572131</v>
      </c>
      <c r="B293">
        <v>102</v>
      </c>
      <c r="C293">
        <v>301160</v>
      </c>
      <c r="D293">
        <v>1</v>
      </c>
      <c r="E293">
        <v>1</v>
      </c>
      <c r="F293">
        <v>5006468</v>
      </c>
      <c r="G293">
        <v>0</v>
      </c>
      <c r="H293" t="s">
        <v>1214</v>
      </c>
      <c r="J293" t="s">
        <v>1556</v>
      </c>
      <c r="L293" t="s">
        <v>1557</v>
      </c>
      <c r="O293">
        <v>4011593</v>
      </c>
      <c r="P293" t="s">
        <v>1556</v>
      </c>
      <c r="Q293" t="s">
        <v>93</v>
      </c>
      <c r="R293" t="s">
        <v>1558</v>
      </c>
      <c r="V293" t="s">
        <v>1559</v>
      </c>
      <c r="W293" t="s">
        <v>212</v>
      </c>
      <c r="X293" t="s">
        <v>1560</v>
      </c>
      <c r="Y293" t="s">
        <v>99</v>
      </c>
      <c r="AA293" t="s">
        <v>1561</v>
      </c>
      <c r="AB293" t="s">
        <v>1558</v>
      </c>
      <c r="AC293" t="s">
        <v>1562</v>
      </c>
      <c r="AH293" t="s">
        <v>1563</v>
      </c>
      <c r="AI293">
        <v>456</v>
      </c>
      <c r="AK293">
        <v>0</v>
      </c>
      <c r="AL293" s="1">
        <v>45685</v>
      </c>
      <c r="AM293">
        <v>38</v>
      </c>
      <c r="AN293">
        <v>1863065</v>
      </c>
      <c r="AP293" s="1">
        <v>45716</v>
      </c>
      <c r="AQ293">
        <v>38</v>
      </c>
      <c r="AR293">
        <v>1867911</v>
      </c>
      <c r="AT293" s="1">
        <v>45744</v>
      </c>
      <c r="AU293">
        <v>38</v>
      </c>
      <c r="AV293">
        <v>1872443</v>
      </c>
      <c r="AX293" s="1">
        <v>45775</v>
      </c>
      <c r="AY293">
        <v>38</v>
      </c>
      <c r="AZ293">
        <v>1877621</v>
      </c>
      <c r="BB293" s="1">
        <v>45805</v>
      </c>
      <c r="BC293">
        <v>38</v>
      </c>
      <c r="BD293">
        <v>1882210</v>
      </c>
      <c r="BF293" s="1">
        <v>45836</v>
      </c>
      <c r="BG293">
        <v>38</v>
      </c>
      <c r="BH293">
        <v>1887015</v>
      </c>
      <c r="BJ293" s="1">
        <v>45866</v>
      </c>
      <c r="BK293">
        <v>38</v>
      </c>
      <c r="BL293">
        <v>1891754</v>
      </c>
      <c r="BN293" s="1">
        <v>45897</v>
      </c>
      <c r="BO293">
        <v>38</v>
      </c>
      <c r="BP293">
        <v>1896248</v>
      </c>
      <c r="BR293" s="1">
        <v>45928</v>
      </c>
      <c r="BS293">
        <v>38</v>
      </c>
      <c r="BT293">
        <v>1900975</v>
      </c>
      <c r="BV293" s="1">
        <v>45958</v>
      </c>
      <c r="BW293">
        <v>38</v>
      </c>
      <c r="BX293">
        <v>1905580</v>
      </c>
      <c r="BZ293" s="1">
        <v>45989</v>
      </c>
      <c r="CA293">
        <v>38</v>
      </c>
      <c r="CB293">
        <v>1910100</v>
      </c>
      <c r="CD293" s="1">
        <v>46019</v>
      </c>
      <c r="CE293">
        <v>38</v>
      </c>
      <c r="CF293">
        <v>1914916</v>
      </c>
      <c r="CH293">
        <v>496518701</v>
      </c>
    </row>
    <row r="294" spans="1:86" x14ac:dyDescent="0.25">
      <c r="A294">
        <v>572132</v>
      </c>
      <c r="B294">
        <v>102</v>
      </c>
      <c r="C294">
        <v>301161</v>
      </c>
      <c r="D294">
        <v>1</v>
      </c>
      <c r="E294">
        <v>1</v>
      </c>
      <c r="F294">
        <v>5022593</v>
      </c>
      <c r="G294">
        <v>5022593</v>
      </c>
      <c r="H294" t="s">
        <v>90</v>
      </c>
      <c r="N294" t="s">
        <v>1564</v>
      </c>
      <c r="O294">
        <v>4006637</v>
      </c>
      <c r="P294" t="s">
        <v>92</v>
      </c>
      <c r="Q294" t="s">
        <v>93</v>
      </c>
      <c r="R294" t="s">
        <v>1565</v>
      </c>
      <c r="S294" t="s">
        <v>1566</v>
      </c>
      <c r="V294" t="s">
        <v>1567</v>
      </c>
      <c r="W294" t="s">
        <v>1058</v>
      </c>
      <c r="X294">
        <v>79601</v>
      </c>
      <c r="Y294" t="s">
        <v>99</v>
      </c>
      <c r="AA294" t="s">
        <v>1564</v>
      </c>
      <c r="AB294" t="s">
        <v>1565</v>
      </c>
      <c r="AC294" t="s">
        <v>1566</v>
      </c>
      <c r="AD294" t="s">
        <v>1568</v>
      </c>
      <c r="AH294" t="s">
        <v>1569</v>
      </c>
      <c r="AI294">
        <v>456</v>
      </c>
      <c r="AK294">
        <v>0</v>
      </c>
      <c r="AL294" s="1">
        <v>45658</v>
      </c>
      <c r="AM294">
        <v>38</v>
      </c>
      <c r="AN294">
        <v>1858259</v>
      </c>
      <c r="AP294" s="1">
        <v>45689</v>
      </c>
      <c r="AQ294">
        <v>38</v>
      </c>
      <c r="AR294">
        <v>1863437</v>
      </c>
      <c r="AT294" s="1">
        <v>45717</v>
      </c>
      <c r="AU294">
        <v>38</v>
      </c>
      <c r="AV294">
        <v>1868214</v>
      </c>
      <c r="AX294" s="1">
        <v>45748</v>
      </c>
      <c r="AY294">
        <v>38</v>
      </c>
      <c r="AZ294">
        <v>1872795</v>
      </c>
      <c r="BB294" s="1">
        <v>45778</v>
      </c>
      <c r="BC294">
        <v>38</v>
      </c>
      <c r="BD294">
        <v>1878035</v>
      </c>
      <c r="BF294" s="1">
        <v>45809</v>
      </c>
      <c r="BG294">
        <v>38</v>
      </c>
      <c r="BH294">
        <v>1882770</v>
      </c>
      <c r="BJ294" s="1">
        <v>45839</v>
      </c>
      <c r="BK294">
        <v>38</v>
      </c>
      <c r="BL294">
        <v>1887305</v>
      </c>
      <c r="BN294" s="1">
        <v>45870</v>
      </c>
      <c r="BO294">
        <v>38</v>
      </c>
      <c r="BP294">
        <v>1892236</v>
      </c>
      <c r="BR294" s="1">
        <v>45901</v>
      </c>
      <c r="BS294">
        <v>38</v>
      </c>
      <c r="BT294">
        <v>1896735</v>
      </c>
      <c r="BV294" s="1">
        <v>45931</v>
      </c>
      <c r="BW294">
        <v>38</v>
      </c>
      <c r="BX294">
        <v>1901340</v>
      </c>
      <c r="BZ294" s="1">
        <v>45962</v>
      </c>
      <c r="CA294">
        <v>38</v>
      </c>
      <c r="CB294">
        <v>1905893</v>
      </c>
      <c r="CD294" s="1">
        <v>45992</v>
      </c>
      <c r="CE294">
        <v>38</v>
      </c>
      <c r="CF294">
        <v>1910575</v>
      </c>
      <c r="CH294">
        <v>79601</v>
      </c>
    </row>
    <row r="295" spans="1:86" x14ac:dyDescent="0.25">
      <c r="A295">
        <v>572133</v>
      </c>
      <c r="B295">
        <v>102</v>
      </c>
      <c r="C295">
        <v>301162</v>
      </c>
      <c r="D295">
        <v>1</v>
      </c>
      <c r="E295">
        <v>1</v>
      </c>
      <c r="F295">
        <v>5022657</v>
      </c>
      <c r="G295">
        <v>5022657</v>
      </c>
      <c r="H295" t="s">
        <v>90</v>
      </c>
      <c r="N295" t="s">
        <v>1570</v>
      </c>
      <c r="O295">
        <v>4002871</v>
      </c>
      <c r="P295" t="s">
        <v>92</v>
      </c>
      <c r="Q295" t="s">
        <v>93</v>
      </c>
      <c r="R295" t="s">
        <v>1571</v>
      </c>
      <c r="V295" t="s">
        <v>1572</v>
      </c>
      <c r="W295" t="s">
        <v>153</v>
      </c>
      <c r="X295">
        <v>61920</v>
      </c>
      <c r="Y295" t="s">
        <v>99</v>
      </c>
      <c r="AA295" t="s">
        <v>1570</v>
      </c>
      <c r="AB295" t="s">
        <v>1571</v>
      </c>
      <c r="AC295" t="s">
        <v>1573</v>
      </c>
      <c r="AH295" t="s">
        <v>1574</v>
      </c>
      <c r="AI295">
        <v>456</v>
      </c>
      <c r="AK295">
        <v>0</v>
      </c>
      <c r="AL295" s="1">
        <v>45658</v>
      </c>
      <c r="AM295">
        <v>38</v>
      </c>
      <c r="AN295">
        <v>1858258</v>
      </c>
      <c r="AP295" s="1">
        <v>45689</v>
      </c>
      <c r="AQ295">
        <v>38</v>
      </c>
      <c r="AR295">
        <v>1863436</v>
      </c>
      <c r="AT295" s="1">
        <v>45717</v>
      </c>
      <c r="AU295">
        <v>38</v>
      </c>
      <c r="AV295">
        <v>1868213</v>
      </c>
      <c r="AX295" s="1">
        <v>45748</v>
      </c>
      <c r="AY295">
        <v>38</v>
      </c>
      <c r="AZ295">
        <v>1872794</v>
      </c>
      <c r="BB295" s="1">
        <v>45778</v>
      </c>
      <c r="BC295">
        <v>38</v>
      </c>
      <c r="BD295">
        <v>1878034</v>
      </c>
      <c r="BF295" s="1">
        <v>45809</v>
      </c>
      <c r="BG295">
        <v>38</v>
      </c>
      <c r="BH295">
        <v>1882769</v>
      </c>
      <c r="BJ295" s="1">
        <v>45839</v>
      </c>
      <c r="BK295">
        <v>38</v>
      </c>
      <c r="BL295">
        <v>1887304</v>
      </c>
      <c r="BN295" s="1">
        <v>45870</v>
      </c>
      <c r="BO295">
        <v>38</v>
      </c>
      <c r="BP295">
        <v>1892235</v>
      </c>
      <c r="BR295" s="1">
        <v>45901</v>
      </c>
      <c r="BS295">
        <v>38</v>
      </c>
      <c r="BT295">
        <v>1896734</v>
      </c>
      <c r="BV295" s="1">
        <v>45931</v>
      </c>
      <c r="BW295">
        <v>38</v>
      </c>
      <c r="BX295">
        <v>1901339</v>
      </c>
      <c r="BZ295" s="1">
        <v>45962</v>
      </c>
      <c r="CA295">
        <v>38</v>
      </c>
      <c r="CB295">
        <v>1905892</v>
      </c>
      <c r="CD295" s="1">
        <v>45992</v>
      </c>
      <c r="CE295">
        <v>38</v>
      </c>
      <c r="CF295">
        <v>1910574</v>
      </c>
      <c r="CH295">
        <v>61920</v>
      </c>
    </row>
    <row r="296" spans="1:86" x14ac:dyDescent="0.25">
      <c r="A296">
        <v>572134</v>
      </c>
      <c r="B296">
        <v>102</v>
      </c>
      <c r="C296">
        <v>301163</v>
      </c>
      <c r="D296">
        <v>1</v>
      </c>
      <c r="E296">
        <v>1</v>
      </c>
      <c r="F296">
        <v>5023827</v>
      </c>
      <c r="G296">
        <v>5023827</v>
      </c>
      <c r="H296" t="s">
        <v>90</v>
      </c>
      <c r="N296" t="s">
        <v>1575</v>
      </c>
      <c r="O296">
        <v>4005031</v>
      </c>
      <c r="P296" t="s">
        <v>92</v>
      </c>
      <c r="Q296" t="s">
        <v>93</v>
      </c>
      <c r="R296" t="s">
        <v>1576</v>
      </c>
      <c r="V296" t="s">
        <v>1577</v>
      </c>
      <c r="W296" t="s">
        <v>212</v>
      </c>
      <c r="X296" t="s">
        <v>1578</v>
      </c>
      <c r="Y296" t="s">
        <v>99</v>
      </c>
      <c r="AA296" t="s">
        <v>1575</v>
      </c>
      <c r="AB296" t="s">
        <v>1576</v>
      </c>
      <c r="AC296" t="s">
        <v>1579</v>
      </c>
      <c r="AI296">
        <v>456</v>
      </c>
      <c r="AK296">
        <v>0</v>
      </c>
      <c r="AL296" s="1">
        <v>45668</v>
      </c>
      <c r="AM296">
        <v>38</v>
      </c>
      <c r="AN296">
        <v>1859923</v>
      </c>
      <c r="AP296" s="1">
        <v>45699</v>
      </c>
      <c r="AQ296">
        <v>38</v>
      </c>
      <c r="AR296">
        <v>1864989</v>
      </c>
      <c r="AT296" s="1">
        <v>45727</v>
      </c>
      <c r="AU296">
        <v>38</v>
      </c>
      <c r="AV296">
        <v>1869531</v>
      </c>
      <c r="AX296" s="1">
        <v>45758</v>
      </c>
      <c r="AY296">
        <v>38</v>
      </c>
      <c r="AZ296">
        <v>1874426</v>
      </c>
      <c r="BB296" s="1">
        <v>45788</v>
      </c>
      <c r="BC296">
        <v>38</v>
      </c>
      <c r="BD296">
        <v>1879560</v>
      </c>
      <c r="BF296" s="1">
        <v>45819</v>
      </c>
      <c r="BG296">
        <v>38</v>
      </c>
      <c r="BH296">
        <v>1884322</v>
      </c>
      <c r="BJ296" s="1">
        <v>45849</v>
      </c>
      <c r="BK296">
        <v>38</v>
      </c>
      <c r="BL296">
        <v>1889058</v>
      </c>
      <c r="BN296" s="1">
        <v>45880</v>
      </c>
      <c r="BO296">
        <v>38</v>
      </c>
      <c r="BP296">
        <v>1893634</v>
      </c>
      <c r="BR296" s="1">
        <v>45911</v>
      </c>
      <c r="BS296">
        <v>38</v>
      </c>
      <c r="BT296">
        <v>1898329</v>
      </c>
      <c r="BV296" s="1">
        <v>45941</v>
      </c>
      <c r="BW296">
        <v>38</v>
      </c>
      <c r="BX296">
        <v>1902925</v>
      </c>
      <c r="BZ296" s="1">
        <v>45972</v>
      </c>
      <c r="CA296">
        <v>38</v>
      </c>
      <c r="CB296">
        <v>1907502</v>
      </c>
      <c r="CD296" s="1">
        <v>46002</v>
      </c>
      <c r="CE296">
        <v>38</v>
      </c>
      <c r="CF296">
        <v>1912169</v>
      </c>
      <c r="CH296">
        <v>486580217</v>
      </c>
    </row>
    <row r="297" spans="1:86" x14ac:dyDescent="0.25">
      <c r="A297">
        <v>572135</v>
      </c>
      <c r="B297">
        <v>102</v>
      </c>
      <c r="C297">
        <v>301164</v>
      </c>
      <c r="D297">
        <v>1</v>
      </c>
      <c r="E297">
        <v>1</v>
      </c>
      <c r="F297">
        <v>5023833</v>
      </c>
      <c r="G297">
        <v>5023833</v>
      </c>
      <c r="H297" t="s">
        <v>90</v>
      </c>
      <c r="N297" t="s">
        <v>1580</v>
      </c>
      <c r="O297">
        <v>4004660</v>
      </c>
      <c r="P297" t="s">
        <v>92</v>
      </c>
      <c r="Q297" t="s">
        <v>93</v>
      </c>
      <c r="R297" t="s">
        <v>1581</v>
      </c>
      <c r="V297" t="s">
        <v>174</v>
      </c>
      <c r="W297" t="s">
        <v>153</v>
      </c>
      <c r="X297">
        <v>62246</v>
      </c>
      <c r="Y297" t="s">
        <v>99</v>
      </c>
      <c r="AA297" t="s">
        <v>1580</v>
      </c>
      <c r="AB297" t="s">
        <v>1581</v>
      </c>
      <c r="AC297" t="s">
        <v>175</v>
      </c>
      <c r="AH297" t="s">
        <v>1582</v>
      </c>
      <c r="AI297">
        <v>700</v>
      </c>
      <c r="AK297">
        <v>0</v>
      </c>
      <c r="AL297" s="1">
        <v>46010</v>
      </c>
      <c r="AM297">
        <v>700</v>
      </c>
      <c r="AN297">
        <v>1916107</v>
      </c>
      <c r="CH297">
        <v>62246</v>
      </c>
    </row>
    <row r="298" spans="1:86" x14ac:dyDescent="0.25">
      <c r="A298">
        <v>572136</v>
      </c>
      <c r="B298">
        <v>102</v>
      </c>
      <c r="C298">
        <v>301165</v>
      </c>
      <c r="D298">
        <v>1</v>
      </c>
      <c r="E298">
        <v>1</v>
      </c>
      <c r="F298">
        <v>5024695</v>
      </c>
      <c r="G298">
        <v>5024695</v>
      </c>
      <c r="H298" t="s">
        <v>90</v>
      </c>
      <c r="N298" t="s">
        <v>102</v>
      </c>
      <c r="O298">
        <v>4005855</v>
      </c>
      <c r="P298" t="s">
        <v>92</v>
      </c>
      <c r="Q298" t="s">
        <v>93</v>
      </c>
      <c r="R298" t="s">
        <v>1583</v>
      </c>
      <c r="S298" t="s">
        <v>103</v>
      </c>
      <c r="V298" t="s">
        <v>104</v>
      </c>
      <c r="W298" t="s">
        <v>105</v>
      </c>
      <c r="X298">
        <v>95966</v>
      </c>
      <c r="Y298" t="s">
        <v>99</v>
      </c>
      <c r="AA298" t="s">
        <v>102</v>
      </c>
      <c r="AB298" t="s">
        <v>1583</v>
      </c>
      <c r="AC298" t="s">
        <v>103</v>
      </c>
      <c r="AD298" t="s">
        <v>106</v>
      </c>
      <c r="AH298" t="s">
        <v>1584</v>
      </c>
      <c r="AI298">
        <v>1368</v>
      </c>
      <c r="AK298">
        <v>0</v>
      </c>
      <c r="AL298" s="1">
        <v>45719</v>
      </c>
      <c r="AM298">
        <v>1368</v>
      </c>
      <c r="AN298">
        <v>1868714</v>
      </c>
      <c r="CH298">
        <v>95966</v>
      </c>
    </row>
    <row r="299" spans="1:86" x14ac:dyDescent="0.25">
      <c r="A299">
        <v>572137</v>
      </c>
      <c r="B299">
        <v>102</v>
      </c>
      <c r="C299">
        <v>301166</v>
      </c>
      <c r="D299">
        <v>1</v>
      </c>
      <c r="E299">
        <v>1</v>
      </c>
      <c r="F299">
        <v>5025047</v>
      </c>
      <c r="G299">
        <v>5025047</v>
      </c>
      <c r="H299" t="s">
        <v>90</v>
      </c>
      <c r="N299" t="s">
        <v>1585</v>
      </c>
      <c r="O299">
        <v>4006443</v>
      </c>
      <c r="P299" t="s">
        <v>92</v>
      </c>
      <c r="Q299" t="s">
        <v>93</v>
      </c>
      <c r="R299" t="s">
        <v>1586</v>
      </c>
      <c r="S299" t="s">
        <v>1587</v>
      </c>
      <c r="V299" t="s">
        <v>1588</v>
      </c>
      <c r="W299" t="s">
        <v>212</v>
      </c>
      <c r="X299">
        <v>48457</v>
      </c>
      <c r="Y299" t="s">
        <v>99</v>
      </c>
      <c r="AA299" t="s">
        <v>1585</v>
      </c>
      <c r="AB299" t="s">
        <v>1586</v>
      </c>
      <c r="AC299" t="s">
        <v>1587</v>
      </c>
      <c r="AD299" t="s">
        <v>1589</v>
      </c>
      <c r="AI299">
        <v>456</v>
      </c>
      <c r="AK299">
        <v>0</v>
      </c>
      <c r="AL299" s="1">
        <v>46000</v>
      </c>
      <c r="AM299">
        <v>456</v>
      </c>
      <c r="AN299">
        <v>1913036</v>
      </c>
      <c r="CH299">
        <v>48457</v>
      </c>
    </row>
    <row r="300" spans="1:86" x14ac:dyDescent="0.25">
      <c r="A300">
        <v>572138</v>
      </c>
      <c r="B300">
        <v>102</v>
      </c>
      <c r="C300">
        <v>301167</v>
      </c>
      <c r="D300">
        <v>1</v>
      </c>
      <c r="E300">
        <v>1</v>
      </c>
      <c r="F300">
        <v>5025631</v>
      </c>
      <c r="G300">
        <v>5025631</v>
      </c>
      <c r="H300" t="s">
        <v>90</v>
      </c>
      <c r="N300" t="s">
        <v>1590</v>
      </c>
      <c r="O300">
        <v>4008966</v>
      </c>
      <c r="P300" t="s">
        <v>92</v>
      </c>
      <c r="Q300" t="s">
        <v>93</v>
      </c>
      <c r="R300" t="s">
        <v>1591</v>
      </c>
      <c r="V300" t="s">
        <v>1592</v>
      </c>
      <c r="W300" t="s">
        <v>212</v>
      </c>
      <c r="X300">
        <v>49307</v>
      </c>
      <c r="Y300" t="s">
        <v>99</v>
      </c>
      <c r="AA300" t="s">
        <v>1590</v>
      </c>
      <c r="AB300" t="s">
        <v>1591</v>
      </c>
      <c r="AC300" t="s">
        <v>1593</v>
      </c>
      <c r="AH300" t="s">
        <v>1594</v>
      </c>
      <c r="AI300">
        <v>356</v>
      </c>
      <c r="AK300">
        <v>0</v>
      </c>
      <c r="AL300" s="1">
        <v>45664</v>
      </c>
      <c r="AM300">
        <v>156</v>
      </c>
      <c r="AN300">
        <v>1859197</v>
      </c>
      <c r="AP300" s="1">
        <v>46021</v>
      </c>
      <c r="AQ300">
        <v>200</v>
      </c>
      <c r="AR300">
        <v>1916597</v>
      </c>
      <c r="CH300">
        <v>49307</v>
      </c>
    </row>
    <row r="301" spans="1:86" x14ac:dyDescent="0.25">
      <c r="A301">
        <v>572139</v>
      </c>
      <c r="B301">
        <v>102</v>
      </c>
      <c r="C301">
        <v>301168</v>
      </c>
      <c r="D301">
        <v>1</v>
      </c>
      <c r="E301">
        <v>1</v>
      </c>
      <c r="F301">
        <v>5025958</v>
      </c>
      <c r="G301">
        <v>5025958</v>
      </c>
      <c r="H301" t="s">
        <v>90</v>
      </c>
      <c r="N301" t="s">
        <v>1595</v>
      </c>
      <c r="O301">
        <v>4011699</v>
      </c>
      <c r="P301" t="s">
        <v>92</v>
      </c>
      <c r="Q301" t="s">
        <v>93</v>
      </c>
      <c r="R301" t="s">
        <v>1596</v>
      </c>
      <c r="S301" t="s">
        <v>1597</v>
      </c>
      <c r="T301" t="s">
        <v>1598</v>
      </c>
      <c r="V301" t="s">
        <v>1599</v>
      </c>
      <c r="W301" t="s">
        <v>1086</v>
      </c>
      <c r="X301">
        <v>46241</v>
      </c>
      <c r="Y301" t="s">
        <v>99</v>
      </c>
      <c r="AA301" t="s">
        <v>1595</v>
      </c>
      <c r="AB301" t="s">
        <v>1596</v>
      </c>
      <c r="AC301" t="s">
        <v>1597</v>
      </c>
      <c r="AD301" t="s">
        <v>1598</v>
      </c>
      <c r="AE301" t="s">
        <v>1600</v>
      </c>
      <c r="AI301">
        <v>664</v>
      </c>
      <c r="AK301">
        <v>0</v>
      </c>
      <c r="AL301" s="1">
        <v>45812</v>
      </c>
      <c r="AM301">
        <v>664</v>
      </c>
      <c r="AN301">
        <v>1883541</v>
      </c>
      <c r="CH301">
        <v>46241</v>
      </c>
    </row>
    <row r="302" spans="1:86" x14ac:dyDescent="0.25">
      <c r="A302">
        <v>572140</v>
      </c>
      <c r="B302">
        <v>102</v>
      </c>
      <c r="C302">
        <v>301169</v>
      </c>
      <c r="D302">
        <v>1</v>
      </c>
      <c r="E302">
        <v>1</v>
      </c>
      <c r="F302">
        <v>5026235</v>
      </c>
      <c r="G302">
        <v>5026235</v>
      </c>
      <c r="H302" t="s">
        <v>90</v>
      </c>
      <c r="N302" t="s">
        <v>1601</v>
      </c>
      <c r="O302">
        <v>4008083</v>
      </c>
      <c r="P302" t="s">
        <v>92</v>
      </c>
      <c r="Q302" t="s">
        <v>93</v>
      </c>
      <c r="R302" t="s">
        <v>1602</v>
      </c>
      <c r="V302" t="s">
        <v>1603</v>
      </c>
      <c r="W302" t="s">
        <v>579</v>
      </c>
      <c r="X302">
        <v>16364</v>
      </c>
      <c r="Y302" t="s">
        <v>99</v>
      </c>
      <c r="AA302" t="s">
        <v>1601</v>
      </c>
      <c r="AB302" t="s">
        <v>1602</v>
      </c>
      <c r="AC302" t="s">
        <v>1604</v>
      </c>
      <c r="AH302" t="s">
        <v>1605</v>
      </c>
      <c r="AI302">
        <v>143</v>
      </c>
      <c r="AK302">
        <v>0</v>
      </c>
      <c r="AL302" s="1">
        <v>45744</v>
      </c>
      <c r="AM302">
        <v>143</v>
      </c>
      <c r="AN302">
        <v>1873405</v>
      </c>
      <c r="CH302">
        <v>16364</v>
      </c>
    </row>
    <row r="303" spans="1:86" x14ac:dyDescent="0.25">
      <c r="A303">
        <v>572141</v>
      </c>
      <c r="B303">
        <v>102</v>
      </c>
      <c r="C303">
        <v>301170</v>
      </c>
      <c r="D303">
        <v>1</v>
      </c>
      <c r="E303">
        <v>1</v>
      </c>
      <c r="F303">
        <v>5026237</v>
      </c>
      <c r="G303">
        <v>5026237</v>
      </c>
      <c r="H303" t="s">
        <v>90</v>
      </c>
      <c r="N303" t="s">
        <v>1606</v>
      </c>
      <c r="O303">
        <v>4008087</v>
      </c>
      <c r="P303" t="s">
        <v>92</v>
      </c>
      <c r="Q303" t="s">
        <v>93</v>
      </c>
      <c r="R303" t="s">
        <v>1607</v>
      </c>
      <c r="V303" t="s">
        <v>1608</v>
      </c>
      <c r="W303" t="s">
        <v>1609</v>
      </c>
      <c r="X303">
        <v>39367</v>
      </c>
      <c r="Y303" t="s">
        <v>99</v>
      </c>
      <c r="AA303" t="s">
        <v>1606</v>
      </c>
      <c r="AB303" t="s">
        <v>1607</v>
      </c>
      <c r="AC303" t="s">
        <v>1610</v>
      </c>
      <c r="AH303" t="s">
        <v>1611</v>
      </c>
      <c r="AI303">
        <v>456</v>
      </c>
      <c r="AK303">
        <v>0</v>
      </c>
      <c r="AL303" s="1">
        <v>45719</v>
      </c>
      <c r="AM303">
        <v>456</v>
      </c>
      <c r="AN303">
        <v>1869035</v>
      </c>
      <c r="CH303">
        <v>39367</v>
      </c>
    </row>
    <row r="304" spans="1:86" x14ac:dyDescent="0.25">
      <c r="A304">
        <v>572142</v>
      </c>
      <c r="B304">
        <v>102</v>
      </c>
      <c r="C304">
        <v>301171</v>
      </c>
      <c r="D304">
        <v>1</v>
      </c>
      <c r="E304">
        <v>1</v>
      </c>
      <c r="F304">
        <v>5026364</v>
      </c>
      <c r="G304">
        <v>5026364</v>
      </c>
      <c r="H304" t="s">
        <v>90</v>
      </c>
      <c r="N304" t="s">
        <v>1612</v>
      </c>
      <c r="O304">
        <v>4010108</v>
      </c>
      <c r="P304" t="s">
        <v>92</v>
      </c>
      <c r="Q304" t="s">
        <v>93</v>
      </c>
      <c r="R304" t="s">
        <v>1613</v>
      </c>
      <c r="V304" t="s">
        <v>376</v>
      </c>
      <c r="W304" t="s">
        <v>124</v>
      </c>
      <c r="X304">
        <v>14620</v>
      </c>
      <c r="Y304" t="s">
        <v>99</v>
      </c>
      <c r="AA304" t="s">
        <v>1612</v>
      </c>
      <c r="AB304" t="s">
        <v>1613</v>
      </c>
      <c r="AC304" t="s">
        <v>1614</v>
      </c>
      <c r="AH304" t="s">
        <v>1615</v>
      </c>
      <c r="AI304">
        <v>11565</v>
      </c>
      <c r="AK304">
        <v>0</v>
      </c>
      <c r="AL304" s="1">
        <v>45665</v>
      </c>
      <c r="AM304">
        <v>0</v>
      </c>
      <c r="AN304">
        <v>1859234</v>
      </c>
      <c r="AO304">
        <v>0</v>
      </c>
      <c r="AP304" s="1">
        <v>45667</v>
      </c>
      <c r="AQ304">
        <v>2865</v>
      </c>
      <c r="AR304">
        <v>1859658</v>
      </c>
      <c r="AT304" s="1">
        <v>45877</v>
      </c>
      <c r="AU304">
        <v>5100</v>
      </c>
      <c r="AV304">
        <v>1893437</v>
      </c>
      <c r="AX304" s="1">
        <v>45966</v>
      </c>
      <c r="AY304">
        <v>3600</v>
      </c>
      <c r="AZ304">
        <v>1907026</v>
      </c>
      <c r="CH304">
        <v>14620</v>
      </c>
    </row>
    <row r="305" spans="1:86" x14ac:dyDescent="0.25">
      <c r="A305">
        <v>572143</v>
      </c>
      <c r="B305">
        <v>102</v>
      </c>
      <c r="C305">
        <v>301172</v>
      </c>
      <c r="D305">
        <v>1</v>
      </c>
      <c r="E305">
        <v>1</v>
      </c>
      <c r="F305">
        <v>5026367</v>
      </c>
      <c r="G305">
        <v>5026367</v>
      </c>
      <c r="H305" t="s">
        <v>90</v>
      </c>
      <c r="N305" t="s">
        <v>1616</v>
      </c>
      <c r="O305">
        <v>4008253</v>
      </c>
      <c r="P305" t="s">
        <v>92</v>
      </c>
      <c r="Q305" t="s">
        <v>93</v>
      </c>
      <c r="R305" t="s">
        <v>1617</v>
      </c>
      <c r="V305" t="s">
        <v>1618</v>
      </c>
      <c r="W305" t="s">
        <v>1609</v>
      </c>
      <c r="X305">
        <v>39367</v>
      </c>
      <c r="Y305" t="s">
        <v>99</v>
      </c>
      <c r="AA305" t="s">
        <v>1616</v>
      </c>
      <c r="AB305" t="s">
        <v>1617</v>
      </c>
      <c r="AC305" t="s">
        <v>1619</v>
      </c>
      <c r="AH305" t="s">
        <v>1620</v>
      </c>
      <c r="AI305">
        <v>456</v>
      </c>
      <c r="AK305">
        <v>0</v>
      </c>
      <c r="AL305" s="1">
        <v>45719</v>
      </c>
      <c r="AM305">
        <v>456</v>
      </c>
      <c r="AN305">
        <v>1869036</v>
      </c>
      <c r="CH305">
        <v>39367</v>
      </c>
    </row>
    <row r="306" spans="1:86" x14ac:dyDescent="0.25">
      <c r="A306">
        <v>572144</v>
      </c>
      <c r="B306">
        <v>102</v>
      </c>
      <c r="C306">
        <v>301173</v>
      </c>
      <c r="D306">
        <v>1</v>
      </c>
      <c r="E306">
        <v>1</v>
      </c>
      <c r="F306">
        <v>5026611</v>
      </c>
      <c r="G306">
        <v>5026611</v>
      </c>
      <c r="H306" t="s">
        <v>90</v>
      </c>
      <c r="N306" t="s">
        <v>1621</v>
      </c>
      <c r="O306">
        <v>4008651</v>
      </c>
      <c r="P306" t="s">
        <v>92</v>
      </c>
      <c r="Q306" t="s">
        <v>93</v>
      </c>
      <c r="R306" t="s">
        <v>1622</v>
      </c>
      <c r="V306" t="s">
        <v>1623</v>
      </c>
      <c r="W306" t="s">
        <v>212</v>
      </c>
      <c r="X306">
        <v>48160</v>
      </c>
      <c r="Y306" t="s">
        <v>99</v>
      </c>
      <c r="AA306" t="s">
        <v>1621</v>
      </c>
      <c r="AB306" t="s">
        <v>1622</v>
      </c>
      <c r="AC306" t="s">
        <v>1624</v>
      </c>
      <c r="AH306" t="s">
        <v>1625</v>
      </c>
      <c r="AI306">
        <v>250</v>
      </c>
      <c r="AK306">
        <v>0</v>
      </c>
      <c r="AL306" s="1">
        <v>45663</v>
      </c>
      <c r="AM306">
        <v>250</v>
      </c>
      <c r="AN306">
        <v>1859078</v>
      </c>
      <c r="CH306">
        <v>48160</v>
      </c>
    </row>
    <row r="307" spans="1:86" x14ac:dyDescent="0.25">
      <c r="A307">
        <v>572145</v>
      </c>
      <c r="B307">
        <v>102</v>
      </c>
      <c r="C307">
        <v>301174</v>
      </c>
      <c r="D307">
        <v>1</v>
      </c>
      <c r="E307">
        <v>1</v>
      </c>
      <c r="F307">
        <v>5026688</v>
      </c>
      <c r="G307">
        <v>5026688</v>
      </c>
      <c r="H307" t="s">
        <v>90</v>
      </c>
      <c r="N307" t="s">
        <v>1626</v>
      </c>
      <c r="O307">
        <v>4008769</v>
      </c>
      <c r="P307" t="s">
        <v>92</v>
      </c>
      <c r="Q307" t="s">
        <v>93</v>
      </c>
      <c r="R307" t="s">
        <v>1627</v>
      </c>
      <c r="V307" t="s">
        <v>1628</v>
      </c>
      <c r="W307" t="s">
        <v>1629</v>
      </c>
      <c r="X307">
        <v>35055</v>
      </c>
      <c r="Y307" t="s">
        <v>99</v>
      </c>
      <c r="AA307" t="s">
        <v>1626</v>
      </c>
      <c r="AB307" t="s">
        <v>1627</v>
      </c>
      <c r="AC307" t="s">
        <v>1630</v>
      </c>
      <c r="AH307" t="s">
        <v>1631</v>
      </c>
      <c r="AI307">
        <v>456</v>
      </c>
      <c r="AK307">
        <v>0</v>
      </c>
      <c r="AL307" s="1">
        <v>45659</v>
      </c>
      <c r="AM307">
        <v>114</v>
      </c>
      <c r="AN307">
        <v>1858748</v>
      </c>
      <c r="AP307" s="1">
        <v>45843</v>
      </c>
      <c r="AQ307">
        <v>228</v>
      </c>
      <c r="AR307">
        <v>1888310</v>
      </c>
      <c r="AT307" s="1">
        <v>45973</v>
      </c>
      <c r="AU307">
        <v>114</v>
      </c>
      <c r="AV307">
        <v>1907578</v>
      </c>
      <c r="CH307">
        <v>35055</v>
      </c>
    </row>
    <row r="308" spans="1:86" x14ac:dyDescent="0.25">
      <c r="A308">
        <v>572146</v>
      </c>
      <c r="B308">
        <v>102</v>
      </c>
      <c r="C308">
        <v>301175</v>
      </c>
      <c r="D308">
        <v>1</v>
      </c>
      <c r="E308">
        <v>1</v>
      </c>
      <c r="F308">
        <v>5027075</v>
      </c>
      <c r="G308">
        <v>5027075</v>
      </c>
      <c r="H308" t="s">
        <v>90</v>
      </c>
      <c r="N308" t="s">
        <v>1632</v>
      </c>
      <c r="O308">
        <v>4009469</v>
      </c>
      <c r="P308" t="s">
        <v>92</v>
      </c>
      <c r="Q308" t="s">
        <v>93</v>
      </c>
      <c r="R308" t="s">
        <v>1633</v>
      </c>
      <c r="S308" t="s">
        <v>1634</v>
      </c>
      <c r="V308" t="s">
        <v>1635</v>
      </c>
      <c r="X308" t="s">
        <v>1636</v>
      </c>
      <c r="Y308" t="s">
        <v>1264</v>
      </c>
      <c r="AA308" t="s">
        <v>1632</v>
      </c>
      <c r="AB308" t="s">
        <v>1633</v>
      </c>
      <c r="AC308" t="s">
        <v>1634</v>
      </c>
      <c r="AD308" t="s">
        <v>1637</v>
      </c>
      <c r="AE308" t="s">
        <v>1266</v>
      </c>
      <c r="AI308">
        <v>456</v>
      </c>
      <c r="AK308">
        <v>0</v>
      </c>
      <c r="AL308" s="1">
        <v>45672</v>
      </c>
      <c r="AM308">
        <v>38</v>
      </c>
      <c r="AN308">
        <v>1860250</v>
      </c>
      <c r="AP308" s="1">
        <v>45703</v>
      </c>
      <c r="AQ308">
        <v>38</v>
      </c>
      <c r="AR308">
        <v>1865346</v>
      </c>
      <c r="AT308" s="1">
        <v>45731</v>
      </c>
      <c r="AU308">
        <v>38</v>
      </c>
      <c r="AV308">
        <v>1870056</v>
      </c>
      <c r="AX308" s="1">
        <v>45762</v>
      </c>
      <c r="AY308">
        <v>38</v>
      </c>
      <c r="AZ308">
        <v>1874848</v>
      </c>
      <c r="BB308" s="1">
        <v>45792</v>
      </c>
      <c r="BC308">
        <v>38</v>
      </c>
      <c r="BD308">
        <v>1879967</v>
      </c>
      <c r="BF308" s="1">
        <v>45823</v>
      </c>
      <c r="BG308">
        <v>38</v>
      </c>
      <c r="BH308">
        <v>1884619</v>
      </c>
      <c r="BJ308" s="1">
        <v>45853</v>
      </c>
      <c r="BK308">
        <v>38</v>
      </c>
      <c r="BL308">
        <v>1889362</v>
      </c>
      <c r="BN308" s="1">
        <v>45884</v>
      </c>
      <c r="BO308">
        <v>38</v>
      </c>
      <c r="BP308">
        <v>1894159</v>
      </c>
      <c r="BR308" s="1">
        <v>45915</v>
      </c>
      <c r="BS308">
        <v>38</v>
      </c>
      <c r="BT308">
        <v>1898596</v>
      </c>
      <c r="BV308" s="1">
        <v>45945</v>
      </c>
      <c r="BW308">
        <v>38</v>
      </c>
      <c r="BX308">
        <v>1903198</v>
      </c>
      <c r="BZ308" s="1">
        <v>45976</v>
      </c>
      <c r="CA308">
        <v>38</v>
      </c>
      <c r="CB308">
        <v>1907815</v>
      </c>
      <c r="CD308" s="1">
        <v>46006</v>
      </c>
      <c r="CE308">
        <v>38</v>
      </c>
      <c r="CF308">
        <v>1912571</v>
      </c>
    </row>
    <row r="309" spans="1:86" x14ac:dyDescent="0.25">
      <c r="A309">
        <v>572147</v>
      </c>
      <c r="B309">
        <v>102</v>
      </c>
      <c r="C309">
        <v>301176</v>
      </c>
      <c r="D309">
        <v>1</v>
      </c>
      <c r="E309">
        <v>1</v>
      </c>
      <c r="F309">
        <v>5027242</v>
      </c>
      <c r="G309">
        <v>5027242</v>
      </c>
      <c r="H309" t="s">
        <v>90</v>
      </c>
      <c r="N309" t="s">
        <v>1638</v>
      </c>
      <c r="O309">
        <v>4009693</v>
      </c>
      <c r="P309" t="s">
        <v>92</v>
      </c>
      <c r="Q309" t="s">
        <v>93</v>
      </c>
      <c r="R309" t="s">
        <v>1639</v>
      </c>
      <c r="V309" t="s">
        <v>1640</v>
      </c>
      <c r="W309" t="s">
        <v>212</v>
      </c>
      <c r="X309">
        <v>49036</v>
      </c>
      <c r="Y309" t="s">
        <v>99</v>
      </c>
      <c r="AA309" t="s">
        <v>1638</v>
      </c>
      <c r="AB309" t="s">
        <v>1639</v>
      </c>
      <c r="AC309" t="s">
        <v>1641</v>
      </c>
      <c r="AH309" t="s">
        <v>1642</v>
      </c>
      <c r="AI309">
        <v>100</v>
      </c>
      <c r="AK309">
        <v>0</v>
      </c>
      <c r="AL309" s="1">
        <v>45775</v>
      </c>
      <c r="AM309">
        <v>100</v>
      </c>
      <c r="AN309">
        <v>1877625</v>
      </c>
      <c r="CH309">
        <v>49036</v>
      </c>
    </row>
    <row r="310" spans="1:86" x14ac:dyDescent="0.25">
      <c r="A310">
        <v>572148</v>
      </c>
      <c r="B310">
        <v>102</v>
      </c>
      <c r="C310">
        <v>301177</v>
      </c>
      <c r="D310">
        <v>1</v>
      </c>
      <c r="E310">
        <v>1</v>
      </c>
      <c r="F310">
        <v>5027258</v>
      </c>
      <c r="G310">
        <v>5027258</v>
      </c>
      <c r="H310" t="s">
        <v>90</v>
      </c>
      <c r="N310" t="s">
        <v>1643</v>
      </c>
      <c r="O310">
        <v>4009718</v>
      </c>
      <c r="P310" t="s">
        <v>92</v>
      </c>
      <c r="Q310" t="s">
        <v>93</v>
      </c>
      <c r="R310" t="s">
        <v>1644</v>
      </c>
      <c r="V310" t="s">
        <v>1645</v>
      </c>
      <c r="W310" t="s">
        <v>1086</v>
      </c>
      <c r="X310">
        <v>47401</v>
      </c>
      <c r="Y310" t="s">
        <v>99</v>
      </c>
      <c r="AA310" t="s">
        <v>1643</v>
      </c>
      <c r="AB310" t="s">
        <v>1644</v>
      </c>
      <c r="AC310" t="s">
        <v>1646</v>
      </c>
      <c r="AH310" t="s">
        <v>1647</v>
      </c>
      <c r="AI310">
        <v>650</v>
      </c>
      <c r="AK310">
        <v>0</v>
      </c>
      <c r="AL310" s="1">
        <v>45856</v>
      </c>
      <c r="AM310">
        <v>650</v>
      </c>
      <c r="AN310">
        <v>1890734</v>
      </c>
      <c r="CH310">
        <v>47401</v>
      </c>
    </row>
    <row r="311" spans="1:86" x14ac:dyDescent="0.25">
      <c r="A311">
        <v>572149</v>
      </c>
      <c r="B311">
        <v>102</v>
      </c>
      <c r="C311">
        <v>301178</v>
      </c>
      <c r="D311">
        <v>1</v>
      </c>
      <c r="E311">
        <v>1</v>
      </c>
      <c r="F311">
        <v>5027510</v>
      </c>
      <c r="G311">
        <v>5027510</v>
      </c>
      <c r="H311" t="s">
        <v>90</v>
      </c>
      <c r="N311" t="s">
        <v>1648</v>
      </c>
      <c r="O311">
        <v>4010088</v>
      </c>
      <c r="P311" t="s">
        <v>92</v>
      </c>
      <c r="Q311" t="s">
        <v>93</v>
      </c>
      <c r="R311" t="s">
        <v>1649</v>
      </c>
      <c r="V311" t="s">
        <v>1650</v>
      </c>
      <c r="W311" t="s">
        <v>124</v>
      </c>
      <c r="X311">
        <v>12822</v>
      </c>
      <c r="Y311" t="s">
        <v>99</v>
      </c>
      <c r="AA311" t="s">
        <v>1648</v>
      </c>
      <c r="AB311" t="s">
        <v>1649</v>
      </c>
      <c r="AC311" t="s">
        <v>1651</v>
      </c>
      <c r="AH311" t="s">
        <v>1652</v>
      </c>
      <c r="AI311">
        <v>456</v>
      </c>
      <c r="AK311">
        <v>0</v>
      </c>
      <c r="AL311" s="1">
        <v>45658</v>
      </c>
      <c r="AM311">
        <v>38</v>
      </c>
      <c r="AN311">
        <v>1858431</v>
      </c>
      <c r="AP311" s="1">
        <v>45689</v>
      </c>
      <c r="AQ311">
        <v>38</v>
      </c>
      <c r="AR311">
        <v>1863603</v>
      </c>
      <c r="AT311" s="1">
        <v>45717</v>
      </c>
      <c r="AU311">
        <v>38</v>
      </c>
      <c r="AV311">
        <v>1868383</v>
      </c>
      <c r="AX311" s="1">
        <v>45748</v>
      </c>
      <c r="AY311">
        <v>38</v>
      </c>
      <c r="AZ311">
        <v>1872956</v>
      </c>
      <c r="BB311" s="1">
        <v>45778</v>
      </c>
      <c r="BC311">
        <v>38</v>
      </c>
      <c r="BD311">
        <v>1878200</v>
      </c>
      <c r="BF311" s="1">
        <v>45809</v>
      </c>
      <c r="BG311">
        <v>38</v>
      </c>
      <c r="BH311">
        <v>1882935</v>
      </c>
      <c r="BJ311" s="1">
        <v>45839</v>
      </c>
      <c r="BK311">
        <v>38</v>
      </c>
      <c r="BL311">
        <v>1887468</v>
      </c>
      <c r="BN311" s="1">
        <v>45870</v>
      </c>
      <c r="BO311">
        <v>38</v>
      </c>
      <c r="BP311">
        <v>1892394</v>
      </c>
      <c r="BR311" s="1">
        <v>45901</v>
      </c>
      <c r="BS311">
        <v>38</v>
      </c>
      <c r="BT311">
        <v>1896897</v>
      </c>
      <c r="BV311" s="1">
        <v>45931</v>
      </c>
      <c r="BW311">
        <v>38</v>
      </c>
      <c r="BX311">
        <v>1901497</v>
      </c>
      <c r="BZ311" s="1">
        <v>45962</v>
      </c>
      <c r="CA311">
        <v>38</v>
      </c>
      <c r="CB311">
        <v>1906051</v>
      </c>
      <c r="CD311" s="1">
        <v>45992</v>
      </c>
      <c r="CE311">
        <v>38</v>
      </c>
      <c r="CF311">
        <v>1910735</v>
      </c>
      <c r="CH311">
        <v>12822</v>
      </c>
    </row>
    <row r="312" spans="1:86" x14ac:dyDescent="0.25">
      <c r="A312">
        <v>572150</v>
      </c>
      <c r="B312">
        <v>102</v>
      </c>
      <c r="C312">
        <v>301179</v>
      </c>
      <c r="D312">
        <v>1</v>
      </c>
      <c r="E312">
        <v>1</v>
      </c>
      <c r="F312">
        <v>5027643</v>
      </c>
      <c r="G312">
        <v>5027643</v>
      </c>
      <c r="H312" t="s">
        <v>90</v>
      </c>
      <c r="N312" t="s">
        <v>1653</v>
      </c>
      <c r="O312">
        <v>4010254</v>
      </c>
      <c r="P312" t="s">
        <v>92</v>
      </c>
      <c r="Q312" t="s">
        <v>93</v>
      </c>
      <c r="R312" t="s">
        <v>1654</v>
      </c>
      <c r="V312" t="s">
        <v>1655</v>
      </c>
      <c r="W312" t="s">
        <v>192</v>
      </c>
      <c r="X312">
        <v>98908</v>
      </c>
      <c r="Y312" t="s">
        <v>99</v>
      </c>
      <c r="AA312" t="s">
        <v>1653</v>
      </c>
      <c r="AB312" t="s">
        <v>1654</v>
      </c>
      <c r="AC312" t="s">
        <v>1656</v>
      </c>
      <c r="AH312" t="s">
        <v>1657</v>
      </c>
      <c r="AI312">
        <v>1025</v>
      </c>
      <c r="AK312">
        <v>0</v>
      </c>
      <c r="AL312" s="1">
        <v>45728</v>
      </c>
      <c r="AM312">
        <v>350</v>
      </c>
      <c r="AN312">
        <v>1869606</v>
      </c>
      <c r="AP312" s="1">
        <v>45792</v>
      </c>
      <c r="AQ312">
        <v>125</v>
      </c>
      <c r="AR312">
        <v>1880386</v>
      </c>
      <c r="AT312" s="1">
        <v>45863</v>
      </c>
      <c r="AU312">
        <v>175</v>
      </c>
      <c r="AV312">
        <v>1891280</v>
      </c>
      <c r="AX312" s="1">
        <v>45915</v>
      </c>
      <c r="AY312">
        <v>225</v>
      </c>
      <c r="AZ312">
        <v>1899002</v>
      </c>
      <c r="BB312" s="1">
        <v>45950</v>
      </c>
      <c r="BC312">
        <v>150</v>
      </c>
      <c r="BD312">
        <v>1904225</v>
      </c>
      <c r="CH312">
        <v>98908</v>
      </c>
    </row>
    <row r="313" spans="1:86" x14ac:dyDescent="0.25">
      <c r="A313">
        <v>572151</v>
      </c>
      <c r="B313">
        <v>102</v>
      </c>
      <c r="C313">
        <v>301180</v>
      </c>
      <c r="D313">
        <v>1</v>
      </c>
      <c r="E313">
        <v>1</v>
      </c>
      <c r="F313">
        <v>5027657</v>
      </c>
      <c r="G313">
        <v>5027657</v>
      </c>
      <c r="H313" t="s">
        <v>90</v>
      </c>
      <c r="N313" t="s">
        <v>1658</v>
      </c>
      <c r="O313">
        <v>4010270</v>
      </c>
      <c r="P313" t="s">
        <v>92</v>
      </c>
      <c r="Q313" t="s">
        <v>93</v>
      </c>
      <c r="R313" t="s">
        <v>1659</v>
      </c>
      <c r="V313" t="s">
        <v>1660</v>
      </c>
      <c r="W313" t="s">
        <v>1086</v>
      </c>
      <c r="X313">
        <v>47841</v>
      </c>
      <c r="Y313" t="s">
        <v>99</v>
      </c>
      <c r="AA313" t="s">
        <v>1658</v>
      </c>
      <c r="AB313" t="s">
        <v>1659</v>
      </c>
      <c r="AC313" t="s">
        <v>1661</v>
      </c>
      <c r="AH313" t="s">
        <v>1662</v>
      </c>
      <c r="AI313">
        <v>418</v>
      </c>
      <c r="AK313">
        <v>0</v>
      </c>
      <c r="AL313" s="1">
        <v>45689</v>
      </c>
      <c r="AM313">
        <v>38</v>
      </c>
      <c r="AN313">
        <v>1863850</v>
      </c>
      <c r="AP313" s="1">
        <v>45717</v>
      </c>
      <c r="AQ313">
        <v>38</v>
      </c>
      <c r="AR313">
        <v>1868629</v>
      </c>
      <c r="AT313" s="1">
        <v>45748</v>
      </c>
      <c r="AU313">
        <v>38</v>
      </c>
      <c r="AV313">
        <v>1873212</v>
      </c>
      <c r="AX313" s="1">
        <v>45778</v>
      </c>
      <c r="AY313">
        <v>38</v>
      </c>
      <c r="AZ313">
        <v>1878450</v>
      </c>
      <c r="BB313" s="1">
        <v>45809</v>
      </c>
      <c r="BC313">
        <v>38</v>
      </c>
      <c r="BD313">
        <v>1883187</v>
      </c>
      <c r="BF313" s="1">
        <v>45839</v>
      </c>
      <c r="BG313">
        <v>38</v>
      </c>
      <c r="BH313">
        <v>1887725</v>
      </c>
      <c r="BJ313" s="1">
        <v>45870</v>
      </c>
      <c r="BK313">
        <v>38</v>
      </c>
      <c r="BL313">
        <v>1892646</v>
      </c>
      <c r="BN313" s="1">
        <v>45901</v>
      </c>
      <c r="BO313">
        <v>38</v>
      </c>
      <c r="BP313">
        <v>1897151</v>
      </c>
      <c r="BR313" s="1">
        <v>45931</v>
      </c>
      <c r="BS313">
        <v>38</v>
      </c>
      <c r="BT313">
        <v>1901756</v>
      </c>
      <c r="BV313" s="1">
        <v>45962</v>
      </c>
      <c r="BW313">
        <v>38</v>
      </c>
      <c r="BX313">
        <v>1906302</v>
      </c>
      <c r="BZ313" s="1">
        <v>45992</v>
      </c>
      <c r="CA313">
        <v>38</v>
      </c>
      <c r="CB313">
        <v>1910985</v>
      </c>
      <c r="CH313">
        <v>47841</v>
      </c>
    </row>
    <row r="314" spans="1:86" x14ac:dyDescent="0.25">
      <c r="A314">
        <v>572152</v>
      </c>
      <c r="B314">
        <v>102</v>
      </c>
      <c r="C314">
        <v>301181</v>
      </c>
      <c r="D314">
        <v>1</v>
      </c>
      <c r="E314">
        <v>1</v>
      </c>
      <c r="F314">
        <v>5027687</v>
      </c>
      <c r="G314">
        <v>5027687</v>
      </c>
      <c r="H314" t="s">
        <v>90</v>
      </c>
      <c r="N314" t="s">
        <v>1663</v>
      </c>
      <c r="O314">
        <v>4010319</v>
      </c>
      <c r="P314" t="s">
        <v>92</v>
      </c>
      <c r="Q314" t="s">
        <v>93</v>
      </c>
      <c r="R314" t="s">
        <v>1664</v>
      </c>
      <c r="V314" t="s">
        <v>1665</v>
      </c>
      <c r="W314" t="s">
        <v>451</v>
      </c>
      <c r="X314" t="s">
        <v>1666</v>
      </c>
      <c r="Y314" t="s">
        <v>99</v>
      </c>
      <c r="AA314" t="s">
        <v>1663</v>
      </c>
      <c r="AB314" t="s">
        <v>1664</v>
      </c>
      <c r="AC314" t="s">
        <v>1667</v>
      </c>
      <c r="AH314" t="s">
        <v>1668</v>
      </c>
      <c r="AI314">
        <v>456</v>
      </c>
      <c r="AK314">
        <v>0</v>
      </c>
      <c r="AL314" s="1">
        <v>45669</v>
      </c>
      <c r="AM314">
        <v>38</v>
      </c>
      <c r="AN314">
        <v>1859987</v>
      </c>
      <c r="AP314" s="1">
        <v>45703</v>
      </c>
      <c r="AQ314">
        <v>38</v>
      </c>
      <c r="AR314">
        <v>1865351</v>
      </c>
      <c r="AT314" s="1">
        <v>45731</v>
      </c>
      <c r="AU314">
        <v>38</v>
      </c>
      <c r="AV314">
        <v>1870061</v>
      </c>
      <c r="AX314" s="1">
        <v>45762</v>
      </c>
      <c r="AY314">
        <v>38</v>
      </c>
      <c r="AZ314">
        <v>1874853</v>
      </c>
      <c r="BB314" s="1">
        <v>45792</v>
      </c>
      <c r="BC314">
        <v>38</v>
      </c>
      <c r="BD314">
        <v>1879972</v>
      </c>
      <c r="BF314" s="1">
        <v>45823</v>
      </c>
      <c r="BG314">
        <v>38</v>
      </c>
      <c r="BH314">
        <v>1884624</v>
      </c>
      <c r="BJ314" s="1">
        <v>45853</v>
      </c>
      <c r="BK314">
        <v>38</v>
      </c>
      <c r="BL314">
        <v>1889367</v>
      </c>
      <c r="BN314" s="1">
        <v>45884</v>
      </c>
      <c r="BO314">
        <v>38</v>
      </c>
      <c r="BP314">
        <v>1894173</v>
      </c>
      <c r="BR314" s="1">
        <v>45915</v>
      </c>
      <c r="BS314">
        <v>38</v>
      </c>
      <c r="BT314">
        <v>1898610</v>
      </c>
      <c r="BV314" s="1">
        <v>45945</v>
      </c>
      <c r="BW314">
        <v>38</v>
      </c>
      <c r="BX314">
        <v>1903213</v>
      </c>
      <c r="BZ314" s="1">
        <v>45976</v>
      </c>
      <c r="CA314">
        <v>38</v>
      </c>
      <c r="CB314">
        <v>1907830</v>
      </c>
      <c r="CD314" s="1">
        <v>46006</v>
      </c>
      <c r="CE314">
        <v>38</v>
      </c>
      <c r="CF314">
        <v>1912584</v>
      </c>
      <c r="CH314">
        <v>522407614</v>
      </c>
    </row>
    <row r="315" spans="1:86" x14ac:dyDescent="0.25">
      <c r="A315">
        <v>572153</v>
      </c>
      <c r="B315">
        <v>102</v>
      </c>
      <c r="C315">
        <v>301182</v>
      </c>
      <c r="D315">
        <v>1</v>
      </c>
      <c r="E315">
        <v>1</v>
      </c>
      <c r="F315">
        <v>5027762</v>
      </c>
      <c r="G315">
        <v>5027762</v>
      </c>
      <c r="H315" t="s">
        <v>1669</v>
      </c>
      <c r="J315" t="s">
        <v>1670</v>
      </c>
      <c r="L315" t="s">
        <v>1671</v>
      </c>
      <c r="N315" t="s">
        <v>1672</v>
      </c>
      <c r="O315">
        <v>4010437</v>
      </c>
      <c r="P315" t="s">
        <v>1673</v>
      </c>
      <c r="Q315" t="s">
        <v>93</v>
      </c>
      <c r="R315" t="s">
        <v>1674</v>
      </c>
      <c r="V315" t="s">
        <v>1675</v>
      </c>
      <c r="W315" t="s">
        <v>809</v>
      </c>
      <c r="X315">
        <v>97140</v>
      </c>
      <c r="Y315" t="s">
        <v>99</v>
      </c>
      <c r="AA315" t="s">
        <v>1672</v>
      </c>
      <c r="AB315" t="s">
        <v>1674</v>
      </c>
      <c r="AC315" t="s">
        <v>1676</v>
      </c>
      <c r="AI315">
        <v>912</v>
      </c>
      <c r="AK315">
        <v>0</v>
      </c>
      <c r="AL315" s="1">
        <v>45685</v>
      </c>
      <c r="AM315">
        <v>76</v>
      </c>
      <c r="AN315">
        <v>1862875</v>
      </c>
      <c r="AP315" s="1">
        <v>45716</v>
      </c>
      <c r="AQ315">
        <v>76</v>
      </c>
      <c r="AR315">
        <v>1867721</v>
      </c>
      <c r="AT315" s="1">
        <v>45744</v>
      </c>
      <c r="AU315">
        <v>76</v>
      </c>
      <c r="AV315">
        <v>1872258</v>
      </c>
      <c r="AX315" s="1">
        <v>45775</v>
      </c>
      <c r="AY315">
        <v>76</v>
      </c>
      <c r="AZ315">
        <v>1877439</v>
      </c>
      <c r="BB315" s="1">
        <v>45805</v>
      </c>
      <c r="BC315">
        <v>76</v>
      </c>
      <c r="BD315">
        <v>1882029</v>
      </c>
      <c r="BF315" s="1">
        <v>45836</v>
      </c>
      <c r="BG315">
        <v>76</v>
      </c>
      <c r="BH315">
        <v>1886840</v>
      </c>
      <c r="BJ315" s="1">
        <v>45866</v>
      </c>
      <c r="BK315">
        <v>76</v>
      </c>
      <c r="BL315">
        <v>1891582</v>
      </c>
      <c r="BN315" s="1">
        <v>45897</v>
      </c>
      <c r="BO315">
        <v>76</v>
      </c>
      <c r="BP315">
        <v>1896066</v>
      </c>
      <c r="BR315" s="1">
        <v>45928</v>
      </c>
      <c r="BS315">
        <v>76</v>
      </c>
      <c r="BT315">
        <v>1900798</v>
      </c>
      <c r="BV315" s="1">
        <v>45958</v>
      </c>
      <c r="BW315">
        <v>76</v>
      </c>
      <c r="BX315">
        <v>1905403</v>
      </c>
      <c r="BZ315" s="1">
        <v>45989</v>
      </c>
      <c r="CA315">
        <v>76</v>
      </c>
      <c r="CB315">
        <v>1909923</v>
      </c>
      <c r="CD315" s="1">
        <v>46019</v>
      </c>
      <c r="CE315">
        <v>76</v>
      </c>
      <c r="CF315">
        <v>1914741</v>
      </c>
      <c r="CH315">
        <v>97140</v>
      </c>
    </row>
    <row r="316" spans="1:86" x14ac:dyDescent="0.25">
      <c r="A316">
        <v>572154</v>
      </c>
      <c r="B316">
        <v>102</v>
      </c>
      <c r="C316">
        <v>301183</v>
      </c>
      <c r="D316">
        <v>1</v>
      </c>
      <c r="E316">
        <v>1</v>
      </c>
      <c r="F316">
        <v>5027779</v>
      </c>
      <c r="G316">
        <v>5027779</v>
      </c>
      <c r="H316" t="s">
        <v>90</v>
      </c>
      <c r="N316" t="s">
        <v>1677</v>
      </c>
      <c r="O316">
        <v>4010705</v>
      </c>
      <c r="P316" t="s">
        <v>92</v>
      </c>
      <c r="Q316" t="s">
        <v>93</v>
      </c>
      <c r="R316" t="s">
        <v>1678</v>
      </c>
      <c r="V316" t="s">
        <v>1474</v>
      </c>
      <c r="W316" t="s">
        <v>153</v>
      </c>
      <c r="X316">
        <v>62049</v>
      </c>
      <c r="Y316" t="s">
        <v>99</v>
      </c>
      <c r="AA316" t="s">
        <v>1677</v>
      </c>
      <c r="AB316" t="s">
        <v>1678</v>
      </c>
      <c r="AC316" t="s">
        <v>1679</v>
      </c>
      <c r="AI316">
        <v>7209.28</v>
      </c>
      <c r="AK316">
        <v>0</v>
      </c>
      <c r="AL316" s="1">
        <v>45686</v>
      </c>
      <c r="AM316">
        <v>5900</v>
      </c>
      <c r="AN316">
        <v>1863899</v>
      </c>
      <c r="AP316" s="1">
        <v>45841</v>
      </c>
      <c r="AQ316">
        <v>1309.28</v>
      </c>
      <c r="AR316">
        <v>1888809</v>
      </c>
      <c r="CH316">
        <v>62049</v>
      </c>
    </row>
    <row r="317" spans="1:86" x14ac:dyDescent="0.25">
      <c r="A317">
        <v>572155</v>
      </c>
      <c r="B317">
        <v>102</v>
      </c>
      <c r="C317">
        <v>301184</v>
      </c>
      <c r="D317">
        <v>1</v>
      </c>
      <c r="E317">
        <v>1</v>
      </c>
      <c r="F317">
        <v>5027809</v>
      </c>
      <c r="G317">
        <v>5027809</v>
      </c>
      <c r="H317" t="s">
        <v>90</v>
      </c>
      <c r="N317" t="s">
        <v>1680</v>
      </c>
      <c r="O317">
        <v>4010776</v>
      </c>
      <c r="P317" t="s">
        <v>92</v>
      </c>
      <c r="Q317" t="s">
        <v>93</v>
      </c>
      <c r="R317" t="s">
        <v>1681</v>
      </c>
      <c r="V317" t="s">
        <v>1682</v>
      </c>
      <c r="W317" t="s">
        <v>153</v>
      </c>
      <c r="X317">
        <v>62417</v>
      </c>
      <c r="Y317" t="s">
        <v>99</v>
      </c>
      <c r="AA317" t="s">
        <v>1680</v>
      </c>
      <c r="AB317" t="s">
        <v>1681</v>
      </c>
      <c r="AC317" t="s">
        <v>1683</v>
      </c>
      <c r="AH317" t="s">
        <v>1684</v>
      </c>
      <c r="AI317">
        <v>500</v>
      </c>
      <c r="AK317">
        <v>0</v>
      </c>
      <c r="AL317" s="1">
        <v>45706</v>
      </c>
      <c r="AM317">
        <v>500</v>
      </c>
      <c r="AN317">
        <v>1866183</v>
      </c>
      <c r="CH317">
        <v>62417</v>
      </c>
    </row>
    <row r="318" spans="1:86" x14ac:dyDescent="0.25">
      <c r="A318">
        <v>572156</v>
      </c>
      <c r="B318">
        <v>102</v>
      </c>
      <c r="C318">
        <v>301185</v>
      </c>
      <c r="D318">
        <v>1</v>
      </c>
      <c r="E318">
        <v>1</v>
      </c>
      <c r="F318">
        <v>5027899</v>
      </c>
      <c r="G318">
        <v>5027899</v>
      </c>
      <c r="H318" t="s">
        <v>90</v>
      </c>
      <c r="N318" t="s">
        <v>1685</v>
      </c>
      <c r="O318">
        <v>4010915</v>
      </c>
      <c r="P318" t="s">
        <v>92</v>
      </c>
      <c r="Q318" t="s">
        <v>93</v>
      </c>
      <c r="R318" t="s">
        <v>1686</v>
      </c>
      <c r="V318" t="s">
        <v>1687</v>
      </c>
      <c r="W318" t="s">
        <v>466</v>
      </c>
      <c r="X318">
        <v>66047</v>
      </c>
      <c r="Y318" t="s">
        <v>99</v>
      </c>
      <c r="AA318" t="s">
        <v>1685</v>
      </c>
      <c r="AB318" t="s">
        <v>1686</v>
      </c>
      <c r="AC318" t="s">
        <v>1688</v>
      </c>
      <c r="AH318" t="s">
        <v>1689</v>
      </c>
      <c r="AI318">
        <v>380</v>
      </c>
      <c r="AK318">
        <v>0</v>
      </c>
      <c r="AL318" s="1">
        <v>45736</v>
      </c>
      <c r="AM318">
        <v>38</v>
      </c>
      <c r="AN318">
        <v>1871316</v>
      </c>
      <c r="AP318" s="1">
        <v>45860</v>
      </c>
      <c r="AQ318">
        <v>152</v>
      </c>
      <c r="AR318">
        <v>1890702</v>
      </c>
      <c r="AT318" s="1">
        <v>45881</v>
      </c>
      <c r="AU318">
        <v>38</v>
      </c>
      <c r="AV318">
        <v>1893686</v>
      </c>
      <c r="AX318" s="1">
        <v>45912</v>
      </c>
      <c r="AY318">
        <v>38</v>
      </c>
      <c r="AZ318">
        <v>1898366</v>
      </c>
      <c r="BB318" s="1">
        <v>45942</v>
      </c>
      <c r="BC318">
        <v>38</v>
      </c>
      <c r="BD318">
        <v>1902962</v>
      </c>
      <c r="BF318" s="1">
        <v>45973</v>
      </c>
      <c r="BG318">
        <v>38</v>
      </c>
      <c r="BH318">
        <v>1907555</v>
      </c>
      <c r="BJ318" s="1">
        <v>46003</v>
      </c>
      <c r="BK318">
        <v>38</v>
      </c>
      <c r="BL318">
        <v>1912309</v>
      </c>
      <c r="CH318">
        <v>66047</v>
      </c>
    </row>
    <row r="319" spans="1:86" x14ac:dyDescent="0.25">
      <c r="A319">
        <v>572157</v>
      </c>
      <c r="B319">
        <v>102</v>
      </c>
      <c r="C319">
        <v>301186</v>
      </c>
      <c r="D319">
        <v>1</v>
      </c>
      <c r="E319">
        <v>1</v>
      </c>
      <c r="F319">
        <v>5027975</v>
      </c>
      <c r="G319">
        <v>5027975</v>
      </c>
      <c r="H319" t="s">
        <v>90</v>
      </c>
      <c r="N319" t="s">
        <v>1690</v>
      </c>
      <c r="O319">
        <v>4011059</v>
      </c>
      <c r="P319" t="s">
        <v>92</v>
      </c>
      <c r="Q319" t="s">
        <v>93</v>
      </c>
      <c r="R319" t="s">
        <v>1691</v>
      </c>
      <c r="V319" t="s">
        <v>1692</v>
      </c>
      <c r="W319" t="s">
        <v>105</v>
      </c>
      <c r="X319">
        <v>95355</v>
      </c>
      <c r="Y319" t="s">
        <v>99</v>
      </c>
      <c r="AA319" t="s">
        <v>1690</v>
      </c>
      <c r="AB319" t="s">
        <v>1691</v>
      </c>
      <c r="AC319" t="s">
        <v>1693</v>
      </c>
      <c r="AH319" t="s">
        <v>1694</v>
      </c>
      <c r="AI319">
        <v>1051.4100000000001</v>
      </c>
      <c r="AK319">
        <v>0</v>
      </c>
      <c r="AL319" s="1">
        <v>45775</v>
      </c>
      <c r="AM319">
        <v>1051.4100000000001</v>
      </c>
      <c r="AN319">
        <v>1878612</v>
      </c>
      <c r="CH319">
        <v>95355</v>
      </c>
    </row>
    <row r="320" spans="1:86" x14ac:dyDescent="0.25">
      <c r="A320">
        <v>572158</v>
      </c>
      <c r="B320">
        <v>102</v>
      </c>
      <c r="C320">
        <v>301187</v>
      </c>
      <c r="D320">
        <v>1</v>
      </c>
      <c r="E320">
        <v>1</v>
      </c>
      <c r="F320">
        <v>5028020</v>
      </c>
      <c r="G320">
        <v>5028020</v>
      </c>
      <c r="H320" t="s">
        <v>90</v>
      </c>
      <c r="N320" t="s">
        <v>1695</v>
      </c>
      <c r="O320">
        <v>4011128</v>
      </c>
      <c r="P320" t="s">
        <v>92</v>
      </c>
      <c r="Q320" t="s">
        <v>93</v>
      </c>
      <c r="R320" t="s">
        <v>1696</v>
      </c>
      <c r="V320" t="s">
        <v>1697</v>
      </c>
      <c r="W320" t="s">
        <v>698</v>
      </c>
      <c r="X320">
        <v>45404</v>
      </c>
      <c r="Y320" t="s">
        <v>99</v>
      </c>
      <c r="AA320" t="s">
        <v>1695</v>
      </c>
      <c r="AB320" t="s">
        <v>1696</v>
      </c>
      <c r="AC320" t="s">
        <v>1698</v>
      </c>
      <c r="AH320" t="s">
        <v>1699</v>
      </c>
      <c r="AI320">
        <v>564</v>
      </c>
      <c r="AK320">
        <v>0</v>
      </c>
      <c r="AL320" s="1">
        <v>45799</v>
      </c>
      <c r="AM320">
        <v>564</v>
      </c>
      <c r="AN320">
        <v>1881324</v>
      </c>
      <c r="CH320">
        <v>45404</v>
      </c>
    </row>
    <row r="321" spans="1:86" x14ac:dyDescent="0.25">
      <c r="A321">
        <v>572159</v>
      </c>
      <c r="B321">
        <v>102</v>
      </c>
      <c r="C321">
        <v>301188</v>
      </c>
      <c r="D321">
        <v>1</v>
      </c>
      <c r="E321">
        <v>1</v>
      </c>
      <c r="F321">
        <v>5028054</v>
      </c>
      <c r="G321">
        <v>5028054</v>
      </c>
      <c r="H321" t="s">
        <v>90</v>
      </c>
      <c r="N321" t="s">
        <v>1700</v>
      </c>
      <c r="O321">
        <v>4011175</v>
      </c>
      <c r="P321" t="s">
        <v>92</v>
      </c>
      <c r="Q321" t="s">
        <v>93</v>
      </c>
      <c r="R321" t="s">
        <v>1701</v>
      </c>
      <c r="S321" t="s">
        <v>1702</v>
      </c>
      <c r="V321" t="s">
        <v>1703</v>
      </c>
      <c r="W321" t="s">
        <v>153</v>
      </c>
      <c r="X321">
        <v>61050</v>
      </c>
      <c r="Y321" t="s">
        <v>99</v>
      </c>
      <c r="AA321" t="s">
        <v>1700</v>
      </c>
      <c r="AB321" t="s">
        <v>1701</v>
      </c>
      <c r="AC321" t="s">
        <v>1702</v>
      </c>
      <c r="AD321" t="s">
        <v>1704</v>
      </c>
      <c r="AH321" t="s">
        <v>1705</v>
      </c>
      <c r="AI321">
        <v>912</v>
      </c>
      <c r="AK321">
        <v>0</v>
      </c>
      <c r="AL321" s="1">
        <v>45935</v>
      </c>
      <c r="AM321">
        <v>912</v>
      </c>
      <c r="AN321">
        <v>1902313</v>
      </c>
      <c r="CH321">
        <v>61050</v>
      </c>
    </row>
    <row r="322" spans="1:86" x14ac:dyDescent="0.25">
      <c r="A322">
        <v>572160</v>
      </c>
      <c r="B322">
        <v>102</v>
      </c>
      <c r="C322">
        <v>301189</v>
      </c>
      <c r="D322">
        <v>1</v>
      </c>
      <c r="E322">
        <v>1</v>
      </c>
      <c r="F322">
        <v>5028060</v>
      </c>
      <c r="G322">
        <v>5028060</v>
      </c>
      <c r="H322" t="s">
        <v>90</v>
      </c>
      <c r="N322" t="s">
        <v>1706</v>
      </c>
      <c r="O322">
        <v>4011183</v>
      </c>
      <c r="P322" t="s">
        <v>92</v>
      </c>
      <c r="Q322" t="s">
        <v>93</v>
      </c>
      <c r="R322" t="s">
        <v>1707</v>
      </c>
      <c r="V322" t="s">
        <v>1708</v>
      </c>
      <c r="W322" t="s">
        <v>212</v>
      </c>
      <c r="X322">
        <v>48197</v>
      </c>
      <c r="Y322" t="s">
        <v>99</v>
      </c>
      <c r="AA322" t="s">
        <v>1706</v>
      </c>
      <c r="AB322" t="s">
        <v>1707</v>
      </c>
      <c r="AC322" t="s">
        <v>1709</v>
      </c>
      <c r="AH322" t="s">
        <v>1710</v>
      </c>
      <c r="AI322">
        <v>140</v>
      </c>
      <c r="AK322">
        <v>0</v>
      </c>
      <c r="AL322" s="1">
        <v>45818</v>
      </c>
      <c r="AM322">
        <v>140</v>
      </c>
      <c r="AN322">
        <v>1884136</v>
      </c>
      <c r="CH322">
        <v>48197</v>
      </c>
    </row>
    <row r="323" spans="1:86" x14ac:dyDescent="0.25">
      <c r="A323">
        <v>572161</v>
      </c>
      <c r="B323">
        <v>102</v>
      </c>
      <c r="C323">
        <v>301190</v>
      </c>
      <c r="D323">
        <v>1</v>
      </c>
      <c r="E323">
        <v>1</v>
      </c>
      <c r="F323">
        <v>5028135</v>
      </c>
      <c r="G323">
        <v>5028135</v>
      </c>
      <c r="H323" t="s">
        <v>90</v>
      </c>
      <c r="N323" t="s">
        <v>1711</v>
      </c>
      <c r="O323">
        <v>4015860</v>
      </c>
      <c r="P323" t="s">
        <v>92</v>
      </c>
      <c r="Q323" t="s">
        <v>93</v>
      </c>
      <c r="R323" t="s">
        <v>1712</v>
      </c>
      <c r="V323" t="s">
        <v>1713</v>
      </c>
      <c r="W323" t="s">
        <v>959</v>
      </c>
      <c r="X323" t="s">
        <v>1714</v>
      </c>
      <c r="Y323" t="s">
        <v>99</v>
      </c>
      <c r="AA323" t="s">
        <v>1711</v>
      </c>
      <c r="AB323" t="s">
        <v>1712</v>
      </c>
      <c r="AC323" t="s">
        <v>1715</v>
      </c>
      <c r="AH323" t="s">
        <v>1716</v>
      </c>
      <c r="AI323">
        <v>480</v>
      </c>
      <c r="AK323">
        <v>0</v>
      </c>
      <c r="AL323" s="1">
        <v>45849</v>
      </c>
      <c r="AM323">
        <v>120</v>
      </c>
      <c r="AN323">
        <v>1890239</v>
      </c>
      <c r="AP323" s="1">
        <v>45882</v>
      </c>
      <c r="AQ323">
        <v>120</v>
      </c>
      <c r="AR323">
        <v>1893988</v>
      </c>
      <c r="AT323" s="1">
        <v>45912</v>
      </c>
      <c r="AU323">
        <v>120</v>
      </c>
      <c r="AV323">
        <v>1899175</v>
      </c>
      <c r="AX323" s="1">
        <v>45944</v>
      </c>
      <c r="AY323">
        <v>120</v>
      </c>
      <c r="AZ323">
        <v>1904411</v>
      </c>
      <c r="CH323">
        <v>265880522</v>
      </c>
    </row>
    <row r="324" spans="1:86" x14ac:dyDescent="0.25">
      <c r="A324">
        <v>572162</v>
      </c>
      <c r="B324">
        <v>102</v>
      </c>
      <c r="C324">
        <v>301191</v>
      </c>
      <c r="D324">
        <v>1</v>
      </c>
      <c r="E324">
        <v>1</v>
      </c>
      <c r="F324">
        <v>5028142</v>
      </c>
      <c r="G324">
        <v>5028142</v>
      </c>
      <c r="H324" t="s">
        <v>90</v>
      </c>
      <c r="N324" t="s">
        <v>1717</v>
      </c>
      <c r="O324">
        <v>4011315</v>
      </c>
      <c r="P324" t="s">
        <v>92</v>
      </c>
      <c r="Q324" t="s">
        <v>93</v>
      </c>
      <c r="R324" t="s">
        <v>1718</v>
      </c>
      <c r="S324" t="s">
        <v>1719</v>
      </c>
      <c r="V324" t="s">
        <v>1720</v>
      </c>
      <c r="W324" t="s">
        <v>579</v>
      </c>
      <c r="X324">
        <v>15050</v>
      </c>
      <c r="Y324" t="s">
        <v>99</v>
      </c>
      <c r="AA324" t="s">
        <v>1717</v>
      </c>
      <c r="AB324" t="s">
        <v>1718</v>
      </c>
      <c r="AC324" t="s">
        <v>1719</v>
      </c>
      <c r="AD324" t="s">
        <v>1721</v>
      </c>
      <c r="AI324">
        <v>160</v>
      </c>
      <c r="AK324">
        <v>0</v>
      </c>
      <c r="AL324" s="1">
        <v>45859</v>
      </c>
      <c r="AM324">
        <v>40</v>
      </c>
      <c r="AN324">
        <v>1890836</v>
      </c>
      <c r="AP324" s="1">
        <v>45887</v>
      </c>
      <c r="AQ324">
        <v>40</v>
      </c>
      <c r="AR324">
        <v>1895130</v>
      </c>
      <c r="AT324" s="1">
        <v>45919</v>
      </c>
      <c r="AU324">
        <v>40</v>
      </c>
      <c r="AV324">
        <v>1899988</v>
      </c>
      <c r="AX324" s="1">
        <v>45954</v>
      </c>
      <c r="AY324">
        <v>40</v>
      </c>
      <c r="AZ324">
        <v>1906599</v>
      </c>
      <c r="CH324">
        <v>15050</v>
      </c>
    </row>
    <row r="325" spans="1:86" x14ac:dyDescent="0.25">
      <c r="A325">
        <v>572163</v>
      </c>
      <c r="B325">
        <v>102</v>
      </c>
      <c r="C325">
        <v>301192</v>
      </c>
      <c r="D325">
        <v>1</v>
      </c>
      <c r="E325">
        <v>1</v>
      </c>
      <c r="F325">
        <v>5028187</v>
      </c>
      <c r="G325">
        <v>5028187</v>
      </c>
      <c r="H325" t="s">
        <v>90</v>
      </c>
      <c r="N325" t="s">
        <v>1722</v>
      </c>
      <c r="O325">
        <v>4011383</v>
      </c>
      <c r="P325" t="s">
        <v>92</v>
      </c>
      <c r="Q325" t="s">
        <v>93</v>
      </c>
      <c r="R325" t="s">
        <v>1723</v>
      </c>
      <c r="V325" t="s">
        <v>1724</v>
      </c>
      <c r="W325" t="s">
        <v>698</v>
      </c>
      <c r="X325" t="s">
        <v>1725</v>
      </c>
      <c r="Y325" t="s">
        <v>99</v>
      </c>
      <c r="AA325" t="s">
        <v>1722</v>
      </c>
      <c r="AB325" t="s">
        <v>1723</v>
      </c>
      <c r="AC325" t="s">
        <v>1726</v>
      </c>
      <c r="AI325">
        <v>400</v>
      </c>
      <c r="AK325">
        <v>0</v>
      </c>
      <c r="AL325" s="1">
        <v>45875</v>
      </c>
      <c r="AM325">
        <v>130</v>
      </c>
      <c r="AN325">
        <v>1893397</v>
      </c>
      <c r="AP325" s="1">
        <v>45909</v>
      </c>
      <c r="AQ325">
        <v>80</v>
      </c>
      <c r="AR325">
        <v>1898219</v>
      </c>
      <c r="AT325" s="1">
        <v>45937</v>
      </c>
      <c r="AU325">
        <v>30</v>
      </c>
      <c r="AV325">
        <v>1902662</v>
      </c>
      <c r="AX325" s="1">
        <v>45971</v>
      </c>
      <c r="AY325">
        <v>80</v>
      </c>
      <c r="AZ325">
        <v>1908900</v>
      </c>
      <c r="BB325" s="1">
        <v>45993</v>
      </c>
      <c r="BC325">
        <v>80</v>
      </c>
      <c r="BD325">
        <v>1911839</v>
      </c>
      <c r="CH325">
        <v>439202151</v>
      </c>
    </row>
    <row r="326" spans="1:86" x14ac:dyDescent="0.25">
      <c r="A326">
        <v>572164</v>
      </c>
      <c r="B326">
        <v>102</v>
      </c>
      <c r="C326">
        <v>301193</v>
      </c>
      <c r="D326">
        <v>1</v>
      </c>
      <c r="E326">
        <v>1</v>
      </c>
      <c r="F326">
        <v>5028283</v>
      </c>
      <c r="G326">
        <v>5028283</v>
      </c>
      <c r="H326" t="s">
        <v>90</v>
      </c>
      <c r="N326" t="s">
        <v>1727</v>
      </c>
      <c r="O326">
        <v>4011544</v>
      </c>
      <c r="P326" t="s">
        <v>92</v>
      </c>
      <c r="Q326" t="s">
        <v>93</v>
      </c>
      <c r="R326" t="s">
        <v>1728</v>
      </c>
      <c r="V326" t="s">
        <v>1729</v>
      </c>
      <c r="W326" t="s">
        <v>124</v>
      </c>
      <c r="X326">
        <v>14534</v>
      </c>
      <c r="Y326" t="s">
        <v>99</v>
      </c>
      <c r="AA326" t="s">
        <v>1727</v>
      </c>
      <c r="AB326" t="s">
        <v>1728</v>
      </c>
      <c r="AC326" t="s">
        <v>1730</v>
      </c>
      <c r="AH326" t="s">
        <v>1731</v>
      </c>
      <c r="AI326">
        <v>375</v>
      </c>
      <c r="AK326">
        <v>0</v>
      </c>
      <c r="AL326" s="1">
        <v>45923</v>
      </c>
      <c r="AM326">
        <v>375</v>
      </c>
      <c r="AN326">
        <v>1900038</v>
      </c>
      <c r="CH326">
        <v>14534</v>
      </c>
    </row>
    <row r="327" spans="1:86" x14ac:dyDescent="0.25">
      <c r="A327">
        <v>572165</v>
      </c>
      <c r="B327">
        <v>102</v>
      </c>
      <c r="C327">
        <v>301194</v>
      </c>
      <c r="D327">
        <v>1</v>
      </c>
      <c r="E327">
        <v>1</v>
      </c>
      <c r="F327">
        <v>5028297</v>
      </c>
      <c r="G327">
        <v>5028297</v>
      </c>
      <c r="H327" t="s">
        <v>90</v>
      </c>
      <c r="N327" t="s">
        <v>1732</v>
      </c>
      <c r="O327">
        <v>4011557</v>
      </c>
      <c r="P327" t="s">
        <v>92</v>
      </c>
      <c r="Q327" t="s">
        <v>93</v>
      </c>
      <c r="R327" t="s">
        <v>1733</v>
      </c>
      <c r="V327" t="s">
        <v>1734</v>
      </c>
      <c r="W327" t="s">
        <v>307</v>
      </c>
      <c r="X327">
        <v>32176</v>
      </c>
      <c r="Y327" t="s">
        <v>99</v>
      </c>
      <c r="AA327" t="s">
        <v>1732</v>
      </c>
      <c r="AB327" t="s">
        <v>1733</v>
      </c>
      <c r="AC327" t="s">
        <v>1735</v>
      </c>
      <c r="AH327" t="s">
        <v>1736</v>
      </c>
      <c r="AI327">
        <v>3300</v>
      </c>
      <c r="AK327">
        <v>0</v>
      </c>
      <c r="AL327" s="1">
        <v>45932</v>
      </c>
      <c r="AM327">
        <v>1100</v>
      </c>
      <c r="AN327">
        <v>1901793</v>
      </c>
      <c r="AP327" s="1">
        <v>45963</v>
      </c>
      <c r="AQ327">
        <v>1100</v>
      </c>
      <c r="AR327">
        <v>1906346</v>
      </c>
      <c r="AT327" s="1">
        <v>45993</v>
      </c>
      <c r="AU327">
        <v>1100</v>
      </c>
      <c r="AV327">
        <v>1911042</v>
      </c>
      <c r="CH327">
        <v>32176</v>
      </c>
    </row>
    <row r="328" spans="1:86" x14ac:dyDescent="0.25">
      <c r="A328">
        <v>572166</v>
      </c>
      <c r="B328">
        <v>102</v>
      </c>
      <c r="C328">
        <v>301195</v>
      </c>
      <c r="D328">
        <v>1</v>
      </c>
      <c r="E328">
        <v>1</v>
      </c>
      <c r="F328">
        <v>5028370</v>
      </c>
      <c r="G328">
        <v>0</v>
      </c>
      <c r="H328" t="s">
        <v>1214</v>
      </c>
      <c r="J328" t="s">
        <v>1737</v>
      </c>
      <c r="L328" t="s">
        <v>1738</v>
      </c>
      <c r="O328">
        <v>4011683</v>
      </c>
      <c r="P328" t="s">
        <v>1737</v>
      </c>
      <c r="Q328" t="s">
        <v>93</v>
      </c>
      <c r="R328" t="s">
        <v>1654</v>
      </c>
      <c r="V328" t="s">
        <v>1739</v>
      </c>
      <c r="W328" t="s">
        <v>192</v>
      </c>
      <c r="X328">
        <v>98908</v>
      </c>
      <c r="Y328" t="s">
        <v>99</v>
      </c>
      <c r="AA328" t="s">
        <v>1653</v>
      </c>
      <c r="AB328" t="s">
        <v>1654</v>
      </c>
      <c r="AC328" t="s">
        <v>1740</v>
      </c>
      <c r="AI328">
        <v>525</v>
      </c>
      <c r="AK328">
        <v>0</v>
      </c>
      <c r="AL328" s="1">
        <v>45977</v>
      </c>
      <c r="AM328">
        <v>175</v>
      </c>
      <c r="AN328">
        <v>1908332</v>
      </c>
      <c r="AP328" s="1">
        <v>46020</v>
      </c>
      <c r="AQ328">
        <v>250</v>
      </c>
      <c r="AR328">
        <v>1914927</v>
      </c>
      <c r="AT328" s="1">
        <v>46020</v>
      </c>
      <c r="AU328">
        <v>100</v>
      </c>
      <c r="AV328">
        <v>1914928</v>
      </c>
      <c r="CH328">
        <v>98908</v>
      </c>
    </row>
    <row r="329" spans="1:86" x14ac:dyDescent="0.25">
      <c r="A329">
        <v>572167</v>
      </c>
      <c r="B329">
        <v>102</v>
      </c>
      <c r="C329">
        <v>301196</v>
      </c>
      <c r="D329">
        <v>1</v>
      </c>
      <c r="E329">
        <v>1</v>
      </c>
      <c r="F329">
        <v>5028386</v>
      </c>
      <c r="G329">
        <v>5028386</v>
      </c>
      <c r="H329" t="s">
        <v>90</v>
      </c>
      <c r="N329" t="s">
        <v>1741</v>
      </c>
      <c r="O329">
        <v>4011711</v>
      </c>
      <c r="P329" t="s">
        <v>92</v>
      </c>
      <c r="Q329" t="s">
        <v>93</v>
      </c>
      <c r="R329" t="s">
        <v>1742</v>
      </c>
      <c r="V329" t="s">
        <v>1743</v>
      </c>
      <c r="W329" t="s">
        <v>153</v>
      </c>
      <c r="X329">
        <v>61914</v>
      </c>
      <c r="Y329" t="s">
        <v>99</v>
      </c>
      <c r="AA329" t="s">
        <v>1741</v>
      </c>
      <c r="AB329" t="s">
        <v>1742</v>
      </c>
      <c r="AC329" t="s">
        <v>1744</v>
      </c>
      <c r="AH329" t="s">
        <v>1745</v>
      </c>
      <c r="AI329">
        <v>152</v>
      </c>
      <c r="AK329">
        <v>0</v>
      </c>
      <c r="AL329" s="1">
        <v>45975</v>
      </c>
      <c r="AM329">
        <v>76</v>
      </c>
      <c r="AN329">
        <v>1909335</v>
      </c>
      <c r="AP329" s="1">
        <v>46021</v>
      </c>
      <c r="AQ329">
        <v>76</v>
      </c>
      <c r="AR329">
        <v>1916592</v>
      </c>
      <c r="CH329">
        <v>61914</v>
      </c>
    </row>
    <row r="330" spans="1:86" x14ac:dyDescent="0.25">
      <c r="A330">
        <v>572168</v>
      </c>
      <c r="B330">
        <v>102</v>
      </c>
      <c r="C330">
        <v>301197</v>
      </c>
      <c r="D330">
        <v>1</v>
      </c>
      <c r="E330">
        <v>1</v>
      </c>
      <c r="F330">
        <v>5028421</v>
      </c>
      <c r="G330">
        <v>5028421</v>
      </c>
      <c r="H330" t="s">
        <v>90</v>
      </c>
      <c r="N330" t="s">
        <v>1746</v>
      </c>
      <c r="O330">
        <v>4011760</v>
      </c>
      <c r="P330" t="s">
        <v>92</v>
      </c>
      <c r="Q330" t="s">
        <v>93</v>
      </c>
      <c r="R330" t="s">
        <v>1747</v>
      </c>
      <c r="S330" t="s">
        <v>1748</v>
      </c>
      <c r="V330" t="s">
        <v>1749</v>
      </c>
      <c r="W330" t="s">
        <v>124</v>
      </c>
      <c r="X330">
        <v>14716</v>
      </c>
      <c r="Y330" t="s">
        <v>99</v>
      </c>
      <c r="AA330" t="s">
        <v>1746</v>
      </c>
      <c r="AB330" t="s">
        <v>1747</v>
      </c>
      <c r="AC330" t="s">
        <v>1748</v>
      </c>
      <c r="AD330" t="s">
        <v>1750</v>
      </c>
      <c r="AH330" t="s">
        <v>1751</v>
      </c>
      <c r="AI330">
        <v>38</v>
      </c>
      <c r="AK330">
        <v>0</v>
      </c>
      <c r="AL330" s="1">
        <v>45999</v>
      </c>
      <c r="AM330">
        <v>38</v>
      </c>
      <c r="AN330">
        <v>1911758</v>
      </c>
      <c r="CH330">
        <v>14716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D5A0FD4B2E7243B63603F5C6BF35B6" ma:contentTypeVersion="19" ma:contentTypeDescription="Create a new document." ma:contentTypeScope="" ma:versionID="6f7fe4d651e72a26703c6a18491f3e64">
  <xsd:schema xmlns:xsd="http://www.w3.org/2001/XMLSchema" xmlns:xs="http://www.w3.org/2001/XMLSchema" xmlns:p="http://schemas.microsoft.com/office/2006/metadata/properties" xmlns:ns2="44b1f049-80ef-4d89-9613-f2eb8d8d99a9" xmlns:ns3="878c826b-c6a0-4975-a6b0-8f155b47cd3b" targetNamespace="http://schemas.microsoft.com/office/2006/metadata/properties" ma:root="true" ma:fieldsID="5cbd795654865d916d935c8945961a00" ns2:_="" ns3:_="">
    <xsd:import namespace="44b1f049-80ef-4d89-9613-f2eb8d8d99a9"/>
    <xsd:import namespace="878c826b-c6a0-4975-a6b0-8f155b47cd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b1f049-80ef-4d89-9613-f2eb8d8d99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f8a0b80-606b-4991-8213-092d1b85b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8c826b-c6a0-4975-a6b0-8f155b47cd3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b57c33b-6c09-4641-8d84-a2f86e76b1ae}" ma:internalName="TaxCatchAll" ma:showField="CatchAllData" ma:web="878c826b-c6a0-4975-a6b0-8f155b47cd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8c826b-c6a0-4975-a6b0-8f155b47cd3b" xsi:nil="true"/>
    <lcf76f155ced4ddcb4097134ff3c332f xmlns="44b1f049-80ef-4d89-9613-f2eb8d8d99a9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27A1B7A7-F18E-46D6-AA35-2A69975FE6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b1f049-80ef-4d89-9613-f2eb8d8d99a9"/>
    <ds:schemaRef ds:uri="878c826b-c6a0-4975-a6b0-8f155b47cd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DE93E2-7B74-4C03-BEAB-E6798788A4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55F41F-46BB-475C-B871-4A3748EB7F45}">
  <ds:schemaRefs>
    <ds:schemaRef ds:uri="http://schemas.microsoft.com/office/2006/documentManagement/types"/>
    <ds:schemaRef ds:uri="http://purl.org/dc/elements/1.1/"/>
    <ds:schemaRef ds:uri="44b1f049-80ef-4d89-9613-f2eb8d8d99a9"/>
    <ds:schemaRef ds:uri="http://schemas.microsoft.com/office/infopath/2007/PartnerControls"/>
    <ds:schemaRef ds:uri="http://www.w3.org/XML/1998/namespace"/>
    <ds:schemaRef ds:uri="http://purl.org/dc/terms/"/>
    <ds:schemaRef ds:uri="http://schemas.openxmlformats.org/package/2006/metadata/core-properties"/>
    <ds:schemaRef ds:uri="http://purl.org/dc/dcmitype/"/>
    <ds:schemaRef ds:uri="878c826b-c6a0-4975-a6b0-8f155b47cd3b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8BA753CD-A026-4C1F-8A08-141930E37C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deductionsEPP_ICCM</vt:lpstr>
      <vt:lpstr>iccm_giving</vt:lpstr>
      <vt:lpstr>matching</vt:lpstr>
      <vt:lpstr>2025 Periodic Receipts for FMCs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Eccles</dc:creator>
  <cp:keywords/>
  <dc:description/>
  <cp:lastModifiedBy>Kevin Eccles</cp:lastModifiedBy>
  <cp:revision/>
  <dcterms:created xsi:type="dcterms:W3CDTF">2026-05-27T17:58:19Z</dcterms:created>
  <dcterms:modified xsi:type="dcterms:W3CDTF">2026-05-28T12:58:52Z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0x010100DFD5A0FD4B2E7243B63603F5C6BF35B6</vt:lpwstr>
  </property>
  <property fmtid="{D5CDD505-2E9C-101B-9397-08002B2CF9AE}" pid="3" name="MediaServiceImageTags">
    <vt:lpwstr/>
  </property>
</Properties>
</file>