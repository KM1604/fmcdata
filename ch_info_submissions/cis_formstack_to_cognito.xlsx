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Git\fmcdata\ch_info_submissions\"/>
    </mc:Choice>
  </mc:AlternateContent>
  <xr:revisionPtr revIDLastSave="0" documentId="13_ncr:1_{88505F53-F3BC-44CB-AD95-29D9D826F6B8}" xr6:coauthVersionLast="47" xr6:coauthVersionMax="47" xr10:uidLastSave="{00000000-0000-0000-0000-000000000000}"/>
  <bookViews>
    <workbookView xWindow="19095" yWindow="0" windowWidth="19410" windowHeight="20985" xr2:uid="{00000000-000D-0000-FFFF-FFFF00000000}"/>
  </bookViews>
  <sheets>
    <sheet name="makeiteasy" sheetId="4" r:id="rId1"/>
    <sheet name="uids" sheetId="5" r:id="rId2"/>
    <sheet name="formstack_subs" sheetId="2" state="hidden" r:id="rId3"/>
  </sheets>
  <definedNames>
    <definedName name="ExternalData_1" localSheetId="2" hidden="1">formstack_subs!$A$1:$EX$261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4" l="1"/>
  <c r="D50" i="4" s="1"/>
  <c r="B5" i="4" a="1"/>
  <c r="B5" i="4" s="1"/>
  <c r="C7" i="4" a="1"/>
  <c r="C7" i="4" s="1"/>
  <c r="C13" i="4" a="1"/>
  <c r="C13" i="4" s="1"/>
  <c r="B13" i="4" a="1"/>
  <c r="B13" i="4" s="1"/>
  <c r="C15" i="4" a="1"/>
  <c r="C15" i="4" s="1"/>
  <c r="B15" i="4" a="1"/>
  <c r="B15" i="4" s="1"/>
  <c r="C28" i="4" a="1"/>
  <c r="C28" i="4" s="1"/>
  <c r="B28" i="4" a="1"/>
  <c r="B28" i="4" s="1"/>
  <c r="B50" i="4" l="1"/>
  <c r="C50" i="4"/>
  <c r="E7" i="4"/>
  <c r="C10" i="4"/>
  <c r="D10" i="4"/>
  <c r="B49" i="4"/>
  <c r="B20" i="4"/>
  <c r="B46" i="4"/>
  <c r="B47" i="4"/>
  <c r="B48" i="4"/>
  <c r="B42" i="4"/>
  <c r="B18" i="4"/>
  <c r="F7" i="4"/>
  <c r="B45" i="4"/>
  <c r="B4" i="4"/>
  <c r="B9" i="4"/>
  <c r="B7" i="4"/>
  <c r="B11" i="4"/>
  <c r="B10" i="4"/>
  <c r="B16" i="4"/>
  <c r="B17" i="4"/>
  <c r="D7" i="4"/>
  <c r="C19" i="4"/>
  <c r="B25" i="4"/>
  <c r="C17" i="4"/>
  <c r="B26" i="4"/>
  <c r="C16" i="4"/>
  <c r="B27" i="4"/>
  <c r="C18" i="4"/>
  <c r="B29" i="4"/>
  <c r="B30" i="4"/>
  <c r="B19" i="4"/>
  <c r="B31" i="4"/>
  <c r="C11" i="4"/>
  <c r="B8" i="4"/>
  <c r="D11" i="4"/>
  <c r="B34" i="4"/>
  <c r="B12" i="4"/>
  <c r="B35" i="4"/>
  <c r="C12" i="4"/>
  <c r="B39" i="4"/>
  <c r="B14" i="4"/>
  <c r="C2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E7E760-79E5-43C0-BA1B-5A7CD15FB9D4}" keepAlive="1" name="Query - formstack_subs" description="Connection to the 'formstack_subs' query in the workbook." type="5" refreshedVersion="8" background="1" saveData="1">
    <dbPr connection="Provider=Microsoft.Mashup.OleDb.1;Data Source=$Workbook$;Location=formstack_subs;Extended Properties=&quot;&quot;" command="SELECT * FROM [formstack_sub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<sst xmlns="http://schemas.openxmlformats.org/spreadsheetml/2006/main" count="35275" uniqueCount="3270">
  <si>
    <t>Phone</t>
  </si>
  <si>
    <t>Conference</t>
  </si>
  <si>
    <t>Time</t>
  </si>
  <si>
    <t>Processed</t>
  </si>
  <si>
    <t>Person Completing Report (First)</t>
  </si>
  <si>
    <t>Person Completing Report (Last)</t>
  </si>
  <si>
    <t>Email</t>
  </si>
  <si>
    <t>What information do you need to provide?</t>
  </si>
  <si>
    <t>(Legal) Name of Church</t>
  </si>
  <si>
    <t>Church ID Number</t>
  </si>
  <si>
    <t>Change Effective Date</t>
  </si>
  <si>
    <t>New Church Status</t>
  </si>
  <si>
    <t>Legal Name</t>
  </si>
  <si>
    <t>Known / Common Name</t>
  </si>
  <si>
    <t>Appointed Pastor (Lead Pastor) (First)</t>
  </si>
  <si>
    <t>Appointed Pastor (Lead Pastor) (Last)</t>
  </si>
  <si>
    <t>Church Type</t>
  </si>
  <si>
    <t>Does the church have an EIN?</t>
  </si>
  <si>
    <t>What is the name of the sponsoring church?</t>
  </si>
  <si>
    <t>Mailing Address (Address)</t>
  </si>
  <si>
    <t>Mailing Address (Address2)</t>
  </si>
  <si>
    <t>Mailing Address (City)</t>
  </si>
  <si>
    <t>Mailing Address (State)</t>
  </si>
  <si>
    <t>Mailing Address (Zip)</t>
  </si>
  <si>
    <t>Mailing Address is...</t>
  </si>
  <si>
    <t>Physical Address Where Services are Held (Address)</t>
  </si>
  <si>
    <t>Physical Address Where Services are Held (Address2)</t>
  </si>
  <si>
    <t>Physical Address Where Services are Held (City)</t>
  </si>
  <si>
    <t>Physical Address Where Services are Held (State)</t>
  </si>
  <si>
    <t>Physical Address Where Services are Held (Zip)</t>
  </si>
  <si>
    <t>Church Phone Number</t>
  </si>
  <si>
    <t>Church Email</t>
  </si>
  <si>
    <t>Church Website</t>
  </si>
  <si>
    <t>Date first service was held, or will be held:</t>
  </si>
  <si>
    <t>Church Ethnicity</t>
  </si>
  <si>
    <t>How many Heartbeat Magazines would you like to receive?</t>
  </si>
  <si>
    <t>List other appointed pastors</t>
  </si>
  <si>
    <t>Check all that apply:</t>
  </si>
  <si>
    <t>Number of prospective members</t>
  </si>
  <si>
    <t>Please upload Incorporation Documentation</t>
  </si>
  <si>
    <t>Enter church's individual EIN (do not enter Conference EIN)</t>
  </si>
  <si>
    <t>Please upload church insurance documentation</t>
  </si>
  <si>
    <t>Date of Last Service OR Date church should be considered closed</t>
  </si>
  <si>
    <t>Number of appointed pastors</t>
  </si>
  <si>
    <t>Name of Lead Pastor (First)</t>
  </si>
  <si>
    <t>Name of Lead Pastor (Last)</t>
  </si>
  <si>
    <t>Please check all that apply:</t>
  </si>
  <si>
    <t>Upload Local BOA meeting minutes</t>
  </si>
  <si>
    <t>Upload Local Church's Society meeting minutes</t>
  </si>
  <si>
    <t>Upload Conference BOA minutes</t>
  </si>
  <si>
    <t>Lead Pastor is now (or will be):</t>
  </si>
  <si>
    <t>To what church has the Lead Pastor been appointed?</t>
  </si>
  <si>
    <t>Position:</t>
  </si>
  <si>
    <t>List all other appointed pastors and their current appointment status:</t>
  </si>
  <si>
    <t>What has happened or will happen to the church property?</t>
  </si>
  <si>
    <t>What has happened or will happen with the church funds?</t>
  </si>
  <si>
    <t>Did the church have its own EIN?</t>
  </si>
  <si>
    <t>What is happening to the church's EIN?</t>
  </si>
  <si>
    <t>Name of new DBA</t>
  </si>
  <si>
    <t>Legal Name_1</t>
  </si>
  <si>
    <t>DBA</t>
  </si>
  <si>
    <t>Known / Common Name_2</t>
  </si>
  <si>
    <t>Appointed Pastor (Lead Pastor) (First)_3</t>
  </si>
  <si>
    <t>Appointed Pastor (Lead Pastor) (Last)_4</t>
  </si>
  <si>
    <t>Church Type_5</t>
  </si>
  <si>
    <t>Does the church have an EIN?_6</t>
  </si>
  <si>
    <t>Please enter church's EIN_7</t>
  </si>
  <si>
    <t>What is the name of the sponsoring church?_8</t>
  </si>
  <si>
    <t>Physical Address Where Services are Held (Address)_9</t>
  </si>
  <si>
    <t>Physical Address Where Services are Held (Address2)_10</t>
  </si>
  <si>
    <t>Physical Address Where Services are Held (City)_11</t>
  </si>
  <si>
    <t>Physical Address Where Services are Held (State)_12</t>
  </si>
  <si>
    <t>Physical Address Where Services are Held (Zip)_13</t>
  </si>
  <si>
    <t>Physical Address Where Services are Held (Country)</t>
  </si>
  <si>
    <t>Mailing Address (if different) (Address)</t>
  </si>
  <si>
    <t>Mailing Address (if different) (Address2)</t>
  </si>
  <si>
    <t>Mailing Address (if different) (City)</t>
  </si>
  <si>
    <t>Mailing Address (if different) (State)</t>
  </si>
  <si>
    <t>Mailing Address (if different) (Zip)</t>
  </si>
  <si>
    <t>Mailing Address (if different) (Country)</t>
  </si>
  <si>
    <t>Mailing Address is..._14</t>
  </si>
  <si>
    <t>Church Phone Number_15</t>
  </si>
  <si>
    <t>Church Email_16</t>
  </si>
  <si>
    <t>Church Website_17</t>
  </si>
  <si>
    <t>Date first service was held, or will be held:_18</t>
  </si>
  <si>
    <t>Church Ethnicity_19</t>
  </si>
  <si>
    <t>How many Heartbeat Magazines would you like to receive?_20</t>
  </si>
  <si>
    <t>Light &amp; Life Magazine Language</t>
  </si>
  <si>
    <t>List other appointed pastors_21</t>
  </si>
  <si>
    <t>List any other updates you need to report:</t>
  </si>
  <si>
    <t>What kind of merge is being reported?</t>
  </si>
  <si>
    <t>Date this merge will take effect</t>
  </si>
  <si>
    <t>Church A Name</t>
  </si>
  <si>
    <t>Church B Name</t>
  </si>
  <si>
    <t>What will the merged church's name be?</t>
  </si>
  <si>
    <t>The merged church's EIN will be:</t>
  </si>
  <si>
    <t>If you have the new EIN, please enter it here:</t>
  </si>
  <si>
    <t>New Conference</t>
  </si>
  <si>
    <t>How many churches are moving to this Conference?</t>
  </si>
  <si>
    <t>Church Name</t>
  </si>
  <si>
    <t>Is the church's name changing?</t>
  </si>
  <si>
    <t>New Church Name</t>
  </si>
  <si>
    <t>Second Church Name</t>
  </si>
  <si>
    <t>Is the second church's name changing?</t>
  </si>
  <si>
    <t>New Church Name (Second)</t>
  </si>
  <si>
    <t>Church ID Number (current)</t>
  </si>
  <si>
    <t>Church Location - Where services are held (Address)</t>
  </si>
  <si>
    <t>Church Location - Where services are held (Address2)</t>
  </si>
  <si>
    <t>Church Location - Where services are held (City)</t>
  </si>
  <si>
    <t>Church Location - Where services are held (State)</t>
  </si>
  <si>
    <t>Church Location - Where services are held (Zip)</t>
  </si>
  <si>
    <t>Church Mailing Address (if different) (Address)</t>
  </si>
  <si>
    <t>Church Mailing Address (if different) (Address2)</t>
  </si>
  <si>
    <t>Church Mailing Address (if different) (City)</t>
  </si>
  <si>
    <t>Church Mailing Address (if different) (State)</t>
  </si>
  <si>
    <t>Church Mailing Address (if different) (Zip)</t>
  </si>
  <si>
    <t>Appointed Lead Pastor (First)</t>
  </si>
  <si>
    <t>Appointed Lead Pastor (Last)</t>
  </si>
  <si>
    <t>Please Check All that Apply:.1</t>
  </si>
  <si>
    <t>Upload Church A's BOA Minutes here:</t>
  </si>
  <si>
    <t>Upload Church B's BOA Minutes here:</t>
  </si>
  <si>
    <t>Upload Conference BOA Minutes here:</t>
  </si>
  <si>
    <t>List Church ID #'s that are changing conferences below:</t>
  </si>
  <si>
    <t>Please describe what the plan is for any unused church property, including who will receive funds from property sales (i.e. Conference office or local church).</t>
  </si>
  <si>
    <t>This church is:</t>
  </si>
  <si>
    <t>Date of Last Service</t>
  </si>
  <si>
    <t>Date Services Resumed</t>
  </si>
  <si>
    <t>Reason for Reorganization</t>
  </si>
  <si>
    <t>Has the church's contact information changed?</t>
  </si>
  <si>
    <t>Appointed Lead Pastor (First)_22</t>
  </si>
  <si>
    <t>Appointed Lead Pastor (Last)_23</t>
  </si>
  <si>
    <t>Church Location Address (Address)</t>
  </si>
  <si>
    <t>Church Location Address (Address2)</t>
  </si>
  <si>
    <t>Church Location Address (City)</t>
  </si>
  <si>
    <t>Church Location Address (State)</t>
  </si>
  <si>
    <t>Church Location Address (Zip)</t>
  </si>
  <si>
    <t>Church Mailing Address (if different) (Address)_24</t>
  </si>
  <si>
    <t>Church Mailing Address (if different) (Address2)_25</t>
  </si>
  <si>
    <t>Church Mailing Address (if different) (City)_26</t>
  </si>
  <si>
    <t>Church Mailing Address (if different) (State)_27</t>
  </si>
  <si>
    <t>Church Mailing Address (if different) (Zip)_28</t>
  </si>
  <si>
    <t>Church Email_29</t>
  </si>
  <si>
    <t>Church Phone</t>
  </si>
  <si>
    <t>Church's EIN</t>
  </si>
  <si>
    <t>Is the church incorporated?</t>
  </si>
  <si>
    <t>Why is the church not incorporated?</t>
  </si>
  <si>
    <t>Does the church have insurance?</t>
  </si>
  <si>
    <t>Why is the church uninsured?</t>
  </si>
  <si>
    <t>Is there anything else we need to know?</t>
  </si>
  <si>
    <t>Browser</t>
  </si>
  <si>
    <t>IP Address</t>
  </si>
  <si>
    <t>Unique ID</t>
  </si>
  <si>
    <t>Location</t>
  </si>
  <si>
    <t/>
  </si>
  <si>
    <t>Joan</t>
  </si>
  <si>
    <t>Foster</t>
  </si>
  <si>
    <t>(206) 962-2689</t>
  </si>
  <si>
    <t>joan.foster@pnwc.org</t>
  </si>
  <si>
    <t>Merged Church</t>
  </si>
  <si>
    <t>320 Pacific Northwest</t>
  </si>
  <si>
    <t>Two churches merged</t>
  </si>
  <si>
    <t>Mt. Vernon Free Methodist Church (Hillcrest)</t>
  </si>
  <si>
    <t>North Cascade Christian Fellowship</t>
  </si>
  <si>
    <t>It is a campus of North Cascades</t>
  </si>
  <si>
    <t>Church B's EIN</t>
  </si>
  <si>
    <t xml:space="preserve">1830S 13th St </t>
  </si>
  <si>
    <t>Mount Vernon</t>
  </si>
  <si>
    <t>WA</t>
  </si>
  <si>
    <t>PO Box 3549</t>
  </si>
  <si>
    <t>Steve</t>
  </si>
  <si>
    <t>Fish</t>
  </si>
  <si>
    <t>Church A's local BOA has approved of merger|Church B's local BOA has approved of merger|Conference BOA has approved of merger</t>
  </si>
  <si>
    <t>https://www.formstack.com/admin/download/file/13309811901</t>
  </si>
  <si>
    <t>https://www.formstack.com/admin/download/file/13309811902</t>
  </si>
  <si>
    <t>https://www.formstack.com/admin/download/file/13309811903</t>
  </si>
  <si>
    <t>Both churches will remain where they are. North Cascades has transferred the Hillcrest property into their name but still have a congregation meeting there.</t>
  </si>
  <si>
    <t>Yes, listed as additional insured</t>
  </si>
  <si>
    <t>The Hillcrest Church is now listed on the North Cascades insurance policy.</t>
  </si>
  <si>
    <t>Chrome 104.0.0.0 / Windows</t>
  </si>
  <si>
    <t>66.231.49.254</t>
  </si>
  <si>
    <t>42.272, -84.9638</t>
  </si>
  <si>
    <t>Patrick</t>
  </si>
  <si>
    <t>Coakley</t>
  </si>
  <si>
    <t>(608) 757-2970</t>
  </si>
  <si>
    <t>office@nccfmc.org</t>
  </si>
  <si>
    <t>New Church</t>
  </si>
  <si>
    <t>150 North Central</t>
  </si>
  <si>
    <t>Free Methodist Church Bethel Rock Island</t>
  </si>
  <si>
    <t>ILDEPHONES</t>
  </si>
  <si>
    <t>NTAGAWA</t>
  </si>
  <si>
    <t>Church Plant (CPP)</t>
  </si>
  <si>
    <t>Yes, its own</t>
  </si>
  <si>
    <t>86-1253919</t>
  </si>
  <si>
    <t>467 32nd Ave</t>
  </si>
  <si>
    <t>East Moline</t>
  </si>
  <si>
    <t>IL</t>
  </si>
  <si>
    <t>61244</t>
  </si>
  <si>
    <t>The pastor's mailbox</t>
  </si>
  <si>
    <t>1535 36th Ave</t>
  </si>
  <si>
    <t>Moline</t>
  </si>
  <si>
    <t>61265</t>
  </si>
  <si>
    <t>(309) 429-3908</t>
  </si>
  <si>
    <t>fmcbethel@gmail.com</t>
  </si>
  <si>
    <t>none</t>
  </si>
  <si>
    <t>Congolese</t>
  </si>
  <si>
    <t>- SELECT -</t>
  </si>
  <si>
    <t>All communication is with Chantal Naabageni who is very fluent in English.</t>
  </si>
  <si>
    <t>Firefox 105.0 / Windows</t>
  </si>
  <si>
    <t>35.148.37.131</t>
  </si>
  <si>
    <t>42.7831, -88.9538</t>
  </si>
  <si>
    <t>Jerusalem Free Methodist Church</t>
  </si>
  <si>
    <t xml:space="preserve">Etoka </t>
  </si>
  <si>
    <t>Abwe</t>
  </si>
  <si>
    <t>86-1254419</t>
  </si>
  <si>
    <t>2701 9th St</t>
  </si>
  <si>
    <t>Rock Island</t>
  </si>
  <si>
    <t>61201</t>
  </si>
  <si>
    <t>830 14 1/2 St #832</t>
  </si>
  <si>
    <t>61201-2528</t>
  </si>
  <si>
    <t>(563) 200-6922</t>
  </si>
  <si>
    <t>umbelomona832@gmail.com</t>
  </si>
  <si>
    <t>I used first meeting date from Bethel cpp since I do not know information on Jerusalem and form would not let me complete unless I put something in there.</t>
  </si>
  <si>
    <t>Deb</t>
  </si>
  <si>
    <t>Baggett</t>
  </si>
  <si>
    <t>(720) 305-1529</t>
  </si>
  <si>
    <t>admin@theriverconference.org</t>
  </si>
  <si>
    <t>390 The River</t>
  </si>
  <si>
    <t>ANCHOR FELLOWSHIP CHURCH GRANBURY</t>
  </si>
  <si>
    <t>Anchor Fellowship</t>
  </si>
  <si>
    <t>Wade</t>
  </si>
  <si>
    <t>Killough</t>
  </si>
  <si>
    <t>92-0249159</t>
  </si>
  <si>
    <t>The River Conference</t>
  </si>
  <si>
    <t>4210 MOJAVE DR</t>
  </si>
  <si>
    <t>Granbury</t>
  </si>
  <si>
    <t>TX</t>
  </si>
  <si>
    <t>76049</t>
  </si>
  <si>
    <t>The church's mailbox</t>
  </si>
  <si>
    <t>(512) 940-2991</t>
  </si>
  <si>
    <t>wade610@gmail.com</t>
  </si>
  <si>
    <t>White</t>
  </si>
  <si>
    <t>Christy Barto</t>
  </si>
  <si>
    <t>Yes</t>
  </si>
  <si>
    <t>No</t>
  </si>
  <si>
    <t>In Process</t>
  </si>
  <si>
    <t>Chrome 105.0.0.0 / Windows</t>
  </si>
  <si>
    <t>174.45.165.98</t>
  </si>
  <si>
    <t>44.7862, -106.9608</t>
  </si>
  <si>
    <t>Lori</t>
  </si>
  <si>
    <t>Koons</t>
  </si>
  <si>
    <t>(916) 599-9570</t>
  </si>
  <si>
    <t>lorikoons@undeniableblessing.org</t>
  </si>
  <si>
    <t>Closed Church Information</t>
  </si>
  <si>
    <t>030 Sierra Pacific</t>
  </si>
  <si>
    <t>Long ( Thomas)</t>
  </si>
  <si>
    <t>Feng</t>
  </si>
  <si>
    <t>Conference BOA has voted to close this church</t>
  </si>
  <si>
    <t>Other: Due to his immigration status as an R-1  working he was hired by Oregon Conference and started March 2022</t>
  </si>
  <si>
    <t xml:space="preserve">No property. </t>
  </si>
  <si>
    <t xml:space="preserve">No funds </t>
  </si>
  <si>
    <t>He was eventually released from appointment and his ordination status removed.</t>
  </si>
  <si>
    <t>Mobile Safari 15.6.1 / iOS</t>
  </si>
  <si>
    <t>23.187.48.129</t>
  </si>
  <si>
    <t>39.0753, -120.9527</t>
  </si>
  <si>
    <t xml:space="preserve">Ashley </t>
  </si>
  <si>
    <t>Tohm</t>
  </si>
  <si>
    <t>(517) 750-9211</t>
  </si>
  <si>
    <t>ashley.tohm@smcfmc.org</t>
  </si>
  <si>
    <t>370 Southern Michigan</t>
  </si>
  <si>
    <t>Harry</t>
  </si>
  <si>
    <t>Mathews</t>
  </si>
  <si>
    <t>Local Church's BOA has voted to close|Conference BOA has voted to close this church</t>
  </si>
  <si>
    <t>https://www.formstack.com/admin/download/file/13510394051</t>
  </si>
  <si>
    <t>https://www.formstack.com/admin/download/file/13510394052</t>
  </si>
  <si>
    <t>Awaiting Appointment</t>
  </si>
  <si>
    <t xml:space="preserve">The Deerfield parsonage sold and the church property sale is in process.  </t>
  </si>
  <si>
    <t>Church funds will be distributed according to CLB Policy</t>
  </si>
  <si>
    <t>Remaining open for withdrawn church|Other: EIN will remain active until all assets have been distributed</t>
  </si>
  <si>
    <t>Safari 15.6 / OS X</t>
  </si>
  <si>
    <t>68.49.232.54</t>
  </si>
  <si>
    <t>42.2532, -84.3877</t>
  </si>
  <si>
    <t>Ashley</t>
  </si>
  <si>
    <t>https://www.formstack.com/admin/download/file/13510446061</t>
  </si>
  <si>
    <t>In the processes of selling this property</t>
  </si>
  <si>
    <t>Church funds will be distributed according to Conference Leadership Board Policy|</t>
  </si>
  <si>
    <t>Michelle</t>
  </si>
  <si>
    <t>Boyd</t>
  </si>
  <si>
    <t>(618) 664-2353</t>
  </si>
  <si>
    <t>gatewayfmcusa@gmail.com</t>
  </si>
  <si>
    <t>060 Gateway</t>
  </si>
  <si>
    <t>Mt. Olivet Church</t>
  </si>
  <si>
    <t>Mt. Olivet</t>
  </si>
  <si>
    <t xml:space="preserve">Brian </t>
  </si>
  <si>
    <t>Eckhardt</t>
  </si>
  <si>
    <t>Affiliate</t>
  </si>
  <si>
    <t>6600 HWY 6</t>
  </si>
  <si>
    <t>Taylor</t>
  </si>
  <si>
    <t>MO</t>
  </si>
  <si>
    <t>63471</t>
  </si>
  <si>
    <t>6600 Hwy 6</t>
  </si>
  <si>
    <t>(573) 769-3948</t>
  </si>
  <si>
    <t>brianeckhardt@live.com</t>
  </si>
  <si>
    <t>Firefox 105.0 / Windows 7</t>
  </si>
  <si>
    <t>96.18.221.24</t>
  </si>
  <si>
    <t>39.7542, -89.5731</t>
  </si>
  <si>
    <t>Ministerio Apostolico Plantio del Senor-Centralia</t>
  </si>
  <si>
    <t>Javier</t>
  </si>
  <si>
    <t>Quintana</t>
  </si>
  <si>
    <t>No, operating under other church's EIN</t>
  </si>
  <si>
    <t>Ministerio Apostolico Plantion del Senor</t>
  </si>
  <si>
    <t>4263 Norfolk Ave.,  Apt. 2W</t>
  </si>
  <si>
    <t>St. Louis</t>
  </si>
  <si>
    <t>63110</t>
  </si>
  <si>
    <t>138 S Walnut St</t>
  </si>
  <si>
    <t>Centralia</t>
  </si>
  <si>
    <t>62246</t>
  </si>
  <si>
    <t>(314) 224-5959</t>
  </si>
  <si>
    <t>plnatiodelsenor@gmail.com</t>
  </si>
  <si>
    <t>Latino</t>
  </si>
  <si>
    <t>Eric</t>
  </si>
  <si>
    <t>Ware</t>
  </si>
  <si>
    <t>(315) 657-4245</t>
  </si>
  <si>
    <t>tupper.ware@acts1224churches.com</t>
  </si>
  <si>
    <t>240 Acts 12:24 Churches</t>
  </si>
  <si>
    <t>New Love in Christ Church</t>
  </si>
  <si>
    <t>Ariel</t>
  </si>
  <si>
    <t>Ramos</t>
  </si>
  <si>
    <t>Fellowship</t>
  </si>
  <si>
    <t>251594433</t>
  </si>
  <si>
    <t>6003 Jonestown Road</t>
  </si>
  <si>
    <t>Harrisburg</t>
  </si>
  <si>
    <t>PA</t>
  </si>
  <si>
    <t>17112</t>
  </si>
  <si>
    <t>(717) 540-8439</t>
  </si>
  <si>
    <t>info@newlovecc.org</t>
  </si>
  <si>
    <t>https://newlovecc.org/</t>
  </si>
  <si>
    <t>Anglo</t>
  </si>
  <si>
    <t>Ross Reider - AP</t>
  </si>
  <si>
    <t>Chrome Mobile 106.0.5249.92 / iOS</t>
  </si>
  <si>
    <t>73.212.205.214</t>
  </si>
  <si>
    <t>39.5493, -76.123</t>
  </si>
  <si>
    <t>Ministerios Manantial de Vida</t>
  </si>
  <si>
    <t>Erik</t>
  </si>
  <si>
    <t>Gozalez</t>
  </si>
  <si>
    <t xml:space="preserve">Iglesia de Restauracion Familiar </t>
  </si>
  <si>
    <t>2510 Cambridge Court</t>
  </si>
  <si>
    <t>Turlock</t>
  </si>
  <si>
    <t>CA</t>
  </si>
  <si>
    <t>95382</t>
  </si>
  <si>
    <t>118 N. Second Street</t>
  </si>
  <si>
    <t>Patterson</t>
  </si>
  <si>
    <t>95363</t>
  </si>
  <si>
    <t>(650) 455-4562</t>
  </si>
  <si>
    <t>riverahaydee79@gmail.com</t>
  </si>
  <si>
    <t>facebook only</t>
  </si>
  <si>
    <t>Both Haydee and Erik are co leaders. |Erik's email is:   erikcg.28@gmail.com  |c/p    650-799-6143</t>
  </si>
  <si>
    <t>Unsure</t>
  </si>
  <si>
    <t>Chrome 106.0.5249.103 / Windows</t>
  </si>
  <si>
    <t>Michelel</t>
  </si>
  <si>
    <t>Local Church's BOA has voted to close</t>
  </si>
  <si>
    <t>Church Property is being used by Ministerio Apostolico Plantio Del Senor.  Actual closing date of Lighthouse English was August 21, 2011 (date of last service).</t>
  </si>
  <si>
    <t>remaining funds were used to pay balance of bills.</t>
  </si>
  <si>
    <t>EIN has been closed</t>
  </si>
  <si>
    <t>Actual closing date was August 21, 2011.</t>
  </si>
  <si>
    <t>Firefox 106.0 / Windows 7</t>
  </si>
  <si>
    <t>96.19.30.115</t>
  </si>
  <si>
    <t>39.1733, -89.6404</t>
  </si>
  <si>
    <t>Centro Misionero Casa de Dios</t>
  </si>
  <si>
    <t>Nelson</t>
  </si>
  <si>
    <t>Orantes</t>
  </si>
  <si>
    <t>Iglesia de Restauracion Familiar</t>
  </si>
  <si>
    <t>701 9th Ave, Apt. 9</t>
  </si>
  <si>
    <t>Redwood City</t>
  </si>
  <si>
    <t>94063</t>
  </si>
  <si>
    <t>1411 N. Tenth Street</t>
  </si>
  <si>
    <t>San Jose</t>
  </si>
  <si>
    <t>95112</t>
  </si>
  <si>
    <t>(650) 740-2474</t>
  </si>
  <si>
    <t>perez01arturo@gmail.com</t>
  </si>
  <si>
    <t>facebook</t>
  </si>
  <si>
    <t>Latiso</t>
  </si>
  <si>
    <t>Deysi Magana  email: dorantes@my.smccd.edu|mobile: 650-518-2394</t>
  </si>
  <si>
    <t>Chrome 106.0.5249.119 / Windows</t>
  </si>
  <si>
    <t>Oasis Church</t>
  </si>
  <si>
    <t>Living Waters</t>
  </si>
  <si>
    <t>Church A's EIN</t>
  </si>
  <si>
    <t>1730 Curtner Ave.</t>
  </si>
  <si>
    <t>Sam</t>
  </si>
  <si>
    <t>Schaar</t>
  </si>
  <si>
    <t>https://www.formstack.com/admin/download/file/13612138660</t>
  </si>
  <si>
    <t>https://www.formstack.com/admin/download/file/13612138661</t>
  </si>
  <si>
    <t>https://www.formstack.com/admin/download/file/13612138662</t>
  </si>
  <si>
    <t>there was no property as Living Waters had been meeting with another church.</t>
  </si>
  <si>
    <t>lori</t>
  </si>
  <si>
    <t>koons</t>
  </si>
  <si>
    <t>Long</t>
  </si>
  <si>
    <t>Other: Pastor was transferred to Oregon Conf. due to his R-1, but then had ordination removed for failure to disclose divorce.</t>
  </si>
  <si>
    <t>no property</t>
  </si>
  <si>
    <t>no funds</t>
  </si>
  <si>
    <t>Lighthouse Fellowship Church Fort Worth</t>
  </si>
  <si>
    <t>Lighthouse</t>
  </si>
  <si>
    <t>Frank</t>
  </si>
  <si>
    <t>Briggs</t>
  </si>
  <si>
    <t>Society</t>
  </si>
  <si>
    <t>7200 Robertson  Rd</t>
  </si>
  <si>
    <t>Fort Worth</t>
  </si>
  <si>
    <t>76135</t>
  </si>
  <si>
    <t>7200 Robertson Rd</t>
  </si>
  <si>
    <t>Forth Worth</t>
  </si>
  <si>
    <t>(817) 237-2758</t>
  </si>
  <si>
    <t>info@lfwired.org</t>
  </si>
  <si>
    <t>lfwired.org</t>
  </si>
  <si>
    <t>American</t>
  </si>
  <si>
    <t>Frank Briggs|Bobby Cullen|Dan Morris</t>
  </si>
  <si>
    <t>Prospective members have been adequately prepared for membership|Church name is incorporated under state law|Church has its own EIN|Church has elected its own local BOA|Church has developed a mission statement that is in harmony with the denomination|Church has adopted by-laws in accordance with denominational and state laws|Church is insured</t>
  </si>
  <si>
    <t>https://www.formstack.com/admin/download/file/13628882167</t>
  </si>
  <si>
    <t>https://www.formstack.com/admin/download/file/13628882170</t>
  </si>
  <si>
    <t>Lighthouse is a transfer from the United Methodist Church, therefore they are not obligated to have the trust clause in their building documents.||It would not allow me to enter their EIN above 88-1420210||</t>
  </si>
  <si>
    <t>Chrome 107.0.0.0 / Windows</t>
  </si>
  <si>
    <t>David</t>
  </si>
  <si>
    <t>Luke</t>
  </si>
  <si>
    <t>(517) 688-3783</t>
  </si>
  <si>
    <t>dave@somersetbeach.org</t>
  </si>
  <si>
    <t>Updated Church Information</t>
  </si>
  <si>
    <t>Somerset Beach Fellowship-A Free Methodist Congregation</t>
  </si>
  <si>
    <t>Somerset Beach FMC</t>
  </si>
  <si>
    <t>61-1513419</t>
  </si>
  <si>
    <t>9822 Brooklawn Court</t>
  </si>
  <si>
    <t>Somerset Center</t>
  </si>
  <si>
    <t>MI</t>
  </si>
  <si>
    <t>United States</t>
  </si>
  <si>
    <t>PO Box 307</t>
  </si>
  <si>
    <t>Other: Other</t>
  </si>
  <si>
    <t>English</t>
  </si>
  <si>
    <t>David Luke|Neil Bendixen|Bob Bolton-retired</t>
  </si>
  <si>
    <t>Brotherhood Mutual</t>
  </si>
  <si>
    <t>Chrome 106.0.0.0 / Windows</t>
  </si>
  <si>
    <t>204.106.251.234</t>
  </si>
  <si>
    <t>41.8605, -85.1829</t>
  </si>
  <si>
    <t>Mark</t>
  </si>
  <si>
    <t>Cryderman</t>
  </si>
  <si>
    <t>(248) 649-1465</t>
  </si>
  <si>
    <t>office@stonehavenfmc.org</t>
  </si>
  <si>
    <t>800822625</t>
  </si>
  <si>
    <t>www.stonehavenfmc.org</t>
  </si>
  <si>
    <t>Caucasian</t>
  </si>
  <si>
    <t>68.36.57.163</t>
  </si>
  <si>
    <t>42.518, -83.1576</t>
  </si>
  <si>
    <t>Alan</t>
  </si>
  <si>
    <t>Hinson</t>
  </si>
  <si>
    <t>(208) 597-0504</t>
  </si>
  <si>
    <t>pastoralanhinson@gmail.com</t>
  </si>
  <si>
    <t>Springs of Living Water Free Methodist Church, Inc</t>
  </si>
  <si>
    <t>Springs of Living Water</t>
  </si>
  <si>
    <t>82-0377527</t>
  </si>
  <si>
    <t>6957 Labrosse Hill St</t>
  </si>
  <si>
    <t>Bonners Ferry</t>
  </si>
  <si>
    <t>ID</t>
  </si>
  <si>
    <t>P O Box 1328</t>
  </si>
  <si>
    <t>Other: Post Office Box</t>
  </si>
  <si>
    <t>(208) 267-2513</t>
  </si>
  <si>
    <t>www.bonnersferryfmc.com</t>
  </si>
  <si>
    <t>50.37.129.240</t>
  </si>
  <si>
    <t>48.3148, -116.5291</t>
  </si>
  <si>
    <t>Tammy</t>
  </si>
  <si>
    <t>Girard</t>
  </si>
  <si>
    <t>(785) 871-2383</t>
  </si>
  <si>
    <t>girard@ruraltel.net</t>
  </si>
  <si>
    <t>180 Great Plains</t>
  </si>
  <si>
    <t>Logan Free Methodist Church</t>
  </si>
  <si>
    <t>Jack</t>
  </si>
  <si>
    <t>Droste</t>
  </si>
  <si>
    <t>48-0929699</t>
  </si>
  <si>
    <t>303 W Church Street</t>
  </si>
  <si>
    <t>PO Box 303</t>
  </si>
  <si>
    <t>Logan</t>
  </si>
  <si>
    <t>KS</t>
  </si>
  <si>
    <t>67646</t>
  </si>
  <si>
    <t>(785) 689-4351</t>
  </si>
  <si>
    <t>loganumc@ruraltel.net</t>
  </si>
  <si>
    <t>n/a</t>
  </si>
  <si>
    <t>Email address will change once Pastor Jack gets here.   We do have a Facebook Page, Logan FMC.  The date for the first church service is when we became an affiliate.  As far as the first date for this church building, that would be long, long ago &amp; I do not have that date available.  The Secretary of State shows us as a Kansas not for Profit Corporation, so not sure if that answers the incorporation question or not.||If you need clarification on anything, please let me know.</t>
  </si>
  <si>
    <t>8.36.249.191</t>
  </si>
  <si>
    <t>38.3936, -98.7803</t>
  </si>
  <si>
    <t>James</t>
  </si>
  <si>
    <t>Leman</t>
  </si>
  <si>
    <t>(509) 327-9122</t>
  </si>
  <si>
    <t>james.leman@spokanefirst.church</t>
  </si>
  <si>
    <t>First Church</t>
  </si>
  <si>
    <t>91-1184951</t>
  </si>
  <si>
    <t>1725 W. Courtland Ave.</t>
  </si>
  <si>
    <t>Spokane</t>
  </si>
  <si>
    <t>PO Box 9999</t>
  </si>
  <si>
    <t>Other: PO BOX</t>
  </si>
  <si>
    <t>office@spokanefirst.church</t>
  </si>
  <si>
    <t>www.spokanefirst.church</t>
  </si>
  <si>
    <t xml:space="preserve">Caucasian </t>
  </si>
  <si>
    <t>Jason Armstrong|Alaina Zemke|Connie Pittman</t>
  </si>
  <si>
    <t>Not at this time.  Sorry it took so long for this form to be completed!  I (sr. pastor) was on sabbatical, and my admin resigned and moves to another state!</t>
  </si>
  <si>
    <t>Safari 16.0 / OS X</t>
  </si>
  <si>
    <t>73.225.217.120</t>
  </si>
  <si>
    <t>47.7345, -117.447</t>
  </si>
  <si>
    <t>Denise</t>
  </si>
  <si>
    <t>Abston</t>
  </si>
  <si>
    <t>(405) 816-7107</t>
  </si>
  <si>
    <t>cndabston@aol.com</t>
  </si>
  <si>
    <t>280 Mid-America</t>
  </si>
  <si>
    <t>Grace Community Church</t>
  </si>
  <si>
    <t>Vicki</t>
  </si>
  <si>
    <t>Coons</t>
  </si>
  <si>
    <t>61-2005820</t>
  </si>
  <si>
    <t>P.O. Box 375</t>
  </si>
  <si>
    <t>Buffalo</t>
  </si>
  <si>
    <t>65622</t>
  </si>
  <si>
    <t>1652 S. Ash Street</t>
  </si>
  <si>
    <t>(417) 345-6777</t>
  </si>
  <si>
    <t>vcoons@gmail.com</t>
  </si>
  <si>
    <t>https://gracecommunitychurch13.godaddysites.com/</t>
  </si>
  <si>
    <t xml:space="preserve">Missouri does not require non-profit religious entities to be incorporated. In fact, they prefer they would not file for incorporation. </t>
  </si>
  <si>
    <t>174.78.84.72</t>
  </si>
  <si>
    <t>35.5189, -97.5354</t>
  </si>
  <si>
    <t>Jon</t>
  </si>
  <si>
    <t>Swanson</t>
  </si>
  <si>
    <t>(425) 750-0104</t>
  </si>
  <si>
    <t>jon@reachfmc.com</t>
  </si>
  <si>
    <t>400 Reach</t>
  </si>
  <si>
    <t>400180 Long Beach, Light &amp; Life Ch Fellowship - North</t>
  </si>
  <si>
    <t>400137 Inglewood, Destiny Church CPP</t>
  </si>
  <si>
    <t xml:space="preserve">Long Beach, Light &amp; Life Ch Fellowship-North </t>
  </si>
  <si>
    <t>5951 Downey Ave</t>
  </si>
  <si>
    <t>Long Beach</t>
  </si>
  <si>
    <t>Sean/ Joel</t>
  </si>
  <si>
    <t>Fenner/ Silva</t>
  </si>
  <si>
    <t>Conference BOA has approved of merger</t>
  </si>
  <si>
    <t>https://www.formstack.com/admin/download/file/13685677482</t>
  </si>
  <si>
    <t>Destiny Church move to become a campus/ alternate service for Light and Life at the time that Light and Life Long Beach left Southern Ca Conference and joined Reach. ||</t>
  </si>
  <si>
    <t>75.115.242.102</t>
  </si>
  <si>
    <t>27.9611, -81.9398</t>
  </si>
  <si>
    <t>Peggy</t>
  </si>
  <si>
    <t>Riley</t>
  </si>
  <si>
    <t>(407) 963-2485</t>
  </si>
  <si>
    <t>priley661@gmail.com</t>
  </si>
  <si>
    <t>340 Southeast Region</t>
  </si>
  <si>
    <t>Deaf Church Online</t>
  </si>
  <si>
    <t>Sarah</t>
  </si>
  <si>
    <t>Harris</t>
  </si>
  <si>
    <t>DeafPastorSarah@gmail.com</t>
  </si>
  <si>
    <t>35.142.49.127</t>
  </si>
  <si>
    <t>28.0331, -81.9391</t>
  </si>
  <si>
    <t>Marlene</t>
  </si>
  <si>
    <t>McRoberts</t>
  </si>
  <si>
    <t>(878) 207-2937</t>
  </si>
  <si>
    <t>pghfmc@gmail.com</t>
  </si>
  <si>
    <t>330 The Harvest</t>
  </si>
  <si>
    <t>330449</t>
  </si>
  <si>
    <t>Adam</t>
  </si>
  <si>
    <t>Stuck</t>
  </si>
  <si>
    <t>https://www.formstack.com/admin/download/file/13784485041</t>
  </si>
  <si>
    <t>This was a church plant. It has been put on hold (see BOA minutes)</t>
  </si>
  <si>
    <t>These was a church plant. It did not have any account or funds of it's own.</t>
  </si>
  <si>
    <t>24.3.9.222</t>
  </si>
  <si>
    <t>40.7156, -80.2601</t>
  </si>
  <si>
    <t>John</t>
  </si>
  <si>
    <t>Churchill</t>
  </si>
  <si>
    <t>(509) 619-5940</t>
  </si>
  <si>
    <t>john.churchill@foundationfmc.org</t>
  </si>
  <si>
    <t>250 North Michigan</t>
  </si>
  <si>
    <t>Foundation Free Methodist Church</t>
  </si>
  <si>
    <t>Foundation</t>
  </si>
  <si>
    <t>Lifestream FMC</t>
  </si>
  <si>
    <t>5645 Eastern ave SE</t>
  </si>
  <si>
    <t>Kentwood</t>
  </si>
  <si>
    <t>49508</t>
  </si>
  <si>
    <t>Foundationfmc.org</t>
  </si>
  <si>
    <t>Jennifer Churchill|Terri Hanson</t>
  </si>
  <si>
    <t>Mobile Safari 15.1 / iOS</t>
  </si>
  <si>
    <t>68.46.169.9</t>
  </si>
  <si>
    <t>42.8899, -85.6148</t>
  </si>
  <si>
    <t>Pastor Alvaro</t>
  </si>
  <si>
    <t>Torres</t>
  </si>
  <si>
    <t>(405) 464-4078</t>
  </si>
  <si>
    <t>odresnuevosokc@gmail.com</t>
  </si>
  <si>
    <t>Odres Nuevos Church</t>
  </si>
  <si>
    <t>Odres Nuevos \ New wineskins</t>
  </si>
  <si>
    <t>Alvaro</t>
  </si>
  <si>
    <t>10268900-02</t>
  </si>
  <si>
    <t>328 SW 25th Street</t>
  </si>
  <si>
    <t>3040 SW 37th Street</t>
  </si>
  <si>
    <t>Oklahoma City</t>
  </si>
  <si>
    <t>OK</t>
  </si>
  <si>
    <t>73109</t>
  </si>
  <si>
    <t>Hispanic</t>
  </si>
  <si>
    <t xml:space="preserve">Veronica Torres |Amy Kesser </t>
  </si>
  <si>
    <t>Mobile Safari / iOS</t>
  </si>
  <si>
    <t>68.12.128.143</t>
  </si>
  <si>
    <t>35.4884, -97.5706</t>
  </si>
  <si>
    <t>Beshai</t>
  </si>
  <si>
    <t>(248) 953-9319</t>
  </si>
  <si>
    <t>beshaijohn@yahoo.com</t>
  </si>
  <si>
    <t>000</t>
  </si>
  <si>
    <t xml:space="preserve">Light and life Arabic free Methodist church </t>
  </si>
  <si>
    <t>04-14-2003</t>
  </si>
  <si>
    <t xml:space="preserve">Light and life Arabic FMC </t>
  </si>
  <si>
    <t>03-0556473</t>
  </si>
  <si>
    <t>45504 Cass Ave</t>
  </si>
  <si>
    <t>Utica</t>
  </si>
  <si>
    <t>N/A</t>
  </si>
  <si>
    <t>(248) 879-8808</t>
  </si>
  <si>
    <t xml:space="preserve">Lightlifechurch/ Facebook </t>
  </si>
  <si>
    <t xml:space="preserve">Arabic </t>
  </si>
  <si>
    <t>Mobile Safari 16.1 / iOS</t>
  </si>
  <si>
    <t>24.127.62.4</t>
  </si>
  <si>
    <t>42.7264, -83.1599</t>
  </si>
  <si>
    <t>Carl</t>
  </si>
  <si>
    <t>Brannon</t>
  </si>
  <si>
    <t>(847) 691-8004</t>
  </si>
  <si>
    <t>carlbrannon@nccfmc.org</t>
  </si>
  <si>
    <t>405</t>
  </si>
  <si>
    <t>Local Church's Society has voted to close|Conference BOA has voted to close this church</t>
  </si>
  <si>
    <t>https://www.formstack.com/admin/download/file/13825512233</t>
  </si>
  <si>
    <t>https://www.formstack.com/admin/download/file/13825512234</t>
  </si>
  <si>
    <t xml:space="preserve">Property was sold.  Proceeds will cover a portion, but will not be sufficient for the total amount owed to the conference loan fund.  Once all closing and repair costs are covered the remainder will be returned to the Loan Fund. </t>
  </si>
  <si>
    <t xml:space="preserve">Minimal funds were left in their accounts.  The BOA voted to allow them to keep these funds as an act of grace toward the congregation which was largely led astray by someone they had requested as a supply pastor.  ||The congregation was made up of approximately 10, predominantly elderly folks who were very weary with the burden of the building debt.  They had voted in February to sell the building to eliminate the debt, and upon the sale the ""supply pastor"" convinced them the conference was no longer a benefit to them. ||Supt. Brannon was able to reach out to the two primary leadership couples and ended our relationship amicably and with understanding.  This was part of the reason we allowed them to keep their bank account with the small balance they held. </t>
  </si>
  <si>
    <t xml:space="preserve">It was not clear if the church had a current EIN.  They were unable to locate anything up to date.  ||Additional explanation is given above. </t>
  </si>
  <si>
    <t>Chrome 107.0.0.0 / OS X</t>
  </si>
  <si>
    <t>66.168.65.106</t>
  </si>
  <si>
    <t>42.8374, -89.068</t>
  </si>
  <si>
    <t>Flint</t>
  </si>
  <si>
    <t>(419) 777-4646</t>
  </si>
  <si>
    <t>ashley.fmcohio@gmail.com</t>
  </si>
  <si>
    <t>260 Ohio</t>
  </si>
  <si>
    <t>260432</t>
  </si>
  <si>
    <t>Kris</t>
  </si>
  <si>
    <t>Shepherd</t>
  </si>
  <si>
    <t>Randi Shepherd also awaiting appointment</t>
  </si>
  <si>
    <t>There is no church property</t>
  </si>
  <si>
    <t>They are working to figure out how to disburse the funds to serve the community.</t>
  </si>
  <si>
    <t>EIN will be closed</t>
  </si>
  <si>
    <t>Chrome 108.0.0.0 / Windows</t>
  </si>
  <si>
    <t>74.140.32.105</t>
  </si>
  <si>
    <t>40.2459, -83.3603</t>
  </si>
  <si>
    <t>Karen</t>
  </si>
  <si>
    <t>Burt</t>
  </si>
  <si>
    <t>(810) 687-8879</t>
  </si>
  <si>
    <t>karen@emcfree.org</t>
  </si>
  <si>
    <t>090 East Michigan</t>
  </si>
  <si>
    <t>090280</t>
  </si>
  <si>
    <t>Thomas</t>
  </si>
  <si>
    <t>Saunders Jr.</t>
  </si>
  <si>
    <t>Local Church's BOA has voted to close|Local Church's Society has voted to close|Conference BOA has voted to close this church</t>
  </si>
  <si>
    <t>https://www.formstack.com/admin/download/file/13875680673</t>
  </si>
  <si>
    <t>https://www.formstack.com/admin/download/file/13875680676</t>
  </si>
  <si>
    <t>https://www.formstack.com/admin/download/file/13875680678</t>
  </si>
  <si>
    <t>Retired</t>
  </si>
  <si>
    <t>Spirit of Victory Ministries will begin meeting in this location/building on 01/01/2023. They are working with the denomination and superintendents through the process to affiliate with the Free Methodist Church and eventually become a FM society.</t>
  </si>
  <si>
    <t>No church funds remain. The conference office has assisted with final bills being paid.</t>
  </si>
  <si>
    <t>The church building and parsonage are in the ownership of the East Michigan Conference and will be added to the conference insurance policy.</t>
  </si>
  <si>
    <t>50.241.213.214</t>
  </si>
  <si>
    <t>42.2807, -83.7801</t>
  </si>
  <si>
    <t>Gyselle</t>
  </si>
  <si>
    <t>Olivio</t>
  </si>
  <si>
    <t>(973) 980-9040</t>
  </si>
  <si>
    <t>gyselle.olivio@acts1224churches.com</t>
  </si>
  <si>
    <t>Agape FMC</t>
  </si>
  <si>
    <t>Alonda</t>
  </si>
  <si>
    <t>Amuri</t>
  </si>
  <si>
    <t>No, operating under Conference EIN</t>
  </si>
  <si>
    <t>Acts12:24 Churches</t>
  </si>
  <si>
    <t>527 Crowmoor St NW</t>
  </si>
  <si>
    <t>Roanoke</t>
  </si>
  <si>
    <t>VA</t>
  </si>
  <si>
    <t>24017</t>
  </si>
  <si>
    <t>(540) 541-8847</t>
  </si>
  <si>
    <t>rashidichristopher@gmail.com</t>
  </si>
  <si>
    <t>Central African</t>
  </si>
  <si>
    <t>Christopher Rashidi</t>
  </si>
  <si>
    <t>68.134.249.54</t>
  </si>
  <si>
    <t>39.5372, -76.3605</t>
  </si>
  <si>
    <t>New Creation Nepali FMC</t>
  </si>
  <si>
    <t>Abraham</t>
  </si>
  <si>
    <t>Dahal</t>
  </si>
  <si>
    <t>Acts 12:24 Churches</t>
  </si>
  <si>
    <t>1352 Slate Hill</t>
  </si>
  <si>
    <t>17011</t>
  </si>
  <si>
    <t>(678) 768-3280</t>
  </si>
  <si>
    <t>newcreationnepalichurch2019@gmail.com</t>
  </si>
  <si>
    <t>Hindu</t>
  </si>
  <si>
    <t>Fullerton Free Community Church</t>
  </si>
  <si>
    <t>Mike</t>
  </si>
  <si>
    <t>Kuczmynda</t>
  </si>
  <si>
    <t>Acts 1224 Churches</t>
  </si>
  <si>
    <t>218 Elinor Ave.</t>
  </si>
  <si>
    <t>Baltimore</t>
  </si>
  <si>
    <t>MD</t>
  </si>
  <si>
    <t>21236</t>
  </si>
  <si>
    <t>(410) 860-9741</t>
  </si>
  <si>
    <t>mkuczmynda@gmail.com</t>
  </si>
  <si>
    <t>Allyson Kuczmynda</t>
  </si>
  <si>
    <t>Iglesia Evangelica Trono de Gloria</t>
  </si>
  <si>
    <t>Marino</t>
  </si>
  <si>
    <t>Martinez</t>
  </si>
  <si>
    <t>4010 Glengyle Ave.</t>
  </si>
  <si>
    <t>21215</t>
  </si>
  <si>
    <t>(443) 447-1002</t>
  </si>
  <si>
    <t>office@acts1224churches.com</t>
  </si>
  <si>
    <t>The River FMC</t>
  </si>
  <si>
    <t>Kayleigh</t>
  </si>
  <si>
    <t>Clark</t>
  </si>
  <si>
    <t>86-3111426</t>
  </si>
  <si>
    <t>33 N Philadelphia Blvd</t>
  </si>
  <si>
    <t>Aberdeen</t>
  </si>
  <si>
    <t>21001</t>
  </si>
  <si>
    <t>217 N Washington st</t>
  </si>
  <si>
    <t>Havre de Grace</t>
  </si>
  <si>
    <t>21078</t>
  </si>
  <si>
    <t>(585) 773-2937</t>
  </si>
  <si>
    <t>pastorkayleigh@gmail.com</t>
  </si>
  <si>
    <t>Christian Faith Fellowship</t>
  </si>
  <si>
    <t>Nixon</t>
  </si>
  <si>
    <t>Cesar</t>
  </si>
  <si>
    <t>3208 Central Ave,</t>
  </si>
  <si>
    <t>Fort Myers</t>
  </si>
  <si>
    <t>FL</t>
  </si>
  <si>
    <t>33901</t>
  </si>
  <si>
    <t>3208 Central Ave, Fort Myers FL 33901</t>
  </si>
  <si>
    <t>(239) 936-1054</t>
  </si>
  <si>
    <t>nixon.cesar@gmail.com</t>
  </si>
  <si>
    <t>Haitian</t>
  </si>
  <si>
    <t>No.</t>
  </si>
  <si>
    <t>Risen Refuge FMC</t>
  </si>
  <si>
    <t>Under Regional</t>
  </si>
  <si>
    <t>Superintendent</t>
  </si>
  <si>
    <t>874653667</t>
  </si>
  <si>
    <t>355 Fairmount Ave</t>
  </si>
  <si>
    <t>Jersey City</t>
  </si>
  <si>
    <t>NJ</t>
  </si>
  <si>
    <t>07306</t>
  </si>
  <si>
    <t>(980) 500-7743</t>
  </si>
  <si>
    <t>mina.kgabriel@gmail.com</t>
  </si>
  <si>
    <t xml:space="preserve">Middle Eastern </t>
  </si>
  <si>
    <t>Iglesia Metodista Livre de Perth Amboy</t>
  </si>
  <si>
    <t xml:space="preserve">IML Sublime Gracia </t>
  </si>
  <si>
    <t>Jose Francisco</t>
  </si>
  <si>
    <t>Tapia</t>
  </si>
  <si>
    <t>253 New Brunswick Ave</t>
  </si>
  <si>
    <t>Perth Amboy</t>
  </si>
  <si>
    <t>08861</t>
  </si>
  <si>
    <t>(732) 857-9075</t>
  </si>
  <si>
    <t>jfrt1970@gmail.com</t>
  </si>
  <si>
    <t>Arbol de Vida FMC</t>
  </si>
  <si>
    <t>Carlixta</t>
  </si>
  <si>
    <t>Dominguez Romero</t>
  </si>
  <si>
    <t>2356 University Ave</t>
  </si>
  <si>
    <t>Bronx</t>
  </si>
  <si>
    <t>NY</t>
  </si>
  <si>
    <t>46810</t>
  </si>
  <si>
    <t>(646) 323-8191</t>
  </si>
  <si>
    <t>romersbarber@hotmail.com</t>
  </si>
  <si>
    <t>Barb</t>
  </si>
  <si>
    <t>Heintzman</t>
  </si>
  <si>
    <t>office@emcfree.org</t>
  </si>
  <si>
    <t>Spirit of Victory Ministries, Inc</t>
  </si>
  <si>
    <t>Spirit of Victory</t>
  </si>
  <si>
    <t>Janard</t>
  </si>
  <si>
    <t>Lakes</t>
  </si>
  <si>
    <t>83-2424529</t>
  </si>
  <si>
    <t>3397 Windland Dr</t>
  </si>
  <si>
    <t>48433</t>
  </si>
  <si>
    <t>48504</t>
  </si>
  <si>
    <t>(810) 449-5198</t>
  </si>
  <si>
    <t>tiyako1975@yahoo.com</t>
  </si>
  <si>
    <t>www.sov.com</t>
  </si>
  <si>
    <t>African American</t>
  </si>
  <si>
    <t>42.408, -83.4934</t>
  </si>
  <si>
    <t>Diane</t>
  </si>
  <si>
    <t>(918) 313-4399</t>
  </si>
  <si>
    <t>jesusgotitall@yahoo.com</t>
  </si>
  <si>
    <t>The Lord's Flock Outreach Ministries</t>
  </si>
  <si>
    <t>harris</t>
  </si>
  <si>
    <t>86-3810248</t>
  </si>
  <si>
    <t>463 S Hudson Ave</t>
  </si>
  <si>
    <t>Tulsa</t>
  </si>
  <si>
    <t>74112</t>
  </si>
  <si>
    <t>(918) 906-3167</t>
  </si>
  <si>
    <t>thelordsflockoutreachministries@gmail.com</t>
  </si>
  <si>
    <t>All</t>
  </si>
  <si>
    <t>Beactrice ""BJ"" Deffebaugh</t>
  </si>
  <si>
    <t>Safari 15.5 / OS X</t>
  </si>
  <si>
    <t>68.0.76.104</t>
  </si>
  <si>
    <t>36.013, -95.9767</t>
  </si>
  <si>
    <t>Lee</t>
  </si>
  <si>
    <t>(615) 670-3392</t>
  </si>
  <si>
    <t>johnlee@gallatinfmc.com</t>
  </si>
  <si>
    <t>190 New South</t>
  </si>
  <si>
    <t>First Free Methodist Church</t>
  </si>
  <si>
    <t>Gallatin Free methodist Church</t>
  </si>
  <si>
    <t>62-1192012</t>
  </si>
  <si>
    <t>568 North Water Ave.</t>
  </si>
  <si>
    <t>Gallatin</t>
  </si>
  <si>
    <t>TN</t>
  </si>
  <si>
    <t>(615) 461-8694</t>
  </si>
  <si>
    <t>treasurer@gallatinfmc.com</t>
  </si>
  <si>
    <t>www.gallatinfmc.com</t>
  </si>
  <si>
    <t>Safari 16.2 / OS X</t>
  </si>
  <si>
    <t>24.11.238.198</t>
  </si>
  <si>
    <t>36.4566, -86.6638</t>
  </si>
  <si>
    <t xml:space="preserve">Outreach United Church </t>
  </si>
  <si>
    <t>Outreach United Game Church</t>
  </si>
  <si>
    <t>Hanigar</t>
  </si>
  <si>
    <t>Outreach United Church (280266)</t>
  </si>
  <si>
    <t>37210 Clearpond Road</t>
  </si>
  <si>
    <t>Shawnee</t>
  </si>
  <si>
    <t>74801</t>
  </si>
  <si>
    <t>6500 E. Reno</t>
  </si>
  <si>
    <t>Midwest City</t>
  </si>
  <si>
    <t>73110</t>
  </si>
  <si>
    <t>(405) 265-6557</t>
  </si>
  <si>
    <t>davidh@outreachunited.church</t>
  </si>
  <si>
    <t>outreachunited.church</t>
  </si>
  <si>
    <t>Diverse:  African American, Caucasian, Native American and impoverished</t>
  </si>
  <si>
    <t xml:space="preserve">The church sometimes meets at the home of a couple. This is not a traditional church. </t>
  </si>
  <si>
    <t>Chrome 109.0.0.0 / Windows</t>
  </si>
  <si>
    <t>Carol</t>
  </si>
  <si>
    <t>Hart</t>
  </si>
  <si>
    <t>(626) 594-5950</t>
  </si>
  <si>
    <t>chart@fmcsc.org</t>
  </si>
  <si>
    <t>360 Southern California</t>
  </si>
  <si>
    <t>Revolution Church - A Free Methodist Ministry</t>
  </si>
  <si>
    <t>Revolution Church</t>
  </si>
  <si>
    <t>Kimberly</t>
  </si>
  <si>
    <t>Hitt</t>
  </si>
  <si>
    <t>92-1750869</t>
  </si>
  <si>
    <t>27475 Ynez Rd, #734</t>
  </si>
  <si>
    <t>Temecula</t>
  </si>
  <si>
    <t>92591</t>
  </si>
  <si>
    <t>Other: FMCSC Conference address</t>
  </si>
  <si>
    <t>1506 Central Ave</t>
  </si>
  <si>
    <t>Fullerton</t>
  </si>
  <si>
    <t>92831</t>
  </si>
  <si>
    <t>(714) 213-0895</t>
  </si>
  <si>
    <t>kimhittworship@gmail.com</t>
  </si>
  <si>
    <t>None.</t>
  </si>
  <si>
    <t>CPP / EMP</t>
  </si>
  <si>
    <t>EIN just received recently, thus the delay in sending in this form!|They are currently meeting in Kim's home in Fullerton, but they are looking for something more permanent.|Kim is interviewing for CMC in the next month or so and then she will be appointed to Revolution Church at Annual Conference.|I believe they have insurance already, but I'm checking on that.</t>
  </si>
  <si>
    <t>Chrome 103.0.0.0 / OS X</t>
  </si>
  <si>
    <t>138.229.253.175</t>
  </si>
  <si>
    <t>34.1473, -118.1446</t>
  </si>
  <si>
    <t>Kingdom Cathedral - A Free Methodist Ministry</t>
  </si>
  <si>
    <t>Kingdom Cathedral</t>
  </si>
  <si>
    <t>E. Kenneth</t>
  </si>
  <si>
    <t>Martin</t>
  </si>
  <si>
    <t>92-2126165</t>
  </si>
  <si>
    <t>2617 Fremontia Dr</t>
  </si>
  <si>
    <t>San Bernardino</t>
  </si>
  <si>
    <t>92404</t>
  </si>
  <si>
    <t>Perris Hill Park</t>
  </si>
  <si>
    <t>1135 E Highland Ave</t>
  </si>
  <si>
    <t>92408</t>
  </si>
  <si>
    <t>(240) 461-4039</t>
  </si>
  <si>
    <t>stellakenny86@gmail.com</t>
  </si>
  <si>
    <t>Estelle Martin</t>
  </si>
  <si>
    <t>Insurance is being worked on. |The email address listed is for Estelle Martin, so it's not an ""official"" church email address.|They will hold worship services in the park on Sundays, but will use their home for discipleship and ministry, and their administrative office. (Please use the park address for the church finder tool on the FMCUSA website.)|March 1st is their official launch date, although I believe their appointment to this CPP will be effective as of Jan. 1, 2023.</t>
  </si>
  <si>
    <t>HubCity Church</t>
  </si>
  <si>
    <t>Hub City Church</t>
  </si>
  <si>
    <t>Christopher</t>
  </si>
  <si>
    <t>Kaufman</t>
  </si>
  <si>
    <t xml:space="preserve">92-2177515 </t>
  </si>
  <si>
    <t>Pendleton, Creekside Church</t>
  </si>
  <si>
    <t>PO Box 1469</t>
  </si>
  <si>
    <t>La Grande</t>
  </si>
  <si>
    <t>OR</t>
  </si>
  <si>
    <t>97850</t>
  </si>
  <si>
    <t>1108 I Ave</t>
  </si>
  <si>
    <t>(734) 645-1200</t>
  </si>
  <si>
    <t>chris@hubcitylagrande.com</t>
  </si>
  <si>
    <t xml:space="preserve">https://hubcitylagrande.com </t>
  </si>
  <si>
    <t>Chrome 110.0.0.0 / Windows</t>
  </si>
  <si>
    <t>Cindy</t>
  </si>
  <si>
    <t>Bullock</t>
  </si>
  <si>
    <t>(231) 559-0218</t>
  </si>
  <si>
    <t>northmiconference@gmail.com</t>
  </si>
  <si>
    <t>250590</t>
  </si>
  <si>
    <t>Jim</t>
  </si>
  <si>
    <t>Tol</t>
  </si>
  <si>
    <t>https://www.formstack.com/admin/download/file/14226665369</t>
  </si>
  <si>
    <t>Other: I do not know</t>
  </si>
  <si>
    <t>The church property is now under the MVP (Multiplication, Vitalization, and Planting) umbrella of the North Michigan Conference.  This group will make the decisions regarding its use.</t>
  </si>
  <si>
    <t>Monies from the church should be transferred to the MVP account and all expenses handled from there.</t>
  </si>
  <si>
    <t>Other: Did not realize that EIN numbers were to close.  I'm assuming it will remain open for now.</t>
  </si>
  <si>
    <t>The insurance policy is being revised to include building liability only.</t>
  </si>
  <si>
    <t>47.225.42.119</t>
  </si>
  <si>
    <t>44.2504, -85.43</t>
  </si>
  <si>
    <t>Tina</t>
  </si>
  <si>
    <t>Phillips</t>
  </si>
  <si>
    <t>(814) 598-3079</t>
  </si>
  <si>
    <t>t.phillips@srcfmc.com</t>
  </si>
  <si>
    <t>Pathway Community Church FMC Inc</t>
  </si>
  <si>
    <t>Anja</t>
  </si>
  <si>
    <t>Staten</t>
  </si>
  <si>
    <t>92-0348783</t>
  </si>
  <si>
    <t>8732 Commonwealth Ct</t>
  </si>
  <si>
    <t>Midland</t>
  </si>
  <si>
    <t>GA</t>
  </si>
  <si>
    <t>31820</t>
  </si>
  <si>
    <t>8732 Commonwealth Court</t>
  </si>
  <si>
    <t>(312) 613-5802</t>
  </si>
  <si>
    <t>pathway.community.fmc@gmail.com</t>
  </si>
  <si>
    <t>working on one at this time</t>
  </si>
  <si>
    <t xml:space="preserve">This is a Home Church plant that has just started.  </t>
  </si>
  <si>
    <t>73.27.46.224</t>
  </si>
  <si>
    <t>26.9372, -82.2386</t>
  </si>
  <si>
    <t>360100</t>
  </si>
  <si>
    <t>Goss</t>
  </si>
  <si>
    <t>Awaiting Appointment|Other: Senior pastor stepped down effective 12/31/22; new appointment is pending but likely leave of absence.</t>
  </si>
  <si>
    <t>The church met at a park. I believe chairs and miscellaneous items may be going to the Santa Barbara church.</t>
  </si>
  <si>
    <t>Our finance team is following up to find out if there were remaining funds.</t>
  </si>
  <si>
    <t>Liability insurance will be cancelled.||The pastor made the decision to step down effective 12/31/22,  The society was very small and the members made the decision to NOT keep going. Many were relatives of the the pastor. With no pastor and no members wanting to continue, the society was closed.</t>
  </si>
  <si>
    <t>Chrome 109.0.0.0 / OS X</t>
  </si>
  <si>
    <t>360055</t>
  </si>
  <si>
    <t>J. Alberto</t>
  </si>
  <si>
    <t>Quintanilla</t>
  </si>
  <si>
    <t>Local Church's Society has voted to close</t>
  </si>
  <si>
    <t>https://www.formstack.com/admin/download/file/14240331165</t>
  </si>
  <si>
    <t>Other: Withdrawn from the Conference and Denomination - parchments turned in.</t>
  </si>
  <si>
    <t>Manuel Lopez - CMC - will be discontinued</t>
  </si>
  <si>
    <t>They were renting a non-FM facility.</t>
  </si>
  <si>
    <t>Unknown</t>
  </si>
  <si>
    <t>Remaining open for withdrawn church</t>
  </si>
  <si>
    <t>Since receiving the ""exit letter"" in July, our Supt and Supt for Hispanic Ministries have been trying to contact the pastor, the CMC on staff,  the delegate, etc.   There was very little response from anyone. In December the senior pastor agreed to meet in person, but then his parchment was mailed to us and there was no meeting.  So they haven't been a part of our conference since July even though we were trying to get a clearer picture of what happened all the way into Dec. 2022.</t>
  </si>
  <si>
    <t>Thuy</t>
  </si>
  <si>
    <t>rees</t>
  </si>
  <si>
    <t>(360) 659-7117</t>
  </si>
  <si>
    <t>hello@rockcreek.online</t>
  </si>
  <si>
    <t>Marysville Free Methodist Church</t>
  </si>
  <si>
    <t>RockCreek Church</t>
  </si>
  <si>
    <t>Bryan</t>
  </si>
  <si>
    <t>Rees</t>
  </si>
  <si>
    <t xml:space="preserve"> 91-1232727</t>
  </si>
  <si>
    <t>6715 grove st</t>
  </si>
  <si>
    <t>marysville</t>
  </si>
  <si>
    <t>https://www.rockcreek.online</t>
  </si>
  <si>
    <t>Safari 16.3 / OS X</t>
  </si>
  <si>
    <t>24.17.121.150</t>
  </si>
  <si>
    <t>47.8388, -122.1985</t>
  </si>
  <si>
    <t>Mireya</t>
  </si>
  <si>
    <t>Terrero</t>
  </si>
  <si>
    <t>(817) 903-0346</t>
  </si>
  <si>
    <t>pastororlando@pastororlando.org</t>
  </si>
  <si>
    <t>Church Status Change</t>
  </si>
  <si>
    <t>Preaching Point</t>
  </si>
  <si>
    <t xml:space="preserve">Eglesia Inc. </t>
  </si>
  <si>
    <t>Orlando</t>
  </si>
  <si>
    <t>81-1429990</t>
  </si>
  <si>
    <t>PO BOX 963533</t>
  </si>
  <si>
    <t>El Paso</t>
  </si>
  <si>
    <t>79996</t>
  </si>
  <si>
    <t>12604 Paseo Rae</t>
  </si>
  <si>
    <t>79928</t>
  </si>
  <si>
    <t>(682) 292-8711</t>
  </si>
  <si>
    <t>https://pastororlando@pastororlando.org</t>
  </si>
  <si>
    <t>Spanish</t>
  </si>
  <si>
    <t>Pastor Mireya Ramirez de Terrero</t>
  </si>
  <si>
    <t xml:space="preserve">eGlesia is also an electronic church reaching tens of thousands via television and social networks. </t>
  </si>
  <si>
    <t>Mobile Safari 16.3 / iOS</t>
  </si>
  <si>
    <t>72.178.48.15</t>
  </si>
  <si>
    <t>31.7703, -106.3006</t>
  </si>
  <si>
    <t>390117</t>
  </si>
  <si>
    <t>Affiliate Church</t>
  </si>
  <si>
    <t xml:space="preserve">ANCHOR FELLOWSHIP CHURCH GRANBURY </t>
  </si>
  <si>
    <t>3200 Acton School Rd</t>
  </si>
  <si>
    <t>This was only a status change.</t>
  </si>
  <si>
    <t>Burns</t>
  </si>
  <si>
    <t xml:space="preserve">No property, church was CPP </t>
  </si>
  <si>
    <t>No funds</t>
  </si>
  <si>
    <t>Pastor taking a hiatus for personal reasons.</t>
  </si>
  <si>
    <t>Victory Fellowship Largo Inc</t>
  </si>
  <si>
    <t>Victory Fellowship</t>
  </si>
  <si>
    <t>Michael</t>
  </si>
  <si>
    <t>Carter</t>
  </si>
  <si>
    <t>883214658</t>
  </si>
  <si>
    <t>380 Fulton Dr SE</t>
  </si>
  <si>
    <t>Largo</t>
  </si>
  <si>
    <t>33771</t>
  </si>
  <si>
    <t>(813) 900-2948</t>
  </si>
  <si>
    <t>info@victoryfellowshiplargo.church</t>
  </si>
  <si>
    <t>Church is being set up for an official launch.</t>
  </si>
  <si>
    <t>Maggie</t>
  </si>
  <si>
    <t>Underwood</t>
  </si>
  <si>
    <t>(951) 821-1249</t>
  </si>
  <si>
    <t>maggie.underwood@fmcsc.org</t>
  </si>
  <si>
    <t>Los Angeles Iglesia Resplandece - A Free Methodist Ministry</t>
  </si>
  <si>
    <t>Guillermo</t>
  </si>
  <si>
    <t>Flores</t>
  </si>
  <si>
    <t>92-3571970</t>
  </si>
  <si>
    <t>Los Angeles Iglesia Resplandece</t>
  </si>
  <si>
    <t>27475 Ynez Rd. #734</t>
  </si>
  <si>
    <t>Other: Conference Mailing Address</t>
  </si>
  <si>
    <t>4871 S Centinela Ave</t>
  </si>
  <si>
    <t>Los Angeles</t>
  </si>
  <si>
    <t>90066</t>
  </si>
  <si>
    <t>(954) 888-8475</t>
  </si>
  <si>
    <t>kp8115f@gmail.com</t>
  </si>
  <si>
    <t>Ligia Bustamante Flores</t>
  </si>
  <si>
    <t>Pastors Guillermo Flores and Ligia Bustamante Flores will transfer from the Southeast Region at our Annual Conference on May 20, 2023. ||</t>
  </si>
  <si>
    <t>Chrome 112.0.0.0 / OS X</t>
  </si>
  <si>
    <t>47.149.70.192</t>
  </si>
  <si>
    <t>33.4948, -117.0954</t>
  </si>
  <si>
    <t>Anthony</t>
  </si>
  <si>
    <t>Schlegel</t>
  </si>
  <si>
    <t>(619) 339-2977</t>
  </si>
  <si>
    <t>tony@pacificlifechurch.org</t>
  </si>
  <si>
    <t>310 Pacific Coast Japanese</t>
  </si>
  <si>
    <t>Pacific Life Church</t>
  </si>
  <si>
    <t>Bombaci</t>
  </si>
  <si>
    <t>Merged FM Churches</t>
  </si>
  <si>
    <t>85-2606589</t>
  </si>
  <si>
    <t>2204 Garnet Ave.</t>
  </si>
  <si>
    <t>Suite 200</t>
  </si>
  <si>
    <t>San Diego</t>
  </si>
  <si>
    <t>92109</t>
  </si>
  <si>
    <t>Other: Church Offices</t>
  </si>
  <si>
    <t>4033 Ingraham St.</t>
  </si>
  <si>
    <t>(619) 318-4527</t>
  </si>
  <si>
    <t>steve@pacificlifechurch.org</t>
  </si>
  <si>
    <t>www.pacificlifechurch.org</t>
  </si>
  <si>
    <t>Anthony Schlegel - Associate Pastor|Sara Patrick - Community Life Pastor</t>
  </si>
  <si>
    <t>99.178.128.74</t>
  </si>
  <si>
    <t>32.8003, -117.2438</t>
  </si>
  <si>
    <t>Nancy</t>
  </si>
  <si>
    <t>Dunbar</t>
  </si>
  <si>
    <t>(503) 485-5110</t>
  </si>
  <si>
    <t>office@oregonfmc.com</t>
  </si>
  <si>
    <t>290 Oregon</t>
  </si>
  <si>
    <t>290310</t>
  </si>
  <si>
    <t>https://www.formstack.com/admin/download/file/14551668877</t>
  </si>
  <si>
    <t>Property is now used as the Eastside Collaboration Center and houses one FM Church Plant and rents to other churches outside the denomination.</t>
  </si>
  <si>
    <t>All remaining church funds were submitted to the conference for management of property needs.</t>
  </si>
  <si>
    <t>EIN will be closed|Other: It has been left open in the event that there might be a re-start, but this has not occurred.</t>
  </si>
  <si>
    <t>Chrome 112.0.0.0 / Windows</t>
  </si>
  <si>
    <t>96.65.210.57</t>
  </si>
  <si>
    <t>44.0991, -123.1371</t>
  </si>
  <si>
    <t>290236</t>
  </si>
  <si>
    <t>Hawk</t>
  </si>
  <si>
    <t>Larissa</t>
  </si>
  <si>
    <t>Reappointed</t>
  </si>
  <si>
    <t xml:space="preserve">Outside the Denomination to Trinity Academy. </t>
  </si>
  <si>
    <t>Teacher</t>
  </si>
  <si>
    <t>Andrew Hawk -- Appointed as Associate Pastor at Grace Christian Fellowship, 290320</t>
  </si>
  <si>
    <t xml:space="preserve">Charis CC continues as a ministry of the mother church, Grace Christian Fellowship(GCF), but is now considered 'closed' as a Church Plant as pertains to the Oregon Conference.  All of Charis's funds were managed through the mother church's financial sytem (GCF) and all remaining funds have been kept for management by the GCF BOA for this ministry or as they deem appropriate. </t>
  </si>
  <si>
    <t>""In Process"" above, simply means they were included under the mother church's insurance policy.</t>
  </si>
  <si>
    <t>New</t>
  </si>
  <si>
    <t>Judith</t>
  </si>
  <si>
    <t>Kinnick</t>
  </si>
  <si>
    <t>(317) 442-1631</t>
  </si>
  <si>
    <t>wabashfm@aol.com</t>
  </si>
  <si>
    <t>420 Wabash</t>
  </si>
  <si>
    <t>Martinsville Free Methodist Church</t>
  </si>
  <si>
    <t>Dan</t>
  </si>
  <si>
    <t>Ledley</t>
  </si>
  <si>
    <t>92-3715671</t>
  </si>
  <si>
    <t>P.O. 236</t>
  </si>
  <si>
    <t>Martinsville</t>
  </si>
  <si>
    <t>62442</t>
  </si>
  <si>
    <t>115 N. Washington Street</t>
  </si>
  <si>
    <t>(217) 932-4550</t>
  </si>
  <si>
    <t>lwyrbaird@fairpoint.net</t>
  </si>
  <si>
    <t>This is a UMC church transferring.||They are working with Church Mutual to get everything set up.||Please call Judy Kinnick to discuss this case.  Thank you.  317-442-1631</t>
  </si>
  <si>
    <t>68.38.192.174</t>
  </si>
  <si>
    <t>39.6916, -86.3911</t>
  </si>
  <si>
    <t>Wesley Methodist Church</t>
  </si>
  <si>
    <t>Jason</t>
  </si>
  <si>
    <t>Greene</t>
  </si>
  <si>
    <t>1211 Westmead St</t>
  </si>
  <si>
    <t>Decatur</t>
  </si>
  <si>
    <t>AL</t>
  </si>
  <si>
    <t>35601</t>
  </si>
  <si>
    <t>(256) 355-1842</t>
  </si>
  <si>
    <t>jason@wesleymethodist.church</t>
  </si>
  <si>
    <t>https://wesleymethodist.church/</t>
  </si>
  <si>
    <t>https://www.formstack.com/admin/download/file/14576532975</t>
  </si>
  <si>
    <t>https://www.formstack.com/admin/download/file/14576532977</t>
  </si>
  <si>
    <t xml:space="preserve">Wesley Methodist is a former UMC.  </t>
  </si>
  <si>
    <t>First Methodist Church of Chipley, Inc</t>
  </si>
  <si>
    <t>Rick</t>
  </si>
  <si>
    <t>Gillian</t>
  </si>
  <si>
    <t>1285 Jackson Ave</t>
  </si>
  <si>
    <t>Chipley</t>
  </si>
  <si>
    <t>32428</t>
  </si>
  <si>
    <t>(850) 638-0010</t>
  </si>
  <si>
    <t>fmcocnews@gmail.com</t>
  </si>
  <si>
    <t>Prospective members have been adequately prepared for membership|Church name is incorporated under state law|Church has its own EIN|Church has elected its own local BOA|Church has developed a mission statement that is in harmony with the denomination|Trust Clause is in the written document of this church's property agreement (if property is owned)|Church has adopted by-laws in accordance with denominational and state laws|Church is insured</t>
  </si>
  <si>
    <t>https://www.formstack.com/admin/download/file/14623410167</t>
  </si>
  <si>
    <t>https://www.formstack.com/admin/download/file/14623410169</t>
  </si>
  <si>
    <t>26.9835, -82.1319</t>
  </si>
  <si>
    <t xml:space="preserve">Gerald </t>
  </si>
  <si>
    <t>Pickett</t>
  </si>
  <si>
    <t>(515) 210-3668</t>
  </si>
  <si>
    <t>glpickett@gmail.com</t>
  </si>
  <si>
    <t>Released for ministry outside the denomination</t>
  </si>
  <si>
    <t xml:space="preserve">It was a church plant, so no property. </t>
  </si>
  <si>
    <t xml:space="preserve">Part was donated to a local homeless non profit and the rest went back to the conference to help with further church planting needs. </t>
  </si>
  <si>
    <t>Chrome 113.0.0.0 / OS X</t>
  </si>
  <si>
    <t>136.34.118.101</t>
  </si>
  <si>
    <t>39.0537, -94.5906</t>
  </si>
  <si>
    <t>Palmerdale Methodist Church</t>
  </si>
  <si>
    <t>Tyler</t>
  </si>
  <si>
    <t>Cantrell</t>
  </si>
  <si>
    <t>7776 Highway 75</t>
  </si>
  <si>
    <t>Pinson</t>
  </si>
  <si>
    <t>35126</t>
  </si>
  <si>
    <t>(205) 681-9762</t>
  </si>
  <si>
    <t>kelly@palmermethodist.com</t>
  </si>
  <si>
    <t>www.palmerdalemethodist.com</t>
  </si>
  <si>
    <t>https://www.formstack.com/admin/download/file/14654421107</t>
  </si>
  <si>
    <t>https://www.formstack.com/admin/download/file/14654421110</t>
  </si>
  <si>
    <t xml:space="preserve">Chris </t>
  </si>
  <si>
    <t>Hill</t>
  </si>
  <si>
    <t>(814) 758-1988</t>
  </si>
  <si>
    <t>supt@keystonefmc.org</t>
  </si>
  <si>
    <t>270 Keystone</t>
  </si>
  <si>
    <t>Fertigs Family Church of Faith</t>
  </si>
  <si>
    <t>None</t>
  </si>
  <si>
    <t>92-3943652</t>
  </si>
  <si>
    <t>Keystone Conference</t>
  </si>
  <si>
    <t>1652 Fertigs Rd.</t>
  </si>
  <si>
    <t>Venus</t>
  </si>
  <si>
    <t>16364</t>
  </si>
  <si>
    <t>1648 Fertigs Rd</t>
  </si>
  <si>
    <t>(814) 354-2305</t>
  </si>
  <si>
    <t>Fertigsfcof@yahoo.com</t>
  </si>
  <si>
    <t>This is a former UMC that is affiliating with us.</t>
  </si>
  <si>
    <t>Chrome 113.0.0.0 / Windows</t>
  </si>
  <si>
    <t>73.117.34.113</t>
  </si>
  <si>
    <t>41.2102, -79.3771</t>
  </si>
  <si>
    <t>Croswell FMC</t>
  </si>
  <si>
    <t>Linda</t>
  </si>
  <si>
    <t>Fuller</t>
  </si>
  <si>
    <t>13 N Howard Ave</t>
  </si>
  <si>
    <t>Croswell</t>
  </si>
  <si>
    <t>48422</t>
  </si>
  <si>
    <t>(810) 679-3595</t>
  </si>
  <si>
    <t>urmy2@greatlakes.net</t>
  </si>
  <si>
    <t>Changing Tax ID Number to reflect FMC; will provide once received</t>
  </si>
  <si>
    <t>42.7348, -84.6245</t>
  </si>
  <si>
    <t>CHELSEA FREE METHODIST CHURCH</t>
  </si>
  <si>
    <t>NEW HARVEST</t>
  </si>
  <si>
    <t xml:space="preserve">J. Mark </t>
  </si>
  <si>
    <t>Hendricks</t>
  </si>
  <si>
    <t>800809102</t>
  </si>
  <si>
    <t>11875 Jackson Rd.</t>
  </si>
  <si>
    <t>Dexter</t>
  </si>
  <si>
    <t>(734) 475-1391</t>
  </si>
  <si>
    <t>info@new-harvest.co</t>
  </si>
  <si>
    <t>https://www.new-harvest.co/</t>
  </si>
  <si>
    <t>Caucasion</t>
  </si>
  <si>
    <t>68.48.175.151</t>
  </si>
  <si>
    <t>42.229, -84.4132</t>
  </si>
  <si>
    <t xml:space="preserve">Maggie </t>
  </si>
  <si>
    <t>The Abbey - A Free Methodist Ministry</t>
  </si>
  <si>
    <t xml:space="preserve">Peyton </t>
  </si>
  <si>
    <t>Jones</t>
  </si>
  <si>
    <t>93-1657110</t>
  </si>
  <si>
    <t>390 Chinquapin Ave</t>
  </si>
  <si>
    <t>Carlsbad</t>
  </si>
  <si>
    <t>92008</t>
  </si>
  <si>
    <t>(714) 273-8319</t>
  </si>
  <si>
    <t>peyton@newbreedchurchplanting.org</t>
  </si>
  <si>
    <t xml:space="preserve">Peyton Jones has not officially been appointed by the MEG. Once that happens he will be appointed as a Licensed Pastor. </t>
  </si>
  <si>
    <t xml:space="preserve">Church is on the conference policy. </t>
  </si>
  <si>
    <t>Chrome 114.0.0.0 / OS X</t>
  </si>
  <si>
    <t>76.32.222.157</t>
  </si>
  <si>
    <t>33.5173, -117.1208</t>
  </si>
  <si>
    <t>Jorge</t>
  </si>
  <si>
    <t>Gutierrez</t>
  </si>
  <si>
    <t>https://www.formstack.com/admin/download/file/14848323588</t>
  </si>
  <si>
    <t>https://www.formstack.com/admin/download/file/14848323589</t>
  </si>
  <si>
    <t>Other: Permitted to Withdraw under charges</t>
  </si>
  <si>
    <t>Withdrawn from conference &amp; denomination at own request:|Phyllis Gutierrez|Emily Norton|Jorge Ramirez|Leticia Rubio|Eden Ferrera (CMC - discontinued)</t>
  </si>
  <si>
    <t>no church property</t>
  </si>
  <si>
    <t>The church unaffiliated and took funds with them.</t>
  </si>
  <si>
    <t xml:space="preserve">Other: The EIN went with the church </t>
  </si>
  <si>
    <t>nothing</t>
  </si>
  <si>
    <t>Chrome 114.0.0.0 / Windows</t>
  </si>
  <si>
    <t>41.929, -85.0027</t>
  </si>
  <si>
    <t>Free Methodist Church of Broken Bow</t>
  </si>
  <si>
    <t xml:space="preserve">John </t>
  </si>
  <si>
    <t>Parsons</t>
  </si>
  <si>
    <t>Pending - hopefully within the week</t>
  </si>
  <si>
    <t xml:space="preserve">Great Plains Conference </t>
  </si>
  <si>
    <t>The pastor's mailbox|Other: jwparson58@icloud.com</t>
  </si>
  <si>
    <t>1001 East South E Street</t>
  </si>
  <si>
    <t>Broken Bow</t>
  </si>
  <si>
    <t>NE</t>
  </si>
  <si>
    <t>68822</t>
  </si>
  <si>
    <t>(308) 546-7097</t>
  </si>
  <si>
    <t>jwparsons58@icloud.com</t>
  </si>
  <si>
    <t>https://www.facebook.com/profile.php?id=100088094437122</t>
  </si>
  <si>
    <t>predominantly Caucasian</t>
  </si>
  <si>
    <t xml:space="preserve">The church building is an old Baptist Church that is owned by some private individuals. He wants to get liability insurance but at present does not have a purchase or lease agreement and is hesitant to get property insurance. </t>
  </si>
  <si>
    <t>104.151.174.86</t>
  </si>
  <si>
    <t>35.833, -97.4394</t>
  </si>
  <si>
    <t>Great Plains Conference d/b/a Revive Church</t>
  </si>
  <si>
    <t xml:space="preserve">Revive Church </t>
  </si>
  <si>
    <t>Kevin</t>
  </si>
  <si>
    <t>Coronado</t>
  </si>
  <si>
    <t>2114 Maple Lane</t>
  </si>
  <si>
    <t>Lawrence</t>
  </si>
  <si>
    <t>66046</t>
  </si>
  <si>
    <t>The church's mailbox|Other: info@revivelawrence.org</t>
  </si>
  <si>
    <t>(281) 877-2636</t>
  </si>
  <si>
    <t>info@revivelawrence.org</t>
  </si>
  <si>
    <t>revivelawrence.org</t>
  </si>
  <si>
    <t xml:space="preserve">Mixed - various cultures and races </t>
  </si>
  <si>
    <t xml:space="preserve">The church has liability insurance with a rider on his home insurance to cover property and liability. The church is meeting in Pastor Coronado's home. </t>
  </si>
  <si>
    <t>35.3917, -97.495</t>
  </si>
  <si>
    <t>The Walk Free Methodist Church</t>
  </si>
  <si>
    <t>Isaac</t>
  </si>
  <si>
    <t>Wilson</t>
  </si>
  <si>
    <t>92-1018230</t>
  </si>
  <si>
    <t>Great Plains Conference</t>
  </si>
  <si>
    <t>307 W. 38th Street</t>
  </si>
  <si>
    <t>Hays</t>
  </si>
  <si>
    <t>67601</t>
  </si>
  <si>
    <t>The pastor's mailbox|Other: The email address &amp; website are under construction</t>
  </si>
  <si>
    <t>(620) 927-0075</t>
  </si>
  <si>
    <t>iwilson@mccks.edu</t>
  </si>
  <si>
    <t xml:space="preserve">Predominantly Caucasian, but a young man from Ghana W. Africa, singles, married couples &amp; children </t>
  </si>
  <si>
    <t xml:space="preserve">The Church is meeting at the Wilson home. The tithes, gifts, offerings are all sent to the Conference for the time being. The Church does not have a bank account. </t>
  </si>
  <si>
    <t>Bethany Church of Richland</t>
  </si>
  <si>
    <t>Bethany</t>
  </si>
  <si>
    <t>Dotts</t>
  </si>
  <si>
    <t>922636362</t>
  </si>
  <si>
    <t>The Harvest Conference</t>
  </si>
  <si>
    <t>112 Leventry Rd</t>
  </si>
  <si>
    <t>Johnstown</t>
  </si>
  <si>
    <t>15904</t>
  </si>
  <si>
    <t>(814) 266-9588</t>
  </si>
  <si>
    <t>bethanychurchofrichland@gmail.com</t>
  </si>
  <si>
    <t>bethanymc.church</t>
  </si>
  <si>
    <t>mixed, but primarily white</t>
  </si>
  <si>
    <t>Owensville United Methodist Church</t>
  </si>
  <si>
    <t>Shawn</t>
  </si>
  <si>
    <t>Robbins</t>
  </si>
  <si>
    <t>93-2042938</t>
  </si>
  <si>
    <t>720 Broadford Rd</t>
  </si>
  <si>
    <t>Connellsville</t>
  </si>
  <si>
    <t>15425</t>
  </si>
  <si>
    <t>(724) 600-5264</t>
  </si>
  <si>
    <t>srrobbins757@gmail.com</t>
  </si>
  <si>
    <t>caucasian</t>
  </si>
  <si>
    <t>Jacob's Creek Methodist Church of Scottdale</t>
  </si>
  <si>
    <t>5543 Scottdale Dawson Rd</t>
  </si>
  <si>
    <t>Scottdale</t>
  </si>
  <si>
    <t>15683</t>
  </si>
  <si>
    <t>They are working to get a new EIN number</t>
  </si>
  <si>
    <t>cndabston@aol.co</t>
  </si>
  <si>
    <t>Freedom Church and Front Line Ministries, Inc.</t>
  </si>
  <si>
    <t xml:space="preserve">Freedom Church </t>
  </si>
  <si>
    <t>Ron</t>
  </si>
  <si>
    <t>Simon</t>
  </si>
  <si>
    <t xml:space="preserve">Conference </t>
  </si>
  <si>
    <t>11617 SE 44th Street</t>
  </si>
  <si>
    <t>73150</t>
  </si>
  <si>
    <t>(405) 202-9679</t>
  </si>
  <si>
    <t>freedomchurchfrontline@gmail.com</t>
  </si>
  <si>
    <t>Under construction</t>
  </si>
  <si>
    <t xml:space="preserve">Multi-ethnic </t>
  </si>
  <si>
    <t xml:space="preserve">The church will meet in the home of the pastor and will be covered under the personal policy lines of the homeowner. </t>
  </si>
  <si>
    <t xml:space="preserve">Waiting on filing </t>
  </si>
  <si>
    <t xml:space="preserve">Rose Valley Church </t>
  </si>
  <si>
    <t xml:space="preserve">Wyatt </t>
  </si>
  <si>
    <t>Davis</t>
  </si>
  <si>
    <t>107 County 685 Avenue</t>
  </si>
  <si>
    <t>Downs</t>
  </si>
  <si>
    <t>67473</t>
  </si>
  <si>
    <t>The church's mailbox|Other: Please note the pastor's phone number for contact info: 620.804.2912</t>
  </si>
  <si>
    <t>S107 County 685 Avenue</t>
  </si>
  <si>
    <t>(785) 454-3418</t>
  </si>
  <si>
    <t>info@rosevalleychurch.org</t>
  </si>
  <si>
    <t>rosevalleychurch.org</t>
  </si>
  <si>
    <t xml:space="preserve">caucasian </t>
  </si>
  <si>
    <t xml:space="preserve">A layperson is supposed to let me know what the legal name of the church is. Pastor Davis understood that they had filed papers with the Secretary of State.  I have done a name search and have not found a filing as of this date 7/6/23. </t>
  </si>
  <si>
    <t>Revolution FMC</t>
  </si>
  <si>
    <t>Revolution Inman</t>
  </si>
  <si>
    <t xml:space="preserve">Anthony </t>
  </si>
  <si>
    <t>Aden</t>
  </si>
  <si>
    <t xml:space="preserve">Revolution FMC </t>
  </si>
  <si>
    <t>365 Sports Complex</t>
  </si>
  <si>
    <t xml:space="preserve">453 KS 61 </t>
  </si>
  <si>
    <t>Inman</t>
  </si>
  <si>
    <t>67546</t>
  </si>
  <si>
    <t>(620) 747-9940</t>
  </si>
  <si>
    <t>Info@revolutionfmc.com</t>
  </si>
  <si>
    <t>RevolutionFMC.com</t>
  </si>
  <si>
    <t xml:space="preserve">Inman is on a satellite policy through Revolution McPherson. Pastor Aden is what is called the campus pastor. He does not technically preach regularly. Whoever preaches at the McPherson main campus preaches later at the Inman campus. Pastor Aden advised they have taken the summer off and are reevaluating what they want to do. He is considering a ministry something like the Omega Project Ministries or Celebrate Recovery. He advised that the main contact is really Revolution FMC main campus. </t>
  </si>
  <si>
    <t>Pleasant Hill Church</t>
  </si>
  <si>
    <t>same</t>
  </si>
  <si>
    <t>Charles</t>
  </si>
  <si>
    <t>McLaughlin</t>
  </si>
  <si>
    <t>The Harvest Conference FMC</t>
  </si>
  <si>
    <t>248 Hog Camp Rd</t>
  </si>
  <si>
    <t>Jane Lew</t>
  </si>
  <si>
    <t>WV</t>
  </si>
  <si>
    <t>26378</t>
  </si>
  <si>
    <t>Other: Ed Paugh</t>
  </si>
  <si>
    <t>2310 Kincheloe Rd</t>
  </si>
  <si>
    <t>(304) 745-5195</t>
  </si>
  <si>
    <t>cwmclaughlin.sr@gmail.com</t>
  </si>
  <si>
    <t>working on getting a new EIN. They are former UMC.</t>
  </si>
  <si>
    <t>Chrome 115.0.0.0 / Windows</t>
  </si>
  <si>
    <t>Chris</t>
  </si>
  <si>
    <t>270-63</t>
  </si>
  <si>
    <t>Church Planting Project</t>
  </si>
  <si>
    <t>Salt &amp; Light Community Church</t>
  </si>
  <si>
    <t>Under</t>
  </si>
  <si>
    <t>25-1540849</t>
  </si>
  <si>
    <t xml:space="preserve">Keystone Conference </t>
  </si>
  <si>
    <t>105 Smith Ave.</t>
  </si>
  <si>
    <t>Port Allegany</t>
  </si>
  <si>
    <t>16743</t>
  </si>
  <si>
    <t>(814) 642-1636</t>
  </si>
  <si>
    <t>saltandlight16743@gmail.com</t>
  </si>
  <si>
    <t>whie</t>
  </si>
  <si>
    <t>67.172.25.145</t>
  </si>
  <si>
    <t>41.4355, -79.6904</t>
  </si>
  <si>
    <t>Ignite Church</t>
  </si>
  <si>
    <t>Greg</t>
  </si>
  <si>
    <t>Newkirk</t>
  </si>
  <si>
    <t>6A Potter Street</t>
  </si>
  <si>
    <t>Bradford</t>
  </si>
  <si>
    <t>16701</t>
  </si>
  <si>
    <t>46 Main St.</t>
  </si>
  <si>
    <t>Lewis Run</t>
  </si>
  <si>
    <t>16738</t>
  </si>
  <si>
    <t>(814) 366-2107</t>
  </si>
  <si>
    <t>ignitechurchlr@gmail.com</t>
  </si>
  <si>
    <t>Vivian</t>
  </si>
  <si>
    <t>Hiestand</t>
  </si>
  <si>
    <t>(360) 844-0440</t>
  </si>
  <si>
    <t>pastorvivian@blessedcommunity.church</t>
  </si>
  <si>
    <t>Blessed Community</t>
  </si>
  <si>
    <t>92-2210167</t>
  </si>
  <si>
    <t>16420 SE McGillivray Blvd</t>
  </si>
  <si>
    <t>Ste 103 PMB 1113</t>
  </si>
  <si>
    <t>Vancouver</t>
  </si>
  <si>
    <t>98683</t>
  </si>
  <si>
    <t>1601 NE 129th St.</t>
  </si>
  <si>
    <t>98686</t>
  </si>
  <si>
    <t>(360) 984-1780</t>
  </si>
  <si>
    <t>admin@blessedcommunity.church</t>
  </si>
  <si>
    <t>www.blessedcommunity.church</t>
  </si>
  <si>
    <t>John Hiestand - Licensed Pastor</t>
  </si>
  <si>
    <t>Firefox 116.0 / Windows</t>
  </si>
  <si>
    <t>73.240.2.162</t>
  </si>
  <si>
    <t>45.3993, -122.6079</t>
  </si>
  <si>
    <t>420150</t>
  </si>
  <si>
    <t>Robert</t>
  </si>
  <si>
    <t>Susman</t>
  </si>
  <si>
    <t>https://www.formstack.com/admin/download/file/15057514069</t>
  </si>
  <si>
    <t>Other: Transferred to the Gateway Conference</t>
  </si>
  <si>
    <t>The church and parsonage are being used by the Higher Dimensions Faith Center/Pastor Ken McCray (operating under an MOU with Wabash Conference).  This congregation is working toward affiliation with the Free Methodist Church.</t>
  </si>
  <si>
    <t>Pursuant to Section 6400G of the Book of Discipline of the Free Methodist Church, upon the dissolution of this church, the assets of the corporation were transferred to the Wabash Conference of the Free Methodist Church.</t>
  </si>
  <si>
    <t>The expenses (including insurance) have all been transferred to and being paid by the Wabash Conference.</t>
  </si>
  <si>
    <t>Charlie</t>
  </si>
  <si>
    <t>Fiskeaux</t>
  </si>
  <si>
    <t>(859) 553-5662</t>
  </si>
  <si>
    <t>newsouthconference@gmail.com</t>
  </si>
  <si>
    <t>190148</t>
  </si>
  <si>
    <t>Slider</t>
  </si>
  <si>
    <t>https://www.formstack.com/admin/download/file/15073189602</t>
  </si>
  <si>
    <t>William Slider (LP-AP) - Discontinued pastoral appointment</t>
  </si>
  <si>
    <t>The New South Conference has assigned the church facility to the Kiswahili  Capernaum CPP #190151|The parsonage has been turned over the Conference which  is in process of selling.</t>
  </si>
  <si>
    <t>turned over to the Conference</t>
  </si>
  <si>
    <t>The Capernaum CPP has provided for insurance on the church facility.</t>
  </si>
  <si>
    <t>Chrome 116.0.0.0 / Windows</t>
  </si>
  <si>
    <t>75.90.161.40</t>
  </si>
  <si>
    <t>37.8868, -84.5667</t>
  </si>
  <si>
    <t>190145</t>
  </si>
  <si>
    <t>https://www.formstack.com/admin/download/file/15073241757</t>
  </si>
  <si>
    <t>https://www.formstack.com/admin/download/file/15073241758</t>
  </si>
  <si>
    <t>The church property and parsonage have been turned over to the New South Conference, which is presently deciding what will happen to it.</t>
  </si>
  <si>
    <t>turned over to the New South Conference</t>
  </si>
  <si>
    <t>190160</t>
  </si>
  <si>
    <t>Fransz</t>
  </si>
  <si>
    <t>https://www.formstack.com/admin/download/file/15073317261</t>
  </si>
  <si>
    <t>Other: Pastor James Fransz is considering his next place of ministry</t>
  </si>
  <si>
    <t>The church facility was utilized by the Champion Church, but has been retained under control of the New South Conference, since two other churches are also utilizing the church facility.</t>
  </si>
  <si>
    <t>This was a CPP that had not yet reached either Fellowship or Society status.|As stated in the attached email from Supt John Lane, the Conference BOA has not yet formally voted to closed this CPP, but it is on the  agenda for the next meeting.</t>
  </si>
  <si>
    <t>Katrina</t>
  </si>
  <si>
    <t>Wilkins</t>
  </si>
  <si>
    <t>(585) 617-5421</t>
  </si>
  <si>
    <t>katrina@genesisfmc.com</t>
  </si>
  <si>
    <t>Reorganized Church (Relaunching / Putting on Hold)</t>
  </si>
  <si>
    <t>120 Genesis</t>
  </si>
  <si>
    <t>?????</t>
  </si>
  <si>
    <t>Other: Returning  to the FMC as an Affiliate Church after leaving 25-ish years ago</t>
  </si>
  <si>
    <t xml:space="preserve">Services never stopped. ||The church left the denomination 25+ years ago due to misunderstandings between Conference leadership and the church. ||Natividad's credentials were reinstated a few years ago. His wife and daughter were ordained in the FMC-USA this year. The church leadership felt it was time to return to the FMC-USA. </t>
  </si>
  <si>
    <t>Uncertain</t>
  </si>
  <si>
    <t>Natividad de Jesus</t>
  </si>
  <si>
    <t>Fermim</t>
  </si>
  <si>
    <t>774 Jay St</t>
  </si>
  <si>
    <t>Rochester</t>
  </si>
  <si>
    <t>info@nuevodia.org</t>
  </si>
  <si>
    <t>(585) 434-3512</t>
  </si>
  <si>
    <t>This church has co-pastoring leads. In addition to Natividad, Fe Cristiana Fermin is co-pastoring the church.</t>
  </si>
  <si>
    <t>Chrome 116.0.0.0 / OS X</t>
  </si>
  <si>
    <t>74.74.89.164</t>
  </si>
  <si>
    <t>42.1506, -76.0551</t>
  </si>
  <si>
    <t>New Bethel Methodist Church</t>
  </si>
  <si>
    <t>38-4274201</t>
  </si>
  <si>
    <t>8524 Good Hope Pike</t>
  </si>
  <si>
    <t>Lost Creek</t>
  </si>
  <si>
    <t>26385</t>
  </si>
  <si>
    <t>9230 Good Hope Pike</t>
  </si>
  <si>
    <t>(304) 745-3255</t>
  </si>
  <si>
    <t>caucasion</t>
  </si>
  <si>
    <t>Waynesboro First Methodist Church</t>
  </si>
  <si>
    <t>Steven</t>
  </si>
  <si>
    <t>Bruns</t>
  </si>
  <si>
    <t>701 Turner St</t>
  </si>
  <si>
    <t>Waynesboro</t>
  </si>
  <si>
    <t>MS</t>
  </si>
  <si>
    <t>39367</t>
  </si>
  <si>
    <t>(601) 735-4440</t>
  </si>
  <si>
    <t>waynesborofirstmethodist@gmail.com</t>
  </si>
  <si>
    <t>https://waynesborofirstmethodist.church/</t>
  </si>
  <si>
    <t>Pamela Bruns</t>
  </si>
  <si>
    <t>Rescue Church</t>
  </si>
  <si>
    <t>Jarod</t>
  </si>
  <si>
    <t>Andrews</t>
  </si>
  <si>
    <t>92-1702831</t>
  </si>
  <si>
    <t>3060 Rescue Rd</t>
  </si>
  <si>
    <t>Union Grove</t>
  </si>
  <si>
    <t>35175</t>
  </si>
  <si>
    <t>(256) 738-2368</t>
  </si>
  <si>
    <t>rescuemethodist@gmail.com</t>
  </si>
  <si>
    <t>2</t>
  </si>
  <si>
    <t xml:space="preserve">Tina </t>
  </si>
  <si>
    <t>Good News Methodist Church Inc</t>
  </si>
  <si>
    <t>Good News Church</t>
  </si>
  <si>
    <t>Bradley</t>
  </si>
  <si>
    <t>Goode</t>
  </si>
  <si>
    <t>59-3401636</t>
  </si>
  <si>
    <t>4747 Highway 98 W</t>
  </si>
  <si>
    <t>Santa Rosa Beach</t>
  </si>
  <si>
    <t>32459</t>
  </si>
  <si>
    <t>(850) 622-9191</t>
  </si>
  <si>
    <t>info@goodnewschurch.life</t>
  </si>
  <si>
    <t>goodnewschurch.life</t>
  </si>
  <si>
    <t>Stephanie</t>
  </si>
  <si>
    <t>Hsien</t>
  </si>
  <si>
    <t>(626) 470-7252</t>
  </si>
  <si>
    <t>office@pcjcfm.org</t>
  </si>
  <si>
    <t>Overland Church</t>
  </si>
  <si>
    <t>Ryan</t>
  </si>
  <si>
    <t>Hakes</t>
  </si>
  <si>
    <t>Pacific Coast Japanese Conference</t>
  </si>
  <si>
    <t>490 NE 64th Way</t>
  </si>
  <si>
    <t>Hillsboro</t>
  </si>
  <si>
    <t>97124</t>
  </si>
  <si>
    <t>29174 NW King St</t>
  </si>
  <si>
    <t>North Plains</t>
  </si>
  <si>
    <t>97133</t>
  </si>
  <si>
    <t>ryan@overland.church</t>
  </si>
  <si>
    <t>www.overland.church</t>
  </si>
  <si>
    <t>White, Asian, Latino</t>
  </si>
  <si>
    <t>96.41.3.223</t>
  </si>
  <si>
    <t>34.011, -118.1145</t>
  </si>
  <si>
    <t>(509) 844-2966</t>
  </si>
  <si>
    <t>Center for Innovative &amp; Urban Ministry</t>
  </si>
  <si>
    <t>Samara Church</t>
  </si>
  <si>
    <t>Justin</t>
  </si>
  <si>
    <t>Fast</t>
  </si>
  <si>
    <t>Mission Igniter (Center for Innovative &amp; Urban Ministry)</t>
  </si>
  <si>
    <t xml:space="preserve"> 2323 Tiffany Ln</t>
  </si>
  <si>
    <t>Holt</t>
  </si>
  <si>
    <t>48842</t>
  </si>
  <si>
    <t>(517) 227-3033</t>
  </si>
  <si>
    <t>justin.fast@missionigniter.org</t>
  </si>
  <si>
    <t>https://www.samara.church/</t>
  </si>
  <si>
    <t xml:space="preserve">Services are technically held all over the greater Lansing area. This is a fresh expression of dinner church :)||I filled in what I know for now. I will resubmit a form when I can get all of the remaining information needed. </t>
  </si>
  <si>
    <t>Chrome 117.0.0.0 / OS X</t>
  </si>
  <si>
    <t xml:space="preserve">Lori </t>
  </si>
  <si>
    <t>Restauracion Vida Plena</t>
  </si>
  <si>
    <t>Julio Cesar Flores</t>
  </si>
  <si>
    <t>Reyes</t>
  </si>
  <si>
    <t>Emerging Ministry Point</t>
  </si>
  <si>
    <t>Network of Undeniable Blessing ( previously, Sierra Pacific)</t>
  </si>
  <si>
    <t xml:space="preserve">220 W. Red Oak Dr. </t>
  </si>
  <si>
    <t>Sunnyvale</t>
  </si>
  <si>
    <t>94086</t>
  </si>
  <si>
    <t>(408) 616-9647</t>
  </si>
  <si>
    <t>floresjulio622@gmail.com</t>
  </si>
  <si>
    <t>I may have to update this soon as things are a changing....</t>
  </si>
  <si>
    <t>Safari 17.0 / OS X</t>
  </si>
  <si>
    <t>98.97.61.196</t>
  </si>
  <si>
    <t>34.0544, -118.2441</t>
  </si>
  <si>
    <t>Berkley CPP</t>
  </si>
  <si>
    <t xml:space="preserve"> Berkley CPP</t>
  </si>
  <si>
    <t>Edward</t>
  </si>
  <si>
    <t>Paulino</t>
  </si>
  <si>
    <t>Network of Undeniable Blessing ( previously Sierra Pacific)</t>
  </si>
  <si>
    <t>2321 Webster St. #4</t>
  </si>
  <si>
    <t>Berkeley</t>
  </si>
  <si>
    <t>94705</t>
  </si>
  <si>
    <t>(510) 833-3019</t>
  </si>
  <si>
    <t>edpaulino1@gmail.com</t>
  </si>
  <si>
    <t xml:space="preserve">This information may change as the Pastor had major surgery and I'm not certain if the start date happened on the projected date stated. </t>
  </si>
  <si>
    <t>Bethel Community Free Methodist Church, Inc.</t>
  </si>
  <si>
    <t>Bethel Community</t>
  </si>
  <si>
    <t>Athumani</t>
  </si>
  <si>
    <t>Mlima</t>
  </si>
  <si>
    <t>92-1097348</t>
  </si>
  <si>
    <t>Wabash Conference</t>
  </si>
  <si>
    <t>2635 Camelot Way</t>
  </si>
  <si>
    <t>Greenwood</t>
  </si>
  <si>
    <t>IN</t>
  </si>
  <si>
    <t>46143</t>
  </si>
  <si>
    <t>2810 E Southport Road</t>
  </si>
  <si>
    <t>Indianapolis</t>
  </si>
  <si>
    <t>46227</t>
  </si>
  <si>
    <t>(325) 733-7369</t>
  </si>
  <si>
    <t>mlima21asumani@gmail.com</t>
  </si>
  <si>
    <t>Swahili</t>
  </si>
  <si>
    <t>Bukuru Rurikiri</t>
  </si>
  <si>
    <t>Chrome 118.0.0.0 / Windows</t>
  </si>
  <si>
    <t>Southeast Region Free Methodist Church Inc</t>
  </si>
  <si>
    <t>SRFMC</t>
  </si>
  <si>
    <t>Rudy</t>
  </si>
  <si>
    <t>Marte</t>
  </si>
  <si>
    <t>18181 Bly Ave</t>
  </si>
  <si>
    <t>Port Charlotte</t>
  </si>
  <si>
    <t>33948</t>
  </si>
  <si>
    <t>Other: SRC Director of Finance, Legal &amp; Property address</t>
  </si>
  <si>
    <t>4901 Rambling Rose Pl</t>
  </si>
  <si>
    <t>Tampa</t>
  </si>
  <si>
    <t>33624</t>
  </si>
  <si>
    <t>(813) 532-0628</t>
  </si>
  <si>
    <t>r.marte@srcfmc.com</t>
  </si>
  <si>
    <t>https://www.formstack.com/admin/download/file/15384100052</t>
  </si>
  <si>
    <t>https://www.formstack.com/admin/download/file/15384100054</t>
  </si>
  <si>
    <t xml:space="preserve">Mark Dowley met with Superintendent Mike McAvoy about this new church and asked that he be given the application to walk through the process of get a church ID# as it is a hybrid church formed solely for the purpose of being a church that plants churches-an oversight church that does not meet in traditional ways, but that works with unincorporated  EMPs &amp; CPPs to educate and guide them to a place of being able to launch on their own.  If there are any questions please feel free to contact me at 814-598-3079.  Thank you. </t>
  </si>
  <si>
    <t>Living Water Free Methodist Church</t>
  </si>
  <si>
    <t>Will</t>
  </si>
  <si>
    <t>Vaden</t>
  </si>
  <si>
    <t>2145 County Road 363</t>
  </si>
  <si>
    <t>Lexington</t>
  </si>
  <si>
    <t>35648</t>
  </si>
  <si>
    <t>580 Malone Circle</t>
  </si>
  <si>
    <t>Florence</t>
  </si>
  <si>
    <t>35630</t>
  </si>
  <si>
    <t>(256) 762-5864</t>
  </si>
  <si>
    <t>wvaden07@gmail.com</t>
  </si>
  <si>
    <t>Under the newly formed Southeast Region Free Methodist Church Inc.</t>
  </si>
  <si>
    <t xml:space="preserve">Redeemer Free Methodist Church </t>
  </si>
  <si>
    <t>Wisener</t>
  </si>
  <si>
    <t>PO Box 801</t>
  </si>
  <si>
    <t>High Springs</t>
  </si>
  <si>
    <t>32655</t>
  </si>
  <si>
    <t>25616 NW 122nd Ave</t>
  </si>
  <si>
    <t>32643</t>
  </si>
  <si>
    <t>(352) 317-3369</t>
  </si>
  <si>
    <t>dswisener@gmail.com</t>
  </si>
  <si>
    <t>Is an EMP under the newly formed Southeast Region FMC.</t>
  </si>
  <si>
    <t>Mission Community Church</t>
  </si>
  <si>
    <t>Daniel</t>
  </si>
  <si>
    <t>Guthery</t>
  </si>
  <si>
    <t>405  6th Ave SE</t>
  </si>
  <si>
    <t>Cullman</t>
  </si>
  <si>
    <t>35055</t>
  </si>
  <si>
    <t>(256) 590-4463</t>
  </si>
  <si>
    <t>gutheryd@gmail.com</t>
  </si>
  <si>
    <t>Epworth Chapel on the Green</t>
  </si>
  <si>
    <t>Crow</t>
  </si>
  <si>
    <t>6110 West Northview Street</t>
  </si>
  <si>
    <t>Boise</t>
  </si>
  <si>
    <t>83704</t>
  </si>
  <si>
    <t>(208) 336-3951</t>
  </si>
  <si>
    <t>jdowningcrow@hotmail.com</t>
  </si>
  <si>
    <t>https://www.epworthchapelonthegreen.org/</t>
  </si>
  <si>
    <t>Fresh Wind Ministries Pueblo</t>
  </si>
  <si>
    <t>Griego</t>
  </si>
  <si>
    <t xml:space="preserve"> 2602 2nd AVE </t>
  </si>
  <si>
    <t>Pueblo</t>
  </si>
  <si>
    <t>CO</t>
  </si>
  <si>
    <t>81003</t>
  </si>
  <si>
    <t>(719) 406-3313</t>
  </si>
  <si>
    <t>tictoc-griego@comcast.net</t>
  </si>
  <si>
    <t>https://www.facebook.com/FreshWindMinistriesPueblo/</t>
  </si>
  <si>
    <t>190275</t>
  </si>
  <si>
    <t>Joe</t>
  </si>
  <si>
    <t>Ritter</t>
  </si>
  <si>
    <t>https://www.formstack.com/admin/download/file/15445480420</t>
  </si>
  <si>
    <t>The Waynesville property is being retained for local ministry other than a church/society.</t>
  </si>
  <si>
    <t xml:space="preserve">Any remaining funds are being retained for development of local ministry. </t>
  </si>
  <si>
    <t>The original Waynesville society was closed in 2011.   This effort to restart the church as a CPP was not successful.  However, local ministry is being continued by the former pastor Joe Ritter.</t>
  </si>
  <si>
    <t>Chrome 119.0.0.0 / Windows</t>
  </si>
  <si>
    <t>38.0405, -84.7293</t>
  </si>
  <si>
    <t xml:space="preserve">David </t>
  </si>
  <si>
    <t>Francis</t>
  </si>
  <si>
    <t>(585) 943-0698</t>
  </si>
  <si>
    <t>dave@genesisfmc.com</t>
  </si>
  <si>
    <t>SouthTowns Free Methodist Church</t>
  </si>
  <si>
    <t>SouthTowns FMC dba,   RealLife Church</t>
  </si>
  <si>
    <t>Laura</t>
  </si>
  <si>
    <t>Pierce</t>
  </si>
  <si>
    <t>92-3406211</t>
  </si>
  <si>
    <t>Genesis Conference</t>
  </si>
  <si>
    <t>1339 BRAY RD</t>
  </si>
  <si>
    <t>Arcade</t>
  </si>
  <si>
    <t>14009</t>
  </si>
  <si>
    <t>Various rented locations in Arcade NY</t>
  </si>
  <si>
    <t>lpierce_527@yahoo.com</t>
  </si>
  <si>
    <t>White, rural America</t>
  </si>
  <si>
    <t>Safari 15.6.1 / OS X</t>
  </si>
  <si>
    <t>67.253.157.91</t>
  </si>
  <si>
    <t>42.9709, -77.5821</t>
  </si>
  <si>
    <t>Carlene</t>
  </si>
  <si>
    <t>Nisley</t>
  </si>
  <si>
    <t>(503) 504-1776</t>
  </si>
  <si>
    <t>carlene@vision1.org</t>
  </si>
  <si>
    <t>030</t>
  </si>
  <si>
    <t>Ahava Ministries</t>
  </si>
  <si>
    <t xml:space="preserve">Carlene </t>
  </si>
  <si>
    <t>93-0579395</t>
  </si>
  <si>
    <t>403 SW Dennis Avenue</t>
  </si>
  <si>
    <t>409 SW Dennis Avenue</t>
  </si>
  <si>
    <t>(503) 641-5305</t>
  </si>
  <si>
    <t>churchoffice@vision1.org</t>
  </si>
  <si>
    <t>newvisionpeople.org</t>
  </si>
  <si>
    <t>71.59.197.160</t>
  </si>
  <si>
    <t>45.496, -122.7998</t>
  </si>
  <si>
    <t>Straits Methodist Church</t>
  </si>
  <si>
    <t>Douglas</t>
  </si>
  <si>
    <t>Harr</t>
  </si>
  <si>
    <t>56-1403827</t>
  </si>
  <si>
    <t>PO Box 431</t>
  </si>
  <si>
    <t>Harkers Island</t>
  </si>
  <si>
    <t>NC</t>
  </si>
  <si>
    <t>28560</t>
  </si>
  <si>
    <t>311 Straits Rd</t>
  </si>
  <si>
    <t>Beaufort</t>
  </si>
  <si>
    <t>28516</t>
  </si>
  <si>
    <t>(808) 344-3503</t>
  </si>
  <si>
    <t>drdougharr@hotmail.com</t>
  </si>
  <si>
    <t>North River Methodist Church</t>
  </si>
  <si>
    <t xml:space="preserve">Douglas </t>
  </si>
  <si>
    <t>92-3048387</t>
  </si>
  <si>
    <t>PO Box 647</t>
  </si>
  <si>
    <t>2494 Hwy 70</t>
  </si>
  <si>
    <t>(252) 504-2450</t>
  </si>
  <si>
    <t>Willard ReNew Church</t>
  </si>
  <si>
    <t xml:space="preserve">ReNew Church </t>
  </si>
  <si>
    <t xml:space="preserve">Jon </t>
  </si>
  <si>
    <t>Millen</t>
  </si>
  <si>
    <t>93-2714455</t>
  </si>
  <si>
    <t>304 Farmer Road</t>
  </si>
  <si>
    <t>P O Box 87</t>
  </si>
  <si>
    <t>Willard</t>
  </si>
  <si>
    <t>65781</t>
  </si>
  <si>
    <t>(417) 742-3319</t>
  </si>
  <si>
    <t>willardrenewchurch@hotmail.com</t>
  </si>
  <si>
    <t>in process</t>
  </si>
  <si>
    <t>Primarily Anglo</t>
  </si>
  <si>
    <t xml:space="preserve">The Church was a previous United Methodist Church. The pastor was recently appointed at Annual Conference as a licensed pastor. They were in the process of dis-affiliating at the time of Annual Conference June 14-15, 2023. Their Articles of Incorporation were filed 8/30/23. </t>
  </si>
  <si>
    <t>35.4886, -97.525</t>
  </si>
  <si>
    <t>390255</t>
  </si>
  <si>
    <t>Jose</t>
  </si>
  <si>
    <t>Rodriguez</t>
  </si>
  <si>
    <t>It was sold.</t>
  </si>
  <si>
    <t>There were none.</t>
  </si>
  <si>
    <t>This was a church plant, and the pastor was a CMC.</t>
  </si>
  <si>
    <t>Missy</t>
  </si>
  <si>
    <t>Getsinger</t>
  </si>
  <si>
    <t>(503) 538-0162</t>
  </si>
  <si>
    <t>missy@northsidenewberg.org</t>
  </si>
  <si>
    <t>Mission Igniter</t>
  </si>
  <si>
    <t>The Fold</t>
  </si>
  <si>
    <t>PO Box 257</t>
  </si>
  <si>
    <t xml:space="preserve">Spring Arbor </t>
  </si>
  <si>
    <t>49283</t>
  </si>
  <si>
    <t>Other: Mission Ignitor</t>
  </si>
  <si>
    <t>5267 Teresa Way</t>
  </si>
  <si>
    <t>Central Point</t>
  </si>
  <si>
    <t>97502</t>
  </si>
  <si>
    <t>thefoldcentralpoint@gmail.com</t>
  </si>
  <si>
    <t>jointhefold.net</t>
  </si>
  <si>
    <t>Michelle Haywood Smith - LMC</t>
  </si>
  <si>
    <t>We will be officially transitioned to Mission Igniter (from our planting church) on January 1, 2024</t>
  </si>
  <si>
    <t>Safari 16.4 / OS X</t>
  </si>
  <si>
    <t>96.39.179.0</t>
  </si>
  <si>
    <t>42.1889, -122.6908</t>
  </si>
  <si>
    <t>(410) 297-8017</t>
  </si>
  <si>
    <t xml:space="preserve">Plymouth, MA, Faith Community Church </t>
  </si>
  <si>
    <t xml:space="preserve">Faith Community Church </t>
  </si>
  <si>
    <t>David S.</t>
  </si>
  <si>
    <t>Cushing</t>
  </si>
  <si>
    <t>92-330 7233</t>
  </si>
  <si>
    <t xml:space="preserve">29 Carver Rd, </t>
  </si>
  <si>
    <t>Plymouth</t>
  </si>
  <si>
    <t>MA</t>
  </si>
  <si>
    <t>20360</t>
  </si>
  <si>
    <t>(774) 404-4314</t>
  </si>
  <si>
    <t>office@faithcommunityma.com</t>
  </si>
  <si>
    <t>https://faithcommunityma.com</t>
  </si>
  <si>
    <t>David S. Cushing ( CMC) Lead|D. Stanley Cushing ( E) Senior|</t>
  </si>
  <si>
    <t>73.129.169.217</t>
  </si>
  <si>
    <t>39.4269, -76.3094</t>
  </si>
  <si>
    <t>Narrow Gate Church Inc.</t>
  </si>
  <si>
    <t>Chabot</t>
  </si>
  <si>
    <t>92-3621651</t>
  </si>
  <si>
    <t xml:space="preserve">154 Humphrey St, Suite 2 </t>
  </si>
  <si>
    <t>Swampscott</t>
  </si>
  <si>
    <t>01907</t>
  </si>
  <si>
    <t>(781) 922-0137</t>
  </si>
  <si>
    <t>christhelpingsndsministry@gmail.com</t>
  </si>
  <si>
    <t>Brian Chabot (E) Lead|Ruth Chabot (E) AP</t>
  </si>
  <si>
    <t>Iglesia Hispana Emmanuel</t>
  </si>
  <si>
    <t xml:space="preserve">Nydia Cedre </t>
  </si>
  <si>
    <t>405N Jerome st</t>
  </si>
  <si>
    <t>Allentown</t>
  </si>
  <si>
    <t>18109</t>
  </si>
  <si>
    <t>405 N Jerome st</t>
  </si>
  <si>
    <t>(484) 951-5871</t>
  </si>
  <si>
    <t>ramoscedre@yahoo.com</t>
  </si>
  <si>
    <t>Momentum Church</t>
  </si>
  <si>
    <t xml:space="preserve">Joseph </t>
  </si>
  <si>
    <t>Krajacic</t>
  </si>
  <si>
    <t>88-2343213</t>
  </si>
  <si>
    <t>148 S Paper Birch.</t>
  </si>
  <si>
    <t>Tafton</t>
  </si>
  <si>
    <t>18464</t>
  </si>
  <si>
    <t>484 Route 739</t>
  </si>
  <si>
    <t>Lord's Valley</t>
  </si>
  <si>
    <t>18428</t>
  </si>
  <si>
    <t>(585) 355-3307</t>
  </si>
  <si>
    <t>Joemomentumnepa@gmail.com</t>
  </si>
  <si>
    <t>https://www.facebook.com/momentumnepa</t>
  </si>
  <si>
    <t>Pure Life Church</t>
  </si>
  <si>
    <t xml:space="preserve">Aaron </t>
  </si>
  <si>
    <t>Wells</t>
  </si>
  <si>
    <t>85-2898595</t>
  </si>
  <si>
    <t>668 Philpot rd.</t>
  </si>
  <si>
    <t>Locust Hill</t>
  </si>
  <si>
    <t>23092</t>
  </si>
  <si>
    <t>7962 General Puller Highway #603</t>
  </si>
  <si>
    <t xml:space="preserve">Topping </t>
  </si>
  <si>
    <t>23169</t>
  </si>
  <si>
    <t>(804) 925-9196</t>
  </si>
  <si>
    <t>rocktheeastcoast@yahoo.com</t>
  </si>
  <si>
    <t>https://purelifechurch.com</t>
  </si>
  <si>
    <t>Bonnie Wells ( CMC) AP</t>
  </si>
  <si>
    <t xml:space="preserve">They rented a place across the street from where they were meeting before, but the address changed to Topping instead Locust Hill. </t>
  </si>
  <si>
    <t>Casa de Mi Padre Free Methodist Church</t>
  </si>
  <si>
    <t xml:space="preserve">Francisco </t>
  </si>
  <si>
    <t>Bautista</t>
  </si>
  <si>
    <t>92-1829452</t>
  </si>
  <si>
    <t>15-01 George St.</t>
  </si>
  <si>
    <t>Fairlawn</t>
  </si>
  <si>
    <t>07410</t>
  </si>
  <si>
    <t>Other: Treasurer mailbox</t>
  </si>
  <si>
    <t xml:space="preserve">14-19, Parmelee Ave. </t>
  </si>
  <si>
    <t>(973) 306-9694</t>
  </si>
  <si>
    <t>sj021922@yahoo.com</t>
  </si>
  <si>
    <t>Iglesia Metodista Libre Eterna Gracia Inc. Free Methodist Church</t>
  </si>
  <si>
    <t xml:space="preserve">Edward </t>
  </si>
  <si>
    <t>Ventura</t>
  </si>
  <si>
    <t>87-1798883</t>
  </si>
  <si>
    <t>11457 Crescent Pines Blvd.</t>
  </si>
  <si>
    <t>Clermont</t>
  </si>
  <si>
    <t>34711</t>
  </si>
  <si>
    <t>(917) 889-6842</t>
  </si>
  <si>
    <t>eventurapr@gmail.com</t>
  </si>
  <si>
    <t>Jiselle Ventura (E) AP</t>
  </si>
  <si>
    <t xml:space="preserve">Iglesia Metodista Libre Casa de Dios </t>
  </si>
  <si>
    <t xml:space="preserve">Juan </t>
  </si>
  <si>
    <t>Aquino Romero</t>
  </si>
  <si>
    <t xml:space="preserve">233 South Lincoln avenue </t>
  </si>
  <si>
    <t>Lebanon</t>
  </si>
  <si>
    <t>17042</t>
  </si>
  <si>
    <t>932 Cornwall Rd, Lebanon</t>
  </si>
  <si>
    <t>(717) 271-6364</t>
  </si>
  <si>
    <t>Juanluisaquino@yahoo.com</t>
  </si>
  <si>
    <t>https://www.facebook.com/profile.php?id=100071334154105</t>
  </si>
  <si>
    <t>Amalia Moya de Aquino (CMC) ASP</t>
  </si>
  <si>
    <t>790</t>
  </si>
  <si>
    <t>Elvis</t>
  </si>
  <si>
    <t>Naqvi</t>
  </si>
  <si>
    <t>https://www.formstack.com/admin/download/file/15660002896</t>
  </si>
  <si>
    <t>Other: Appointed to ACN</t>
  </si>
  <si>
    <t>They don't own a property.</t>
  </si>
  <si>
    <t>They are being returned to the Conference.</t>
  </si>
  <si>
    <t>Chrome 120.0.0.0 / Windows</t>
  </si>
  <si>
    <t>390033</t>
  </si>
  <si>
    <t>3957 LaBrosse Hill Street</t>
  </si>
  <si>
    <t>They discontinued their PO Box.</t>
  </si>
  <si>
    <t>360018</t>
  </si>
  <si>
    <t>Property was transferred to FMCSC a few years ago.</t>
  </si>
  <si>
    <t xml:space="preserve">The conference is currently managing the church funds.  </t>
  </si>
  <si>
    <t>Remaining open for withdrawn church|Other: Please keep the EIN open for possible ministries, such as for homeless that may still happen at this location...</t>
  </si>
  <si>
    <t>Insurance is under the FMCSC.||There are talks with other religious organizations in Barstow who may want to partner with the church for ongoing ministry to homeless, food pantry, etc., so we want the EIN to remain active at this time.  There are no longer any worship services being held there, however.</t>
  </si>
  <si>
    <t>Chrome 120.0.0.0 / OS X</t>
  </si>
  <si>
    <t>98.60.71.41</t>
  </si>
  <si>
    <t>35.0813, -106.6212</t>
  </si>
  <si>
    <t>Upward Church - A Free Methodist Ministry</t>
  </si>
  <si>
    <t>Upward Church</t>
  </si>
  <si>
    <t>Ramon</t>
  </si>
  <si>
    <t>92-3752299</t>
  </si>
  <si>
    <t>Conference - FMCSC</t>
  </si>
  <si>
    <t>1551 Majesty St</t>
  </si>
  <si>
    <t>Upland</t>
  </si>
  <si>
    <t>91784</t>
  </si>
  <si>
    <t>The church's mailbox|The pastor's mailbox</t>
  </si>
  <si>
    <t>(909) 892-1211</t>
  </si>
  <si>
    <t>ramonjones4321@yahoo.com</t>
  </si>
  <si>
    <t>Unknown at this time</t>
  </si>
  <si>
    <t>I am not aware of what they have regarding insurance. I believe the FMCSC will add them listed as an additional insured if they don't have their own policy.||They are currently incorporated as Upward Church, but they didn't include the required FM wording. We will help them amend the articles in January, and I believe we will add ""A Free Methodist Ministry"" to their name....making it ""Upward Church - A Free Methodist Ministry,"" but that hasn't happened yet.  The EIN was established under Upward Church.</t>
  </si>
  <si>
    <t>340146</t>
  </si>
  <si>
    <t>88-3214658</t>
  </si>
  <si>
    <t>340 Fulton Dr</t>
  </si>
  <si>
    <t>Hannah</t>
  </si>
  <si>
    <t>McAvoy</t>
  </si>
  <si>
    <t>(813) 285-8909</t>
  </si>
  <si>
    <t>h.shields@srcfmc.com</t>
  </si>
  <si>
    <t>340038</t>
  </si>
  <si>
    <t xml:space="preserve">Church on Wheels </t>
  </si>
  <si>
    <t>Church on Wheels - Spoken Word</t>
  </si>
  <si>
    <t xml:space="preserve">Jeffrey </t>
  </si>
  <si>
    <t>Goodine</t>
  </si>
  <si>
    <t>27-4705393</t>
  </si>
  <si>
    <t>196 Hedgewood Ave</t>
  </si>
  <si>
    <t>Deltona</t>
  </si>
  <si>
    <t>32738</t>
  </si>
  <si>
    <t>300 S Volusia Ave</t>
  </si>
  <si>
    <t>Orange City</t>
  </si>
  <si>
    <t>32763</t>
  </si>
  <si>
    <t>(386) 365-9763</t>
  </si>
  <si>
    <t>pastorjeffreygoodine@gmail.com</t>
  </si>
  <si>
    <t>340155</t>
  </si>
  <si>
    <t>Pathway Community Church FMC INC</t>
  </si>
  <si>
    <t xml:space="preserve">Midland </t>
  </si>
  <si>
    <t>Lakeview Free Methodist Church</t>
  </si>
  <si>
    <t>Jeavon</t>
  </si>
  <si>
    <t>Back</t>
  </si>
  <si>
    <t>93-4017654</t>
  </si>
  <si>
    <t>1017 Franks Circle</t>
  </si>
  <si>
    <t>Alabaster</t>
  </si>
  <si>
    <t>35007</t>
  </si>
  <si>
    <t>Other: Church Office</t>
  </si>
  <si>
    <t>1974 Chandalar Dr</t>
  </si>
  <si>
    <t>Suite D</t>
  </si>
  <si>
    <t>Pelham</t>
  </si>
  <si>
    <t>35124</t>
  </si>
  <si>
    <t>(810) 853-0954</t>
  </si>
  <si>
    <t>jeavon.back@gmail.com</t>
  </si>
  <si>
    <t>Church will be moving to society status very soon.</t>
  </si>
  <si>
    <t>Chrome 121.0.0.0 / Windows</t>
  </si>
  <si>
    <t>Audrey</t>
  </si>
  <si>
    <t>Kaufmann</t>
  </si>
  <si>
    <t>(620) 755-7666</t>
  </si>
  <si>
    <t>office@crcfmc.org</t>
  </si>
  <si>
    <t>80067</t>
  </si>
  <si>
    <t>Other: The lead pastor, Orlando Terrero, has deposited his credentials with the conference office and is not longer an FMC elder.</t>
  </si>
  <si>
    <t>This was a CPP, so I do not believe they owned a building.</t>
  </si>
  <si>
    <t>24.248.226.9</t>
  </si>
  <si>
    <t>37.5544, -97.2586</t>
  </si>
  <si>
    <t>340212</t>
  </si>
  <si>
    <t xml:space="preserve">Jeavon </t>
  </si>
  <si>
    <t xml:space="preserve">Other: Church office mailing address </t>
  </si>
  <si>
    <t>https://www.formstack.com/admin/download/file/15867221869</t>
  </si>
  <si>
    <t>https://www.formstack.com/admin/download/file/15867221871</t>
  </si>
  <si>
    <t>Please provide a Letter of Authorization to use the 501c3 to t.phillips@srcfmc.com when completed.  Thank you.</t>
  </si>
  <si>
    <t>090265</t>
  </si>
  <si>
    <t>Withdrew from Affiliation</t>
  </si>
  <si>
    <t xml:space="preserve">Spirit of Victory Ministries </t>
  </si>
  <si>
    <t>Spirit of Victory Ministries</t>
  </si>
  <si>
    <t xml:space="preserve">Other: Affiliation discontinued </t>
  </si>
  <si>
    <t>They are purchasing the church building from EMC, and will do so this month. Cash payment; release to sell received from FMCUSA.</t>
  </si>
  <si>
    <t>Affiliation discontinued. They will keep their funds.</t>
  </si>
  <si>
    <t xml:space="preserve">Remaining open for withdrawn church|Other: Affiliation discontinued </t>
  </si>
  <si>
    <t xml:space="preserve">Per Supt Dale Woods:||SOV had an affiliate agreement in place and throughout 2023 they did not meet requirements and were terminated by non performing terms of affiliation.  </t>
  </si>
  <si>
    <t>Mobile Safari 17.2 / iOS</t>
  </si>
  <si>
    <t>68.61.202.252</t>
  </si>
  <si>
    <t>43.0628, -83.629</t>
  </si>
  <si>
    <t xml:space="preserve">Michelle </t>
  </si>
  <si>
    <t>Lamar United Methodist Church</t>
  </si>
  <si>
    <t>Lamar Methodist Church</t>
  </si>
  <si>
    <t>under</t>
  </si>
  <si>
    <t>Supt.</t>
  </si>
  <si>
    <t>93-1913289</t>
  </si>
  <si>
    <t xml:space="preserve">900 Poplar St. </t>
  </si>
  <si>
    <t>Lamar</t>
  </si>
  <si>
    <t>64759</t>
  </si>
  <si>
    <t>900 Poplar St.</t>
  </si>
  <si>
    <t>(417) 682-3306</t>
  </si>
  <si>
    <t>office@lumc.church</t>
  </si>
  <si>
    <t>https://www.lumc.church/</t>
  </si>
  <si>
    <t>white</t>
  </si>
  <si>
    <t>Chrome 122.0.0.0 / Windows</t>
  </si>
  <si>
    <t>96.18.217.122</t>
  </si>
  <si>
    <t>Keith</t>
  </si>
  <si>
    <t>Tanita</t>
  </si>
  <si>
    <t>3109457115</t>
  </si>
  <si>
    <t>keith@pcjcfm.org</t>
  </si>
  <si>
    <t>https://www.formstack.com/admin/download/file/16005308574</t>
  </si>
  <si>
    <t>We released the property through a quick claim deed</t>
  </si>
  <si>
    <t xml:space="preserve">Funds will go into the general fund. </t>
  </si>
  <si>
    <t xml:space="preserve">See disaffiliation agreement for further details </t>
  </si>
  <si>
    <t>Safari 17.2.1 / OS X</t>
  </si>
  <si>
    <t>76.95.227.198</t>
  </si>
  <si>
    <t>34.0123, -118.3757</t>
  </si>
  <si>
    <t>320530</t>
  </si>
  <si>
    <t>The Axiom Church</t>
  </si>
  <si>
    <t>Could you send this information to the ""Find-A-Church"" administrators?|Thanks!</t>
  </si>
  <si>
    <t>320059</t>
  </si>
  <si>
    <t>1221 148th Ave NE</t>
  </si>
  <si>
    <t>Bellevue</t>
  </si>
  <si>
    <t>PO Box 2086</t>
  </si>
  <si>
    <t>Renton</t>
  </si>
  <si>
    <t>(425) 551-8185</t>
  </si>
  <si>
    <t>lu.icf@yahoo.com</t>
  </si>
  <si>
    <t>Phalla Son is officially the Lead Pastor, but all communications should go through the associate pastor, Lu Chau. Phalla doesn't know much English.</t>
  </si>
  <si>
    <t>Foundation Free Methodist Church (as Assumed Name under NMC)</t>
  </si>
  <si>
    <t>New Hope</t>
  </si>
  <si>
    <t>5665 Eastern Ave. SE</t>
  </si>
  <si>
    <t>Grand Rapids</t>
  </si>
  <si>
    <t>https://www.formstack.com/admin/download/file/16062938601</t>
  </si>
  <si>
    <t xml:space="preserve">There will be no unused property.   Foundation Free Methodist Church (Church A - Assumed Name under NMC) was a church plant that was meeting in the New Hope parsonage.  The pastor(s) of that church plant will be pastor(s) of Foundation Free Methodist Church (Church B - Assumed Name under New Hope) and will continue to live in the New Hope (Foundation FMC) parsonage.  </t>
  </si>
  <si>
    <t>According to the NMC BOA minutes, the new Assumed Name was going to be ""Foundation Church.""  However, that paperwork was declined by Michigan Dept. of Licensing and Regulatory Affairs (LARA), because there is another ""The Foundation Church"" in another denomination in Michigan.  ||Effective date will be when the Certificate of Assumed Name (Foundation Free Methodist Church) is approved and filed with LARA.</t>
  </si>
  <si>
    <t>47.35.125.27</t>
  </si>
  <si>
    <t>44.2399, -85.43</t>
  </si>
  <si>
    <t>340075</t>
  </si>
  <si>
    <t>Living Water Shoals Inc</t>
  </si>
  <si>
    <t>Living Water Church</t>
  </si>
  <si>
    <t>William</t>
  </si>
  <si>
    <t>99-1588394</t>
  </si>
  <si>
    <t>201 JC Mauldin Hwy</t>
  </si>
  <si>
    <t>Killen</t>
  </si>
  <si>
    <t>35645</t>
  </si>
  <si>
    <t>livingwatershoals@gmail.com</t>
  </si>
  <si>
    <t>Please correct the church's legal name.  ||Please also sent a letter of authorization back to t.phillips@srcfmc.com.  ||Thank you.</t>
  </si>
  <si>
    <t>Chrome 123.0.0.0 / Windows</t>
  </si>
  <si>
    <t>Iglesia Alcance Florida Inc</t>
  </si>
  <si>
    <t>Iglesia Alcance</t>
  </si>
  <si>
    <t>Jaquez</t>
  </si>
  <si>
    <t>93-4359625</t>
  </si>
  <si>
    <t>1623 Muir Circle</t>
  </si>
  <si>
    <t>20180 US Hwy 27</t>
  </si>
  <si>
    <t>Suite 301</t>
  </si>
  <si>
    <t>34715</t>
  </si>
  <si>
    <t>(407) 590-0606</t>
  </si>
  <si>
    <t>daniel@alcanceclermont.org</t>
  </si>
  <si>
    <t>Church was started before 11/10/23, but not formal organization was made and I have no other information for them.</t>
  </si>
  <si>
    <t>Shady Hills Mission Chapel Inc</t>
  </si>
  <si>
    <t>Jennifer</t>
  </si>
  <si>
    <t>Kerouac</t>
  </si>
  <si>
    <t>15925 Greenglen Lane</t>
  </si>
  <si>
    <t>Spring Hill</t>
  </si>
  <si>
    <t>34610</t>
  </si>
  <si>
    <t>(727) 271-5317</t>
  </si>
  <si>
    <t>carolynperry2004@yahoo.com</t>
  </si>
  <si>
    <t>Prospective members have been adequately prepared for membership|Church name is incorporated under state law|Church has its own EIN|Church has elected its own local BOA|Church has developed a mission statement that is in harmony with the denomination|Church is insured</t>
  </si>
  <si>
    <t>https://www.formstack.com/admin/download/file/16239014980</t>
  </si>
  <si>
    <t>https://www.formstack.com/admin/download/file/16239014982</t>
  </si>
  <si>
    <t xml:space="preserve">This is a former UMC church.  No trust clause is required.  </t>
  </si>
  <si>
    <t>Chrome 124.0.0.0 / Windows</t>
  </si>
  <si>
    <t>020</t>
  </si>
  <si>
    <t xml:space="preserve">William </t>
  </si>
  <si>
    <t>Cornejo</t>
  </si>
  <si>
    <t>No property</t>
  </si>
  <si>
    <t>No funds, they joined another church outside our denomination and conference.</t>
  </si>
  <si>
    <t>Mobile Safari 17.4.1 / iOS</t>
  </si>
  <si>
    <t>98.97.59.211</t>
  </si>
  <si>
    <t>Dahlgren</t>
  </si>
  <si>
    <t>Lester</t>
  </si>
  <si>
    <t>Graham</t>
  </si>
  <si>
    <t xml:space="preserve">5Th St &amp; Main St </t>
  </si>
  <si>
    <t>62828</t>
  </si>
  <si>
    <t>5th St. &amp; Main St.</t>
  </si>
  <si>
    <t>(618) 643-2744</t>
  </si>
  <si>
    <t>lestergraham50@gmail.com</t>
  </si>
  <si>
    <t>Cave In Rock</t>
  </si>
  <si>
    <t>Cherrie</t>
  </si>
  <si>
    <t xml:space="preserve"> Roan</t>
  </si>
  <si>
    <t xml:space="preserve">504 Lincoln Blvd </t>
  </si>
  <si>
    <t>Shawneetown</t>
  </si>
  <si>
    <t>62984</t>
  </si>
  <si>
    <t xml:space="preserve">504 Lincoln Blvd Shawneetown </t>
  </si>
  <si>
    <t>(618) 683-6012</t>
  </si>
  <si>
    <t>preacherldy2@gmail.com</t>
  </si>
  <si>
    <t>Cathy</t>
  </si>
  <si>
    <t>Tastad</t>
  </si>
  <si>
    <t>(206) 709-5136</t>
  </si>
  <si>
    <t>cathy.tastad@pnwc.org</t>
  </si>
  <si>
    <t>Arlington Free Methodist Church</t>
  </si>
  <si>
    <t>730 E Highland Dr</t>
  </si>
  <si>
    <t>Arlington</t>
  </si>
  <si>
    <t>6715 Grove St</t>
  </si>
  <si>
    <t>Marysville</t>
  </si>
  <si>
    <t xml:space="preserve">Bryan </t>
  </si>
  <si>
    <t>https://www.formstack.com/admin/download/file/16288833128</t>
  </si>
  <si>
    <t>https://www.formstack.com/admin/download/file/16288833129</t>
  </si>
  <si>
    <t>https://www.formstack.com/admin/download/file/16288833130</t>
  </si>
  <si>
    <t>Church property deed has been transferred to RockCreek Church.  Property will continue to be used as the RockCreek Arlington campus location</t>
  </si>
  <si>
    <t>Arlington FMC merged into RockCreek Church</t>
  </si>
  <si>
    <t>Chrome 124.0.0.0 / OS X</t>
  </si>
  <si>
    <t>66.235.16.39</t>
  </si>
  <si>
    <t>47.8978, -122.0693</t>
  </si>
  <si>
    <t>Ballah Chapel</t>
  </si>
  <si>
    <t xml:space="preserve">Samuel </t>
  </si>
  <si>
    <t>Massey</t>
  </si>
  <si>
    <t>93 3852557</t>
  </si>
  <si>
    <t>PO Box 465</t>
  </si>
  <si>
    <t>Grant Town</t>
  </si>
  <si>
    <t>26574</t>
  </si>
  <si>
    <t>Main Street</t>
  </si>
  <si>
    <t>(304) 203-0187</t>
  </si>
  <si>
    <t>sammassey1986@gmail.com</t>
  </si>
  <si>
    <t>24.3.55.250</t>
  </si>
  <si>
    <t>40.4325, -79.863</t>
  </si>
  <si>
    <t>Nash Church</t>
  </si>
  <si>
    <t xml:space="preserve">Jeanette </t>
  </si>
  <si>
    <t>Wagner</t>
  </si>
  <si>
    <t>99-1338549</t>
  </si>
  <si>
    <t>958 Nash Road</t>
  </si>
  <si>
    <t>North Tonawanda</t>
  </si>
  <si>
    <t>14120</t>
  </si>
  <si>
    <t>585 617 5421</t>
  </si>
  <si>
    <t>jwagner@nash.church</t>
  </si>
  <si>
    <t>Jeanette Wagner</t>
  </si>
  <si>
    <t>330090</t>
  </si>
  <si>
    <t>Local Church's BOA has voted to close|Local Church's Society has voted to close</t>
  </si>
  <si>
    <t>https://www.formstack.com/admin/download/file/16318381637</t>
  </si>
  <si>
    <t>The conference is going to try to sell it.</t>
  </si>
  <si>
    <t>The Conference Administrator/Treasurer is taking care of parsonage rental income and paying the utility bills for the church building.</t>
  </si>
  <si>
    <t>290400</t>
  </si>
  <si>
    <t>Other: The society was disbanded on April 8, 2024.</t>
  </si>
  <si>
    <t>Misalignment with FM polity by the church board of administration and majority of members, and with regards to financial inability to continue per par. 6420, Book of Discipline.|</t>
  </si>
  <si>
    <t>Robroy</t>
  </si>
  <si>
    <t>Ranger</t>
  </si>
  <si>
    <t>11677 Sublimity Rd SE</t>
  </si>
  <si>
    <t xml:space="preserve">Sublimity </t>
  </si>
  <si>
    <t>PO Box 156</t>
  </si>
  <si>
    <t>Sublimity</t>
  </si>
  <si>
    <t>-- A new PO Box for the church mailing address has been assigned above. (One digit difference from previous PO Box#). |-- The phone number and email address listed for the church are temporarily that of the conference office until new ones are assigned for the church and the pastors serving to re-launch the church.|-- Interim pastors are in the process of becoming FMC and resumed services immediately, thus the close dates between disbanding and resuming noted above.</t>
  </si>
  <si>
    <t>50.39.149.33</t>
  </si>
  <si>
    <t>45.3102, -122.967</t>
  </si>
  <si>
    <t>Iglesia Luz y Vida Inc</t>
  </si>
  <si>
    <t>Iglesia Luz y Vida</t>
  </si>
  <si>
    <t>Estrella</t>
  </si>
  <si>
    <t>88-2711702</t>
  </si>
  <si>
    <t>1516 Flower Dust Dr</t>
  </si>
  <si>
    <t>Ruskin</t>
  </si>
  <si>
    <t>33578</t>
  </si>
  <si>
    <t>(813) 613-8903</t>
  </si>
  <si>
    <t>josegabriel.estrella@gmail.com</t>
  </si>
  <si>
    <t>Chiefland Methodist Inc</t>
  </si>
  <si>
    <t>Williams</t>
  </si>
  <si>
    <t>PO Box 1086</t>
  </si>
  <si>
    <t>Chiefland</t>
  </si>
  <si>
    <t>32644</t>
  </si>
  <si>
    <t>707 N Main St</t>
  </si>
  <si>
    <t>32626</t>
  </si>
  <si>
    <t>(352) 493-4627</t>
  </si>
  <si>
    <t>office@chieflandmethodist.org</t>
  </si>
  <si>
    <t>https://www.formstack.com/admin/download/file/16326249870</t>
  </si>
  <si>
    <t>https://www.formstack.com/admin/download/file/16326249872</t>
  </si>
  <si>
    <t>Tina PHillips</t>
  </si>
  <si>
    <t>Hope of Albertville</t>
  </si>
  <si>
    <t>Andrew</t>
  </si>
  <si>
    <t>Gregg</t>
  </si>
  <si>
    <t>92-1809552</t>
  </si>
  <si>
    <t>1110 Walnut St</t>
  </si>
  <si>
    <t>Albertville</t>
  </si>
  <si>
    <t>35950</t>
  </si>
  <si>
    <t>(256) 878-1813</t>
  </si>
  <si>
    <t>hopeofalbertville@gmail.com</t>
  </si>
  <si>
    <t>Chrome 125.0.0.0 / Windows</t>
  </si>
  <si>
    <t>398</t>
  </si>
  <si>
    <t>Roan</t>
  </si>
  <si>
    <t>119 E. Main St.</t>
  </si>
  <si>
    <t xml:space="preserve"> 391 IL RT 146-34</t>
  </si>
  <si>
    <t>Elizabethtown</t>
  </si>
  <si>
    <t>Pastor's Address</t>
  </si>
  <si>
    <t>information has already been sent.  Just correcting physical address and mailing address.||Thank you.</t>
  </si>
  <si>
    <t>Expressions Church</t>
  </si>
  <si>
    <t>Spolar</t>
  </si>
  <si>
    <t>Long Beach, Light &amp; Life Christian Fellowship-North  (in The Reach Conference)</t>
  </si>
  <si>
    <t>300 S. 3rd St.</t>
  </si>
  <si>
    <t>Alhambra</t>
  </si>
  <si>
    <t>91801</t>
  </si>
  <si>
    <t>(626) 343-3431</t>
  </si>
  <si>
    <t>christopherspolar@gmail.com</t>
  </si>
  <si>
    <t>Multi-ethnic; pastor is caucasian.</t>
  </si>
  <si>
    <t>Since the church is just in the planning stages and not yet launched, they don't have insurance yet. My assumption is that they will obtain insurance either through LLCF-North or through our conference once they're ready to laundh.</t>
  </si>
  <si>
    <t>Chrome 123.0.0.0 / OS X</t>
  </si>
  <si>
    <t>34.1624, -118.1275</t>
  </si>
  <si>
    <t>GayAnn</t>
  </si>
  <si>
    <t>REynolds</t>
  </si>
  <si>
    <t>(248) 877-3057</t>
  </si>
  <si>
    <t>treasurer@ofmchurch.org</t>
  </si>
  <si>
    <t>Oxford Free Methodist Church</t>
  </si>
  <si>
    <t>090610</t>
  </si>
  <si>
    <t>Oxford Freedom Church</t>
  </si>
  <si>
    <t>oxfordfreedom.org</t>
  </si>
  <si>
    <t>We have a new DBA name that we'll be promoting.  Please update the directory with our new name and website address.  Thanks!</t>
  </si>
  <si>
    <t>75.128.176.228</t>
  </si>
  <si>
    <t>42.841, -83.4235</t>
  </si>
  <si>
    <t>Bowling Green KY Swahili</t>
  </si>
  <si>
    <t>190046</t>
  </si>
  <si>
    <t xml:space="preserve">Taka </t>
  </si>
  <si>
    <t>Etambula</t>
  </si>
  <si>
    <t>929 College St</t>
  </si>
  <si>
    <t>Bowling Green</t>
  </si>
  <si>
    <t>KY</t>
  </si>
  <si>
    <t>42101</t>
  </si>
  <si>
    <t>(270) 418-1227</t>
  </si>
  <si>
    <t>etambulataka@gmail.com</t>
  </si>
  <si>
    <t xml:space="preserve">facility insured by Bowling Green Fountain Square Ministries </t>
  </si>
  <si>
    <t>98.16.161.254</t>
  </si>
  <si>
    <t>37.9824, -84.4797</t>
  </si>
  <si>
    <t>Louisville KY Capernaum Swahili</t>
  </si>
  <si>
    <t>190051</t>
  </si>
  <si>
    <t>Etienne</t>
  </si>
  <si>
    <t>Bushoshi</t>
  </si>
  <si>
    <t>88-3339485</t>
  </si>
  <si>
    <t>236 Breckenridge Ln</t>
  </si>
  <si>
    <t>Louisville</t>
  </si>
  <si>
    <t>40207</t>
  </si>
  <si>
    <t>(502) 475-0728</t>
  </si>
  <si>
    <t>habbush37@gmail.com</t>
  </si>
  <si>
    <t>Viscioni</t>
  </si>
  <si>
    <t>officefmcohio@gmail.com</t>
  </si>
  <si>
    <t>Mayfield Height FMC (New Hope Ministries)</t>
  </si>
  <si>
    <t>260130</t>
  </si>
  <si>
    <t>Being sold</t>
  </si>
  <si>
    <t>Transferred to Ohio Conference</t>
  </si>
  <si>
    <t>Chrome 126.0.0.0 / Windows</t>
  </si>
  <si>
    <t>174.105.124.18</t>
  </si>
  <si>
    <t>40.72, -82.8038</t>
  </si>
  <si>
    <t>Pomeroy, Laurel Cliff Free Methodist Church</t>
  </si>
  <si>
    <t>260360</t>
  </si>
  <si>
    <t>https://www.formstack.com/admin/download/file/16514003377</t>
  </si>
  <si>
    <t>Up for sale</t>
  </si>
  <si>
    <t>What existed given to Conference</t>
  </si>
  <si>
    <t>Sharon Avenue Free Methodist Church</t>
  </si>
  <si>
    <t>260540</t>
  </si>
  <si>
    <t xml:space="preserve">Maybelle </t>
  </si>
  <si>
    <t>Shaw</t>
  </si>
  <si>
    <t>1330 Sharon Ave</t>
  </si>
  <si>
    <t>Zanesville</t>
  </si>
  <si>
    <t>OH</t>
  </si>
  <si>
    <t>43701-5148</t>
  </si>
  <si>
    <t>(740) 319-0780</t>
  </si>
  <si>
    <t>belleshaw_08@yahoo.com</t>
  </si>
  <si>
    <t>Crooksville Free Methodist Church</t>
  </si>
  <si>
    <t>260190</t>
  </si>
  <si>
    <t>https://www.formstack.com/admin/download/file/16514129792</t>
  </si>
  <si>
    <t>Returned to Conference</t>
  </si>
  <si>
    <t xml:space="preserve">Whittier, Revolution Church  - A Free Methodist Ministry </t>
  </si>
  <si>
    <t>360085</t>
  </si>
  <si>
    <t>Kim</t>
  </si>
  <si>
    <t>Hitt-Galvan</t>
  </si>
  <si>
    <t>Other: Discontinued as CMC</t>
  </si>
  <si>
    <t xml:space="preserve">This is was a church plant that was renting a location for Sunday services, so there is no real property. </t>
  </si>
  <si>
    <t>The bank account balance will come to the conference. There was very little remaining.|</t>
  </si>
  <si>
    <t>Other: Please remove their EIN from the group exemption list and ask that the IRS close it. This CPP was not incorporated.</t>
  </si>
  <si>
    <t>Since they were a CPP they don't technically have a BOA so there are no minutes to submit, but we received a letter from Kim stating they were leaving. We have since discovered they are now a part of the Friend's Denomination.</t>
  </si>
  <si>
    <t>Chrome 125.0.0.0 / OS X</t>
  </si>
  <si>
    <t>Compton, Holy Faith Fellowship</t>
  </si>
  <si>
    <t>Holy Faith Fellowship</t>
  </si>
  <si>
    <t>Teter</t>
  </si>
  <si>
    <t>87-2569443</t>
  </si>
  <si>
    <t>1821 W 32nd St</t>
  </si>
  <si>
    <t>90810</t>
  </si>
  <si>
    <t>1226 W Compton Blvd</t>
  </si>
  <si>
    <t>Compton</t>
  </si>
  <si>
    <t>90220</t>
  </si>
  <si>
    <t>(562) 726-1069</t>
  </si>
  <si>
    <t>john@holyfaithfellowship.org</t>
  </si>
  <si>
    <t>www.holyfaithfellowship.org</t>
  </si>
  <si>
    <t>Multi-ethnic</t>
  </si>
  <si>
    <t>I put May 19th, 2024 as the first service since that's the Sunday after our Annual Conference when they became an affiliate in our conference.  They originally started as a church plant in February of 2021 and had ties to the Covenant denomination.  ||Pastor John will eventually transfer his ordination from the Covenant denomination once he's taken the required FMC courses.</t>
  </si>
  <si>
    <t xml:space="preserve">Hope Kiswahili Free Methodist Church </t>
  </si>
  <si>
    <t>HOPE FREE METHODIST CLEVELAND SWAHILI CHURCH</t>
  </si>
  <si>
    <t xml:space="preserve">Mwilewa </t>
  </si>
  <si>
    <t>Wabyolengany</t>
  </si>
  <si>
    <t>2327 Holmden Ave</t>
  </si>
  <si>
    <t>Cleveland</t>
  </si>
  <si>
    <t>44109</t>
  </si>
  <si>
    <t>(216) 310-7339</t>
  </si>
  <si>
    <t>wabyolenganyamwilewa@gmail.com</t>
  </si>
  <si>
    <t>Conglese</t>
  </si>
  <si>
    <t>https://www.formstack.com/admin/download/file/16518288877</t>
  </si>
  <si>
    <t>https://www.formstack.com/admin/download/file/16518288879</t>
  </si>
  <si>
    <t>Free Methodist Church Swahili Lexington</t>
  </si>
  <si>
    <t>190144</t>
  </si>
  <si>
    <t>Amani</t>
  </si>
  <si>
    <t>Kaluta</t>
  </si>
  <si>
    <t>New South Conference</t>
  </si>
  <si>
    <t>1711 Knoxville Court</t>
  </si>
  <si>
    <t>40505</t>
  </si>
  <si>
    <t>(719) 237-1216</t>
  </si>
  <si>
    <t>amanikaluta@gmail.com</t>
  </si>
  <si>
    <t>The church  meets in the pastor's home.</t>
  </si>
  <si>
    <t>CHARLIE</t>
  </si>
  <si>
    <t>FISKEAUX</t>
  </si>
  <si>
    <t>Gallatin TN, First (#190090)</t>
  </si>
  <si>
    <t>Gallatin TN, Real Grace (#190091)</t>
  </si>
  <si>
    <t>568 N Water St</t>
  </si>
  <si>
    <t>https://www.formstack.com/admin/download/file/16559589055</t>
  </si>
  <si>
    <t>https://www.formstack.com/admin/download/file/16559589056</t>
  </si>
  <si>
    <t>https://www.formstack.com/admin/download/file/16559589057</t>
  </si>
  <si>
    <t>Real Grace is a CPP that is reuniting with their sponsoring church, Gallatin First.  They will continue to meet in the Gallatin First facility.</t>
  </si>
  <si>
    <t>080 Central Region</t>
  </si>
  <si>
    <t>Iglesia Cristiana Peniel</t>
  </si>
  <si>
    <t>207</t>
  </si>
  <si>
    <t>Arturo</t>
  </si>
  <si>
    <t>Pinon</t>
  </si>
  <si>
    <t xml:space="preserve">This property is owned by the Pinons and it has a mortgage. The Conference and the denomination have no ownership in the property.  </t>
  </si>
  <si>
    <t>The current plan is that the building will be leased/rented and the funds received will pay toward the mortgage</t>
  </si>
  <si>
    <t>Other: Arturo &amp; Margarita Pinon have not determined whether they will close the EIN or leave it open for future FM Church in El Paso.</t>
  </si>
  <si>
    <t xml:space="preserve">I do not believe so. </t>
  </si>
  <si>
    <t>35.4834, -97.6315</t>
  </si>
  <si>
    <t>NUEVA VIDA COMUNIDAD CRISTIANA</t>
  </si>
  <si>
    <t>Nueva Vida Comunidad Cristiana</t>
  </si>
  <si>
    <t xml:space="preserve">Nueva Vida </t>
  </si>
  <si>
    <t>J. Alan</t>
  </si>
  <si>
    <t>MuÃ±iz Ugalde</t>
  </si>
  <si>
    <t>CENTER FOR INNOVATIVE AND URBAN MINISTRY</t>
  </si>
  <si>
    <t>Spring Arbor</t>
  </si>
  <si>
    <t>The church's mailbox|Other: Mission Igniter &amp; The Conference's Mailbox</t>
  </si>
  <si>
    <t>1841 Pinecrest</t>
  </si>
  <si>
    <t>Ferndale</t>
  </si>
  <si>
    <t>48220</t>
  </si>
  <si>
    <t>(248) 785-8553</t>
  </si>
  <si>
    <t>Contacto@nuevavidacc.com</t>
  </si>
  <si>
    <t>https://www.facebook.com/Nuevavidamichigan</t>
  </si>
  <si>
    <t>Chrome 126.0.0.0 / OS X</t>
  </si>
  <si>
    <t>68.61.56.3</t>
  </si>
  <si>
    <t>43.0761, -83.8473</t>
  </si>
  <si>
    <t>Scranton, PA - Revive Church</t>
  </si>
  <si>
    <t>240000</t>
  </si>
  <si>
    <t>Cohen</t>
  </si>
  <si>
    <t>https://www.formstack.com/admin/download/file/16605706895</t>
  </si>
  <si>
    <t>Other: James Cohen will be appointed to ACN</t>
  </si>
  <si>
    <t>The meeting place is rented.</t>
  </si>
  <si>
    <t>The Church still exists. They are a small group meeting as ACN "" Acts Churches Nest.""|</t>
  </si>
  <si>
    <t>72.85.27.221</t>
  </si>
  <si>
    <t>39.386, -76.54</t>
  </si>
  <si>
    <t>Baltimore, Trono de Gloria</t>
  </si>
  <si>
    <t>240049</t>
  </si>
  <si>
    <t>https://www.formstack.com/admin/download/file/16605778659</t>
  </si>
  <si>
    <t xml:space="preserve">Other: Marino Martinez is a Licensed Pastor, so he will not have appointment </t>
  </si>
  <si>
    <t>This church was in the process of being affiliated with FMC, but this conversation was never finalized because of Myller's passing. They belong to another denomination.</t>
  </si>
  <si>
    <t>Same explanation as the last question.</t>
  </si>
  <si>
    <t>Other: I don't know. I think it will remain open until they decide on the affiliation or no.</t>
  </si>
  <si>
    <t xml:space="preserve">This Church will remain as ACN until we try to resume the conversation about affiliation. </t>
  </si>
  <si>
    <t>Free Methodist Church of Boston</t>
  </si>
  <si>
    <t>Elison</t>
  </si>
  <si>
    <t>Estevam</t>
  </si>
  <si>
    <t>88-1605737</t>
  </si>
  <si>
    <t>200 Governor Dr #23</t>
  </si>
  <si>
    <t>Winthrop</t>
  </si>
  <si>
    <t>02152</t>
  </si>
  <si>
    <t>175 William F McClellan Hwy</t>
  </si>
  <si>
    <t>Boston</t>
  </si>
  <si>
    <t>02128</t>
  </si>
  <si>
    <t>(617) 669-1585</t>
  </si>
  <si>
    <t>methodistfreeboston@gmail.com</t>
  </si>
  <si>
    <t>https://www.instagram.com/freemethodistboston/</t>
  </si>
  <si>
    <t>Brazilian</t>
  </si>
  <si>
    <t>The second pastor appointed is Marilia Estevam</t>
  </si>
  <si>
    <t>Trenton Methodist Church Inc</t>
  </si>
  <si>
    <t>Wibert</t>
  </si>
  <si>
    <t>12500 N Main St</t>
  </si>
  <si>
    <t>Trenton</t>
  </si>
  <si>
    <t>30752-2227</t>
  </si>
  <si>
    <t>(706) 657-6170</t>
  </si>
  <si>
    <t>trentonmethodistchurch@gmail.com</t>
  </si>
  <si>
    <t>https://trentonmethodistchurch.com/</t>
  </si>
  <si>
    <t>Prospective members have been adequately prepared for membership|Church name is incorporated under state law|Church has its own EIN|Church has elected its own local BOA|Church has adopted by-laws in accordance with denominational and state laws|Church is insured</t>
  </si>
  <si>
    <t>https://www.formstack.com/admin/download/file/16721833618</t>
  </si>
  <si>
    <t>https://www.formstack.com/admin/download/file/16721833620</t>
  </si>
  <si>
    <t>Chrome 127.0.0.0 / Windows</t>
  </si>
  <si>
    <t>146.168.209.149</t>
  </si>
  <si>
    <t>41.9566, -78.6523</t>
  </si>
  <si>
    <t>Amelia</t>
  </si>
  <si>
    <t>Cleveland-Traylor</t>
  </si>
  <si>
    <t>(216) 407-4737</t>
  </si>
  <si>
    <t>dramelia@theriverconference.org</t>
  </si>
  <si>
    <t>Village Church (Angel Fire, New Mexico)</t>
  </si>
  <si>
    <t>390011</t>
  </si>
  <si>
    <t>Withdrew from Conference and Denomination</t>
  </si>
  <si>
    <t>Village Church</t>
  </si>
  <si>
    <t xml:space="preserve">This is not a church closure but a church's decision to leave the conference and denomination over the issue of women in pastoral leadership.  There was no church building.  They worshipped in a leased space.   The church did have a loan with FMF for its parsonage.  They have now secured alternative financing so that the FMF loan will be paid and the relationship ended.  </t>
  </si>
  <si>
    <t xml:space="preserve">The church has kept its money.  </t>
  </si>
  <si>
    <t>Chrome Mobile 127.0.6533.77 / iOS</t>
  </si>
  <si>
    <t>70.118.14.154</t>
  </si>
  <si>
    <t>29.4963, -98.4004</t>
  </si>
  <si>
    <t>Allentown PA, Iglesia Metodista</t>
  </si>
  <si>
    <t>240441</t>
  </si>
  <si>
    <t>Rafael</t>
  </si>
  <si>
    <t>La Chapel</t>
  </si>
  <si>
    <t>It was rented.</t>
  </si>
  <si>
    <t>The church didn't have any funds</t>
  </si>
  <si>
    <t>I'm not sure If this church had EIN.  |</t>
  </si>
  <si>
    <t>Clifton NJ, Iglesia Metodista Libre Nueva Vida</t>
  </si>
  <si>
    <t>240108</t>
  </si>
  <si>
    <t xml:space="preserve">Julio </t>
  </si>
  <si>
    <t>Amaya</t>
  </si>
  <si>
    <t>Other: Leave of Absence</t>
  </si>
  <si>
    <t>Gloria Amaya  - Leave of Absence|Eric Collado - withdrawn from Conference and Denomination</t>
  </si>
  <si>
    <t>It was rented</t>
  </si>
  <si>
    <t>There were no funds left after they paid the remaining rent.</t>
  </si>
  <si>
    <t>This was a small church that was meeting at another denomination church building . They never recovered after COVID-19, losing all their members.  The host church forgave the remaining balance of the rent.|I'm not sure if they had renter insurance.</t>
  </si>
  <si>
    <t>Fort Myers FL, Christian Faith Fellowhip</t>
  </si>
  <si>
    <t>240146</t>
  </si>
  <si>
    <t>Other: He was a LP pastor, so he will not be appointed.</t>
  </si>
  <si>
    <t>This place was rented.</t>
  </si>
  <si>
    <t>The church changed its denomination, and we don't have any data on funds.</t>
  </si>
  <si>
    <t>I'm not sure about the church EIN or about the insurance.</t>
  </si>
  <si>
    <t>Davenport, MICCAL</t>
  </si>
  <si>
    <t xml:space="preserve">Kelvys </t>
  </si>
  <si>
    <t>Soto</t>
  </si>
  <si>
    <t>Other: Discontinued as Conference Ministerial Candidate</t>
  </si>
  <si>
    <t>Ana Soto Ramos - Discontinued as conference Ministerial Candidate</t>
  </si>
  <si>
    <t>They paid rent.</t>
  </si>
  <si>
    <t>The church moved to another denomination, and we don't have data on the funds.</t>
  </si>
  <si>
    <t>This church and CMCs were received in the 2023 Conference. Just after the conference, they decided to leave the denomination. So they never received an ID NUMBER, but they were in the appointments.|This year, they were officially closed and discontinued.</t>
  </si>
  <si>
    <t>Retired|Other: He is an LP pastor, so he will not be appointed</t>
  </si>
  <si>
    <t>They still meet as ACN.|This church was mistakenly appointed as CPP. They should have remained as ACN.|They are still deciding to affiliate with FMC.</t>
  </si>
  <si>
    <t>They are still meeting as ACN</t>
  </si>
  <si>
    <t>I'm not sure about the EIN</t>
  </si>
  <si>
    <t>Perth Amboy NJ, Sublime Gracia</t>
  </si>
  <si>
    <t>240316</t>
  </si>
  <si>
    <t>Tapia Reynoso</t>
  </si>
  <si>
    <t>Martin Reyes CMC- Appointed to ACN</t>
  </si>
  <si>
    <t>They Still meet as ACN</t>
  </si>
  <si>
    <t>They still meet as ACN</t>
  </si>
  <si>
    <t>Encompass Free Methodist Church</t>
  </si>
  <si>
    <t>340171</t>
  </si>
  <si>
    <t>Encompass Free Methodist Church Inc</t>
  </si>
  <si>
    <t>Lance</t>
  </si>
  <si>
    <t>Whorton</t>
  </si>
  <si>
    <t>824427237</t>
  </si>
  <si>
    <t>2816 Winners Circle Dr</t>
  </si>
  <si>
    <t>Navarre</t>
  </si>
  <si>
    <t>32566</t>
  </si>
  <si>
    <t>8173 East Bay Blvd</t>
  </si>
  <si>
    <t>Unit B</t>
  </si>
  <si>
    <t>(850) 736-6561</t>
  </si>
  <si>
    <t>LANCE@ENCOMPASSNAVARRE.ORG</t>
  </si>
  <si>
    <t>www.encompassnavarre.org</t>
  </si>
  <si>
    <t>Winthrop MA, Brazilian</t>
  </si>
  <si>
    <t>240424</t>
  </si>
  <si>
    <t>Freitas</t>
  </si>
  <si>
    <t>Virginia Freitas - Retired|Paulo de Souza- I'm not sure ( he asked to be disconnected from FMC, but I think MEG is still conversing with him. )</t>
  </si>
  <si>
    <t>They rented.</t>
  </si>
  <si>
    <t>The church had no funds left.</t>
  </si>
  <si>
    <t>Dade Ciy FMC - Hockaday Free Methodist Church</t>
  </si>
  <si>
    <t>340040</t>
  </si>
  <si>
    <t>Christ Firm Foundation Free Methodist Church Inc</t>
  </si>
  <si>
    <t>Christ Firm Foundation</t>
  </si>
  <si>
    <t>174.225.126.250</t>
  </si>
  <si>
    <t>25.8502, -80.2367</t>
  </si>
  <si>
    <t>Free Methodist Swahili Church</t>
  </si>
  <si>
    <t>190149</t>
  </si>
  <si>
    <t>4623 Southern Pkwy</t>
  </si>
  <si>
    <t>P. O. Box 9253</t>
  </si>
  <si>
    <t>Other: church mailing address</t>
  </si>
  <si>
    <t>Formation Church - A Free Methodist Ministry</t>
  </si>
  <si>
    <t>Formation Church</t>
  </si>
  <si>
    <t>Mia</t>
  </si>
  <si>
    <t>Shin</t>
  </si>
  <si>
    <t>99-4525202</t>
  </si>
  <si>
    <t>PO Box 4838</t>
  </si>
  <si>
    <t>San Luis Obispo</t>
  </si>
  <si>
    <t>93403</t>
  </si>
  <si>
    <t>1464 Boxwood Ct  (currently a home church - do not publish address)</t>
  </si>
  <si>
    <t>93401</t>
  </si>
  <si>
    <t>(805) 242-1124</t>
  </si>
  <si>
    <t>formationchurchslo@gmail.com</t>
  </si>
  <si>
    <t>unknown</t>
  </si>
  <si>
    <t>No insurance yet as they are just getting established. Still meeting in the pastor's home.</t>
  </si>
  <si>
    <t>Chrome 127.0.0.0 / OS X</t>
  </si>
  <si>
    <t>Expressions Church - A Free Methodist Ministry</t>
  </si>
  <si>
    <t>360007</t>
  </si>
  <si>
    <t>99-4548975</t>
  </si>
  <si>
    <t>10 W Bay St</t>
  </si>
  <si>
    <t>PO Box 113</t>
  </si>
  <si>
    <t>Other: PO Box that also has a physical address for receiving packages.</t>
  </si>
  <si>
    <t>The CPP originally ran their finances through Light &amp; Life - North in Long Beach.  As of September they will handle their own finances, using the new EIN above for payroll, donation receipts, etc.||The church is planning to launch at the end of September. They are looking for a new location for their worship services, so I think it would be best to not use the 300 S 3rd Street on the church locater since that is the pastor's home address. We will send an update on the physical address once we have one.</t>
  </si>
  <si>
    <t>Marshall Prayer Room</t>
  </si>
  <si>
    <t>CENTER FOR INNOVATIVE AND URBAN MINISTRY / DBA - MARSHALL PRAYER ROOM</t>
  </si>
  <si>
    <t>MARSHALL PRAYER ROOM</t>
  </si>
  <si>
    <t>Matthew</t>
  </si>
  <si>
    <t>Other: Mission Igniter's Mailaing</t>
  </si>
  <si>
    <t xml:space="preserve"> 892 E Michigan</t>
  </si>
  <si>
    <t>Marshall</t>
  </si>
  <si>
    <t>49068</t>
  </si>
  <si>
    <t>(269) 358-8266</t>
  </si>
  <si>
    <t>marshallprayerroom@gmail.com</t>
  </si>
  <si>
    <t xml:space="preserve">Marshall Prayer Room is covered under Mission Igniter. </t>
  </si>
  <si>
    <t>198.109.194.10</t>
  </si>
  <si>
    <t>42.2302, -84.4285</t>
  </si>
  <si>
    <t>Jodi</t>
  </si>
  <si>
    <t>Gatlin</t>
  </si>
  <si>
    <t>(206) 265-2476</t>
  </si>
  <si>
    <t>jodi@toogather.org</t>
  </si>
  <si>
    <t>Jodi Gatlin</t>
  </si>
  <si>
    <t>The Gathering Place Ministries</t>
  </si>
  <si>
    <t>The Gathering Place</t>
  </si>
  <si>
    <t>83-3603056</t>
  </si>
  <si>
    <t>20005 Poplar Way</t>
  </si>
  <si>
    <t>Unit 6</t>
  </si>
  <si>
    <t>Lynnwood</t>
  </si>
  <si>
    <t>98036-7597</t>
  </si>
  <si>
    <t>510 NE 175th St</t>
  </si>
  <si>
    <t>Shoreline</t>
  </si>
  <si>
    <t>98155</t>
  </si>
  <si>
    <t>(206) 866-8291</t>
  </si>
  <si>
    <t>gatheringplace@toogather.org</t>
  </si>
  <si>
    <t>toogather.org</t>
  </si>
  <si>
    <t>multi</t>
  </si>
  <si>
    <t>Teri Gent</t>
  </si>
  <si>
    <t>We are in the process of opening Gathering Grounds Coffee Trailer</t>
  </si>
  <si>
    <t>Safari 17.6 / OS X</t>
  </si>
  <si>
    <t>76.146.90.112</t>
  </si>
  <si>
    <t>47.8534, -122.2438</t>
  </si>
  <si>
    <t>Iglesia Alcance Inc</t>
  </si>
  <si>
    <t>340022</t>
  </si>
  <si>
    <t>Jacquez</t>
  </si>
  <si>
    <t>Other</t>
  </si>
  <si>
    <t xml:space="preserve">The church has no property. </t>
  </si>
  <si>
    <t>Working on transferring funds to Dade City FMC.</t>
  </si>
  <si>
    <t>Chrome 128.0.0.0 / Windows</t>
  </si>
  <si>
    <t>207.255.140.242</t>
  </si>
  <si>
    <t>Carlsbad, The Abbey - A Free Methodist Ministry</t>
  </si>
  <si>
    <t>360027</t>
  </si>
  <si>
    <t>The Abbey</t>
  </si>
  <si>
    <t>Peyton</t>
  </si>
  <si>
    <t>Other: Peyton and Andrea have transferred to the PCJC effective August 15, 2024, so The Abbey will ""transfer"" with them.</t>
  </si>
  <si>
    <t>Andrea Jones - CMC - wife of Peyton Jones||It is unknown what their appointments will be with the PCJC, but the transfer is complete.</t>
  </si>
  <si>
    <t>No real property.</t>
  </si>
  <si>
    <t>They are returning to the FMCSC all church plant funds they received this past year.</t>
  </si>
  <si>
    <t>Other: I'm assuming they will keep the EIN. Please check with Peyton and/or Rev. Jenny Switkes (jenny@riseoc.church) with the PCJC to find out details on whether this church plant will continue in the PCJC context.</t>
  </si>
  <si>
    <t>This could be called a ""transfer"" of a CPP from FMCSC to the PCJC, so many of the questions don't quite fit this unique situation. Peyton and Andrea had been mentored by Mike Perkinson, so when he became the new Supt. for PCJC they decided to follow him there and initiated the request to transfer their memberships. We are showing the CPP closed as of 8/31/24, but it's possible that the church, along with their current EIN, will continue in the new conference.</t>
  </si>
  <si>
    <t>Chrome 129.0.0.0 / OS X</t>
  </si>
  <si>
    <t>1727 Kinneloa Canyon Rd</t>
  </si>
  <si>
    <t>Pasadena</t>
  </si>
  <si>
    <t>info@expressionschurch.com</t>
  </si>
  <si>
    <t>expressionschurch.com</t>
  </si>
  <si>
    <t>I don't see a record of sending you this church plant's new meeting location in Pasadena, which is different than their original plan of Alhambra. (Their mailing address is still in Alhambra.)||In addition, we originally had it wrong by leaving out ""canyon"" in the street name, so I wanted to confirm that this is the address to use for the FMC church map on the denomination's website:  1727 Kinneloa Canyon Rd, Pasadena, CA 91107.||Thanks!|</t>
  </si>
  <si>
    <t>Irwin</t>
  </si>
  <si>
    <t>Bales</t>
  </si>
  <si>
    <t>(618) 240-0355</t>
  </si>
  <si>
    <t>vfmcpastor@gmail.com</t>
  </si>
  <si>
    <t>Iglesia El Buen Pastor Inc</t>
  </si>
  <si>
    <t>Iglesia Evangelica Cristiana Jesucristo Roca de Salvacion</t>
  </si>
  <si>
    <t>33-1448658</t>
  </si>
  <si>
    <t>Vincennes Free Methodist Church (partnering with Comunidad Cristiana)</t>
  </si>
  <si>
    <t>PO Box 134</t>
  </si>
  <si>
    <t>Vincennes</t>
  </si>
  <si>
    <t>1423 N 4th</t>
  </si>
  <si>
    <t>47591</t>
  </si>
  <si>
    <t>(812) 882-5002</t>
  </si>
  <si>
    <t>micaelamata717@gmail.com</t>
  </si>
  <si>
    <t>Church is led by lay couple Guillermo Cruz and Micaela Mata. Not appointed</t>
  </si>
  <si>
    <t>Correspondence to the church plant can go to|2230 S Cyprus Dr, Vincennes IN 47591|Church applied with Indiana for incorporation October 14 online|They are changing their name as they incorporate.|They have been financially independent since day 1|Guillermo's phone (speaks little English) 502-758-6212|Miki's phone (speaks fair amount of English) 812-259-1352|Irwin Bales, Vincennes pastor, is also very involved 618-240-0355|Have not been insured because have been covered by the policy of the American church, since they meet in the same building.</t>
  </si>
  <si>
    <t>Firefox 131.0 / Windows</t>
  </si>
  <si>
    <t>192.198.57.169</t>
  </si>
  <si>
    <t>38.6773, -87.5286</t>
  </si>
  <si>
    <t>Andy</t>
  </si>
  <si>
    <t>Bentz</t>
  </si>
  <si>
    <t>(734) 751-2994</t>
  </si>
  <si>
    <t>andy@westlandfmc.com</t>
  </si>
  <si>
    <t>Edificando Vidas Westland FMC</t>
  </si>
  <si>
    <t>Danny</t>
  </si>
  <si>
    <t>Gomez</t>
  </si>
  <si>
    <t>Westland Free Methodist Church</t>
  </si>
  <si>
    <t>2822 Banner St.</t>
  </si>
  <si>
    <t>Dearborn</t>
  </si>
  <si>
    <t>48124</t>
  </si>
  <si>
    <t>The pastor's mailbox|Other</t>
  </si>
  <si>
    <t>33445 Warren Rd</t>
  </si>
  <si>
    <t>Westland</t>
  </si>
  <si>
    <t>48185</t>
  </si>
  <si>
    <t>(313) 736-1056</t>
  </si>
  <si>
    <t>melgo1010@gmail.com</t>
  </si>
  <si>
    <t xml:space="preserve">Edificando Vidas Wesltand FMC is a collaborative church plant between Westland FMC and Edificando Vidas (not yet FMC affiliated, but in the process). </t>
  </si>
  <si>
    <t>174.224.55.247</t>
  </si>
  <si>
    <t>42.3313, -83.4656</t>
  </si>
  <si>
    <t>(231) 680-0071</t>
  </si>
  <si>
    <t>office@fmcnorthmich.org</t>
  </si>
  <si>
    <t>Iglesia Metodista, Casa de Dios para las Almas, Lucas 19:10</t>
  </si>
  <si>
    <t xml:space="preserve">Edwin </t>
  </si>
  <si>
    <t>Alejo</t>
  </si>
  <si>
    <t>North Michigan Conference</t>
  </si>
  <si>
    <t>2123 Godfrey Ave. SW</t>
  </si>
  <si>
    <t>Wyoming</t>
  </si>
  <si>
    <t>49509</t>
  </si>
  <si>
    <t>2123 Godfrey Ave., SW</t>
  </si>
  <si>
    <t>(929) 428-1419</t>
  </si>
  <si>
    <t>edwinalejo09@gmail.com</t>
  </si>
  <si>
    <t>Dominican</t>
  </si>
  <si>
    <t>They do live streaming.||Heartbeat Magazines need to be in Spanish.</t>
  </si>
  <si>
    <t>Chrome 130.0.0.0 / Windows</t>
  </si>
  <si>
    <t>44.252, -85.4012</t>
  </si>
  <si>
    <t>Laurel Christian Church</t>
  </si>
  <si>
    <t>Laurel FMC</t>
  </si>
  <si>
    <t>Wood</t>
  </si>
  <si>
    <t>47-1986336</t>
  </si>
  <si>
    <t>The Conference</t>
  </si>
  <si>
    <t>3511 Tejon Rd</t>
  </si>
  <si>
    <t>Laurel</t>
  </si>
  <si>
    <t>20724</t>
  </si>
  <si>
    <t>3511 Tejon RD</t>
  </si>
  <si>
    <t>(202) 658-8061</t>
  </si>
  <si>
    <t>dreeamer76@gmail.com</t>
  </si>
  <si>
    <t>Black American</t>
  </si>
  <si>
    <t>73.87.7.239</t>
  </si>
  <si>
    <t>39.4239, -76.3514</t>
  </si>
  <si>
    <t>Iglesia Oasis Tulsa</t>
  </si>
  <si>
    <t xml:space="preserve">Igleasia Oasis </t>
  </si>
  <si>
    <t>Central Region Conference</t>
  </si>
  <si>
    <t>4424 East 11th Street</t>
  </si>
  <si>
    <t>(918) 902-0554</t>
  </si>
  <si>
    <t>Iglesiaoasistulsa@gmail.com</t>
  </si>
  <si>
    <t xml:space="preserve">Facebook </t>
  </si>
  <si>
    <t xml:space="preserve">Ana Carolina Berta </t>
  </si>
  <si>
    <t xml:space="preserve">Orlando Ramos and Ana Carolina Berta are husband and wife.  |They are Conference Ministerial Candidates. |At present, they have been granted space at the Sandusky Christian Church. At some point, they will begin paying rent for the use of the facility. There is no Use &amp; Occupancy Agreement in place at the present. |They are planning to get personal property insurance. </t>
  </si>
  <si>
    <t>99.35.197.233</t>
  </si>
  <si>
    <t>35.4619, -97.3932</t>
  </si>
  <si>
    <t>Mara</t>
  </si>
  <si>
    <t>Vetters</t>
  </si>
  <si>
    <t>(317) 244-3660</t>
  </si>
  <si>
    <t>mara.vetters@fmcusa.org</t>
  </si>
  <si>
    <t>Centro Nueva Esperanza de San Bernardino</t>
  </si>
  <si>
    <t xml:space="preserve"> 36036</t>
  </si>
  <si>
    <t>1722 East Highland Ave</t>
  </si>
  <si>
    <t>Source: Maggie Underwood at the Southern California Conference office reported an address change for this church.  I confirmed that this new address is both the new physical and mailing address.</t>
  </si>
  <si>
    <t>208.185.139.242</t>
  </si>
  <si>
    <t>39.785, -85.7694</t>
  </si>
  <si>
    <t>(585) 943-8698</t>
  </si>
  <si>
    <t>Free Meethodist Church in Elmira New York</t>
  </si>
  <si>
    <t>120165</t>
  </si>
  <si>
    <t>Adrainna</t>
  </si>
  <si>
    <t>Magesse</t>
  </si>
  <si>
    <t>Encounter FMC</t>
  </si>
  <si>
    <t>Associate pastor</t>
  </si>
  <si>
    <t>Property to be listed for sale</t>
  </si>
  <si>
    <t>Church funds used to partially repay a loan from the conference. Remainder of loan forgiven.</t>
  </si>
  <si>
    <t>42.9523, -77.5903</t>
  </si>
  <si>
    <t>Dave@genesisfmc.com</t>
  </si>
  <si>
    <t>Firwt Free Methodist Church of Cortland New York</t>
  </si>
  <si>
    <t>120120</t>
  </si>
  <si>
    <t>Fick (CMC)</t>
  </si>
  <si>
    <t>https://www.formstack.com/admin/download/file/17197897357</t>
  </si>
  <si>
    <t>Other: Withdrawn from CMC process</t>
  </si>
  <si>
    <t>Parsonage to be sold to Fick Family, Church to be sold.</t>
  </si>
  <si>
    <t xml:space="preserve">Church funds used to pay utilities and support exploration of a new work. </t>
  </si>
  <si>
    <t>Alexander</t>
  </si>
  <si>
    <t>Mace</t>
  </si>
  <si>
    <t>(810) 247-1865</t>
  </si>
  <si>
    <t>alexmce@compasschurchwichita.com</t>
  </si>
  <si>
    <t>Northwest Free Methodist Church INC</t>
  </si>
  <si>
    <t>Compass Church Wichita INC</t>
  </si>
  <si>
    <t>4415 W  Zoo Blvd</t>
  </si>
  <si>
    <t>Suite 1</t>
  </si>
  <si>
    <t>Wichita</t>
  </si>
  <si>
    <t xml:space="preserve"> 7200 W 13th St N</t>
  </si>
  <si>
    <t>Suite 204</t>
  </si>
  <si>
    <t>Other: Office Building</t>
  </si>
  <si>
    <t>(316) 559-0940</t>
  </si>
  <si>
    <t>office@compasschurchwichita.com</t>
  </si>
  <si>
    <t>compasschurchwichita.com</t>
  </si>
  <si>
    <t>162.238.55.222</t>
  </si>
  <si>
    <t>Rescue Church Inc</t>
  </si>
  <si>
    <t>340735</t>
  </si>
  <si>
    <t>Other: Was in the ordination/candidacy process. Will not continue ordination in the FMC.</t>
  </si>
  <si>
    <t>They were only an affiliate and are going Global Methodist.</t>
  </si>
  <si>
    <t>The church was only an affiliate that came in from the UMC. They have voted to go Global Methodist. Their funds remain with the church.</t>
  </si>
  <si>
    <t>Chrome 131.0.0.0 / Windows</t>
  </si>
  <si>
    <t>207.255.141.250</t>
  </si>
  <si>
    <t>41.9472, -78.6603</t>
  </si>
  <si>
    <t>PO Box 271</t>
  </si>
  <si>
    <t>741 South 9th</t>
  </si>
  <si>
    <t>https://www.formstack.com/admin/download/file/17289489133</t>
  </si>
  <si>
    <t>https://www.formstack.com/admin/download/file/17289489135</t>
  </si>
  <si>
    <t>37.6901, -97.3404</t>
  </si>
  <si>
    <t>Hannibal Free Methodist Church</t>
  </si>
  <si>
    <t>500</t>
  </si>
  <si>
    <t>https://www.formstack.com/admin/download/file/17401219979</t>
  </si>
  <si>
    <t>Church property has been sold.  Proceeds will be put into the Strategic Development Fund.</t>
  </si>
  <si>
    <t>Money is depleted or almost depleted after paying final bills.  Church members walked away from church.  If there are any funds left, they will be placed in Strategic Development Fund.</t>
  </si>
  <si>
    <t>Ministerio Apostolico Plantio del Senor - St. Louis (MAPS)</t>
  </si>
  <si>
    <t>The Solid Rock, Pontoon Beach</t>
  </si>
  <si>
    <t>Ministerio Apostolico Plantio del Senor (MAPS)</t>
  </si>
  <si>
    <t>4150 South street</t>
  </si>
  <si>
    <t>Pontoon Beach</t>
  </si>
  <si>
    <t>https://www.formstack.com/admin/download/file/17430379963</t>
  </si>
  <si>
    <t>Money from sale will be used to help with building project for the new merged church and will be put into the Strategic Development Fund.</t>
  </si>
  <si>
    <t>Topher</t>
  </si>
  <si>
    <t>Noyes</t>
  </si>
  <si>
    <t>Belle</t>
  </si>
  <si>
    <t>https://www.formstack.com/admin/download/file/17446885459</t>
  </si>
  <si>
    <t>Other: Pastor considering whether to continue in ordination process</t>
  </si>
  <si>
    <t>Property will either be sold or utilized for church planting purposes.</t>
  </si>
  <si>
    <t>After final bills, any remaining funds will be reallocated to the conference for new works.</t>
  </si>
  <si>
    <t>97.137.95.232</t>
  </si>
  <si>
    <t>41.0385, -81.5638</t>
  </si>
  <si>
    <t>Sumner Free Methodist Church</t>
  </si>
  <si>
    <t>420610</t>
  </si>
  <si>
    <t>Tom</t>
  </si>
  <si>
    <t>Jefferson</t>
  </si>
  <si>
    <t>https://www.formstack.com/admin/download/file/17494291579</t>
  </si>
  <si>
    <t>Other: Tom Jefferson is a License Pastor.  He does not wish to continue serving in the Free Methodist Church.</t>
  </si>
  <si>
    <t>The church property will be sold.</t>
  </si>
  <si>
    <t>The funds will be used for Church Planting.</t>
  </si>
  <si>
    <t>Chrome 132.0.0.0 / Windows</t>
  </si>
  <si>
    <t>172.56.249.68</t>
  </si>
  <si>
    <t>39.7914, -86.2675</t>
  </si>
  <si>
    <t>Teresa</t>
  </si>
  <si>
    <t>Perkinson</t>
  </si>
  <si>
    <t xml:space="preserve">Redwood City Free Methodist (Peninsula Hope Church) </t>
  </si>
  <si>
    <t>160</t>
  </si>
  <si>
    <t>Redwood City Free Methodist Church</t>
  </si>
  <si>
    <t>Peninsula Hope Church</t>
  </si>
  <si>
    <t>Garcia</t>
  </si>
  <si>
    <t>599 Jefferson Ave</t>
  </si>
  <si>
    <t>(650) 365-7988</t>
  </si>
  <si>
    <t>office@peninsulahope.org</t>
  </si>
  <si>
    <t>peninsulahope.org</t>
  </si>
  <si>
    <t>Japanese</t>
  </si>
  <si>
    <t>Jason Garcia</t>
  </si>
  <si>
    <t>47.155.20.53</t>
  </si>
  <si>
    <t>33.6647, -117.1743</t>
  </si>
  <si>
    <t>April</t>
  </si>
  <si>
    <t>Webb</t>
  </si>
  <si>
    <t>(814) 676-6611</t>
  </si>
  <si>
    <t>officekeystonefmc@gmail.com</t>
  </si>
  <si>
    <t>Emporium Cameron County Christian Center Free Methodist Church</t>
  </si>
  <si>
    <t>270230</t>
  </si>
  <si>
    <t>MaryAnn</t>
  </si>
  <si>
    <t>Hockey</t>
  </si>
  <si>
    <t>https://www.formstack.com/admin/download/file/17550948232</t>
  </si>
  <si>
    <t>Property will either be sold or donated to a community entity.</t>
  </si>
  <si>
    <t>All bank accounts were closed, and the conference covered outstanding debts.</t>
  </si>
  <si>
    <t>Chrome 133.0.0.0 / Windows</t>
  </si>
  <si>
    <t>76.125.133.97</t>
  </si>
  <si>
    <t>41.4276, -79.7026</t>
  </si>
  <si>
    <t>Ministerio Apostolico Del Senor-Centralia</t>
  </si>
  <si>
    <t>379</t>
  </si>
  <si>
    <t xml:space="preserve">Javier </t>
  </si>
  <si>
    <t>Other: Currently Lead Pastor at Ministerio Apostolico Del Senor, Pontoon Beach</t>
  </si>
  <si>
    <t>Gloelma Rivera-Quintana, appointed pastor at Ministerio Apostolico Del Senor, Pontoon Beach|Freddy Lopez, apointed pastor at Ministerio Apostolico Del Senor, Pontoon Beach</t>
  </si>
  <si>
    <t>property will be sold</t>
  </si>
  <si>
    <t>Was church plant under Ministerio Apostolico Del Senor, Pontoon Beach.  Funds will go back to them.|</t>
  </si>
  <si>
    <t>Grand Rapids, The Awakening Church</t>
  </si>
  <si>
    <t>250243</t>
  </si>
  <si>
    <t>Awakening Church</t>
  </si>
  <si>
    <t>Terri</t>
  </si>
  <si>
    <t>Hanson</t>
  </si>
  <si>
    <t>Grand Rapids, Lifestream Free Methodist Church</t>
  </si>
  <si>
    <t>850 Maryland Ave. NE</t>
  </si>
  <si>
    <t>49505</t>
  </si>
  <si>
    <t>574 Division Ave. S</t>
  </si>
  <si>
    <t>49503</t>
  </si>
  <si>
    <t>(616) 885-4968</t>
  </si>
  <si>
    <t>terrihanson8@gmail.com</t>
  </si>
  <si>
    <t>47.35.125.94</t>
  </si>
  <si>
    <t>030 Network of Undeniable Blessing</t>
  </si>
  <si>
    <t>Refugio da Salvacion</t>
  </si>
  <si>
    <t xml:space="preserve"> Anibal</t>
  </si>
  <si>
    <t>Fuentez,</t>
  </si>
  <si>
    <t>1101 E Santa Fe Ave #6</t>
  </si>
  <si>
    <t>Merced</t>
  </si>
  <si>
    <t>95340</t>
  </si>
  <si>
    <t>1101 E Santa Fe Ave. #6</t>
  </si>
  <si>
    <t>(650) 771-7464</t>
  </si>
  <si>
    <t>af2479091@gmail.com</t>
  </si>
  <si>
    <t>0</t>
  </si>
  <si>
    <t>latino</t>
  </si>
  <si>
    <t>98.97.61.221</t>
  </si>
  <si>
    <t>37.3388, -121.8916</t>
  </si>
  <si>
    <t>Heather</t>
  </si>
  <si>
    <t>Utley</t>
  </si>
  <si>
    <t>13606316424</t>
  </si>
  <si>
    <t>heather@theriverconference.org</t>
  </si>
  <si>
    <t>Grace Free Methodist Church</t>
  </si>
  <si>
    <t>390015</t>
  </si>
  <si>
    <t>Bowman</t>
  </si>
  <si>
    <t>https://www.formstack.com/admin/download/file/17609296014</t>
  </si>
  <si>
    <t xml:space="preserve">Other: His appointment is not yet solidified. It will likely be released for ministry outside the denomination, but that's unconfirmed at this time. </t>
  </si>
  <si>
    <t>none to report</t>
  </si>
  <si>
    <t xml:space="preserve">EIN will be closed|Other: The church has withdrawn but said in the time since that they are closing entirely. </t>
  </si>
  <si>
    <t>Insurance status is unknown. On the options above, it says church voted to close as the only required option, and it's missing an option that this church did in choosing to withdraw. So their actual action is ""Local Church's Society has voted to withdraw from the conference and denomination.""</t>
  </si>
  <si>
    <t>162.204.3.103</t>
  </si>
  <si>
    <t>29.5443, -98.5499</t>
  </si>
  <si>
    <t>Hope Springs community Church</t>
  </si>
  <si>
    <t>340237</t>
  </si>
  <si>
    <t>Hope Springs Community Church Inc</t>
  </si>
  <si>
    <t>Hope Springs Com</t>
  </si>
  <si>
    <t>Brandon</t>
  </si>
  <si>
    <t>Branigan</t>
  </si>
  <si>
    <t>84-4694423</t>
  </si>
  <si>
    <t>1579 Winifred Lane</t>
  </si>
  <si>
    <t>Columbus</t>
  </si>
  <si>
    <t>31907</t>
  </si>
  <si>
    <t>4442 Buena Vista</t>
  </si>
  <si>
    <t>(716) 615-6767</t>
  </si>
  <si>
    <t>pastorbranigan@gmail.com</t>
  </si>
  <si>
    <t>hopespringscolumbus.com</t>
  </si>
  <si>
    <t>Chrome 134.0.0.0 / Windows</t>
  </si>
  <si>
    <t>73.27.206.131</t>
  </si>
  <si>
    <t>United Family Free Methodist Church of Phoenix</t>
  </si>
  <si>
    <t>M'mundabatu</t>
  </si>
  <si>
    <t>9639 N 51st Ave</t>
  </si>
  <si>
    <t>Glendale</t>
  </si>
  <si>
    <t>AZ</t>
  </si>
  <si>
    <t>85302</t>
  </si>
  <si>
    <t>4530 W. Thunderbird Rd.</t>
  </si>
  <si>
    <t>85306</t>
  </si>
  <si>
    <t>(623) 330-5077</t>
  </si>
  <si>
    <t>mmundabatuabwe65@gmail.com</t>
  </si>
  <si>
    <t>Abwe Mmbekalo [E] AP|Efunga Theophile [E] AP|Leonard Iddi [E] AP</t>
  </si>
  <si>
    <t>Prospective members have been adequately prepared for membership|Church has elected its own local BOA|Church has developed a mission statement that is in harmony with the denomination</t>
  </si>
  <si>
    <t>2069622689</t>
  </si>
  <si>
    <t>Living Hope Free Methodist Church dba Close Reach</t>
  </si>
  <si>
    <t>320350</t>
  </si>
  <si>
    <t>Craig</t>
  </si>
  <si>
    <t>Pelissero</t>
  </si>
  <si>
    <t>https://www.formstack.com/admin/download/file/17743932988</t>
  </si>
  <si>
    <t>https://www.formstack.com/admin/download/file/17743932989</t>
  </si>
  <si>
    <t>https://www.formstack.com/admin/download/file/17743932990</t>
  </si>
  <si>
    <t xml:space="preserve">Special Appointment </t>
  </si>
  <si>
    <t>Chaplain</t>
  </si>
  <si>
    <t>It has already been sold to a non-FM church.</t>
  </si>
  <si>
    <t>PNWC Board of Administration has marked it for multiplication.</t>
  </si>
  <si>
    <t>This is old. It had insurance up until its closure.</t>
  </si>
  <si>
    <t>41.9377, -85.0124</t>
  </si>
  <si>
    <t>Viva Ministries Inc</t>
  </si>
  <si>
    <t>Viva Ministries</t>
  </si>
  <si>
    <t xml:space="preserve">Mariela </t>
  </si>
  <si>
    <t>GonzÃ¡lez</t>
  </si>
  <si>
    <t>33-2569054</t>
  </si>
  <si>
    <t>511 Martin Ln</t>
  </si>
  <si>
    <t>Euless</t>
  </si>
  <si>
    <t>76040</t>
  </si>
  <si>
    <t>619 W Main St, Ste C</t>
  </si>
  <si>
    <t>76010</t>
  </si>
  <si>
    <t>(626) 367-3514</t>
  </si>
  <si>
    <t>ministriesviva@gmail.com</t>
  </si>
  <si>
    <t xml:space="preserve">	 https://www.vivaministries.org/</t>
  </si>
  <si>
    <t>DarÃ­o Miqueo - Co-Lead Pastor||</t>
  </si>
  <si>
    <t>Iglesia Christiana Monte Sion</t>
  </si>
  <si>
    <t xml:space="preserve">Jesus </t>
  </si>
  <si>
    <t>Sanchez</t>
  </si>
  <si>
    <t>4745 Costello Loop</t>
  </si>
  <si>
    <t>Laredo</t>
  </si>
  <si>
    <t>78046</t>
  </si>
  <si>
    <t>(956) 701-1136</t>
  </si>
  <si>
    <t>jesussanchez6767@gmail.com</t>
  </si>
  <si>
    <t>Modesta Sanchez - Associate Pastor</t>
  </si>
  <si>
    <t>Prospective members have been adequately prepared for membership|Church name is incorporated under state law|Church has its own EIN|Church has elected its own local BOA|Church has developed a mission statement that is in harmony with the denomination|Trust Clause is in the written document of this church's property agreement (if property is owned)</t>
  </si>
  <si>
    <t>https://www.formstack.com/admin/download/file/17747999485</t>
  </si>
  <si>
    <t>info@fmcsc.org</t>
  </si>
  <si>
    <t>Orphan City Church (CPP)</t>
  </si>
  <si>
    <t>360208</t>
  </si>
  <si>
    <t>Alex</t>
  </si>
  <si>
    <t>Other: He was originally placed on Leave of Absence, but on 2/3/2025 he withdrew and discontinued CMC status.</t>
  </si>
  <si>
    <t>Cusberto (Gus) Garay - Awaiting appointment</t>
  </si>
  <si>
    <t>Did not own their own property.  Sound equipment was being donated to another church.</t>
  </si>
  <si>
    <t>If there was anything left it was to be sent to the FMCSC.</t>
  </si>
  <si>
    <t>The conference is no longer carrying insurance for this closed church plant.||Is the EIN automatically closed when the denomination reports a closed church to the IRS? This would be acceptable in this case.</t>
  </si>
  <si>
    <t>Chrome 134.0.0.0 / OS X</t>
  </si>
  <si>
    <t>34.1626, -118.1273</t>
  </si>
  <si>
    <t>Bell Gardens, La Promesa (CPP)</t>
  </si>
  <si>
    <t>360023</t>
  </si>
  <si>
    <t>Solman (Leo)</t>
  </si>
  <si>
    <t>Gonzalez</t>
  </si>
  <si>
    <t>Other: Transferred to REACH conference in order to take a staff position at Long Beach, Light &amp; Life North.</t>
  </si>
  <si>
    <t>Fabiola Gonzalez (wife of Leo) - CMC - also transferred to REACH.</t>
  </si>
  <si>
    <t>No real property - just rented.</t>
  </si>
  <si>
    <t>The congregation is ""going with them"" to Light &amp; Life North, so any remaining funds will be used in the new ministry there.</t>
  </si>
  <si>
    <t>Remaining open for withdrawn church|Other: I don't know if they will need their EIN or if they will be under Light &amp; Life North's EIN now.</t>
  </si>
  <si>
    <t>Their insurance has been discontinued with Southern California as of December 2024.</t>
  </si>
  <si>
    <t>Los Angeles, Verdugo Arabic (CPP)</t>
  </si>
  <si>
    <t>360221</t>
  </si>
  <si>
    <t>Karabet (Garo)</t>
  </si>
  <si>
    <t>Hagopian</t>
  </si>
  <si>
    <t>No real property - they rented from the Verdugo English congregation.</t>
  </si>
  <si>
    <t>No remaining funds.</t>
  </si>
  <si>
    <t>Pastor Garo decided suddenly to retire and he let us know that the church would close at that same time.</t>
  </si>
  <si>
    <t>Neville</t>
  </si>
  <si>
    <t>lmcoffice900@gmail.com</t>
  </si>
  <si>
    <t>https://www.formstack.com/admin/download/file/17823428791</t>
  </si>
  <si>
    <t>https://www.formstack.com/admin/download/file/17823428793</t>
  </si>
  <si>
    <t>Was an affiliate.</t>
  </si>
  <si>
    <t>Free Methodist Church of State College Pennsylvania</t>
  </si>
  <si>
    <t>740</t>
  </si>
  <si>
    <t>The Conference for the present time wishes to keep the property for a future relaunch. Church is presently rented to a Christian school.</t>
  </si>
  <si>
    <t>Used for ongoing operation of building.</t>
  </si>
  <si>
    <t>Remaining Open to use for a new FM Church (DBA)</t>
  </si>
  <si>
    <t>As soon as I receive the Conference BoA minutes, I will forward them to your office.</t>
  </si>
  <si>
    <t>Clever Free Methodist Church</t>
  </si>
  <si>
    <t>060059</t>
  </si>
  <si>
    <t>Charles and Jennifer</t>
  </si>
  <si>
    <t>Mallory</t>
  </si>
  <si>
    <t>PO Box 66</t>
  </si>
  <si>
    <t>Clever</t>
  </si>
  <si>
    <t>65631</t>
  </si>
  <si>
    <t>202 Kennedy Ave.</t>
  </si>
  <si>
    <t>(417) 771-0806</t>
  </si>
  <si>
    <t>cleverfmc@outlook.com</t>
  </si>
  <si>
    <t>cleverfmc.weebly.com</t>
  </si>
  <si>
    <t>https://www.formstack.com/admin/download/file/17874952449</t>
  </si>
  <si>
    <t>https://www.formstack.com/admin/download/file/17874952453</t>
  </si>
  <si>
    <t>is UMC affiliate</t>
  </si>
  <si>
    <t>Chrome 135.0.0.0 / Windows</t>
  </si>
  <si>
    <t>887 Cox Creek Pkwy</t>
  </si>
  <si>
    <t>2145 Co Rd 363</t>
  </si>
  <si>
    <t>97.84.58.192</t>
  </si>
  <si>
    <t>34.1758, -86.829</t>
  </si>
  <si>
    <t>White Plains Free Methodist Church</t>
  </si>
  <si>
    <t>190270</t>
  </si>
  <si>
    <t>White Plains Free Methodist  Church</t>
  </si>
  <si>
    <t xml:space="preserve">Shane </t>
  </si>
  <si>
    <t>Britt</t>
  </si>
  <si>
    <t>611037114</t>
  </si>
  <si>
    <t>68 Sandy Oak St</t>
  </si>
  <si>
    <t>Scottsville</t>
  </si>
  <si>
    <t>This society was previously known as Scottsville, New Life FMC.  But they have changed their legal name and commonly known name to White Plains Free Methodist Church., effective January 1, 2025.</t>
  </si>
  <si>
    <t>173.187.82.39</t>
  </si>
  <si>
    <t>Katie</t>
  </si>
  <si>
    <t>Barr</t>
  </si>
  <si>
    <t>Faith Free Methodist Church</t>
  </si>
  <si>
    <t>090410</t>
  </si>
  <si>
    <t>https://www.formstack.com/admin/download/file/17966845316</t>
  </si>
  <si>
    <t>The church and parsonage are being cleaned out. The church located at 2380 W Deckerville Rd., Snover, MI 48472, along with the parsonage at 2390 W Deckerville Rd., Snover, MI 48472 will be listed for sale.</t>
  </si>
  <si>
    <t>Funds will be given to East MI Conference to pay bills. Remaining funds will be used for future leadership development.</t>
  </si>
  <si>
    <t>EIN will be closed|Other: 38-2399743</t>
  </si>
  <si>
    <t>Church is listed and covered under the EMC insurance policy.</t>
  </si>
  <si>
    <t>42.4642, -83.0617</t>
  </si>
  <si>
    <t>Los Angeles, Ministerio Cristiano Monte Hermon</t>
  </si>
  <si>
    <t>360194</t>
  </si>
  <si>
    <t>Absalon</t>
  </si>
  <si>
    <t>Rivas</t>
  </si>
  <si>
    <t>The pastor decided to retire as of 12/31/2024. They do not have any real property and have been renting a sanctuary for their worship services. The congregation will most likely begin attending the service of the non-FM church they have rented from for many years.  ||This is a CPP so there is no LBOA or society, but they did meet and agree that they did not need the conference to look for another pastor.|</t>
  </si>
  <si>
    <t xml:space="preserve">Their treasurer accounted for all the funds, including a substantial amount that was used to bring Pastor Absalon's pension account up to date.  </t>
  </si>
  <si>
    <t>EIN will be closed|Other: I believe the denomination can notify the IRS that the EIN should be closed at this time.</t>
  </si>
  <si>
    <t>They did have insurance but I believe it has now been cancelled.||This church was considered a CPP,  even though they had been with us for many years, so technically there are no members.</t>
  </si>
  <si>
    <t>Chrome 135.0.0.0 / OS X</t>
  </si>
  <si>
    <t>Palmdale, The Passion (CPP)</t>
  </si>
  <si>
    <t>360176</t>
  </si>
  <si>
    <t>Enio Enrique</t>
  </si>
  <si>
    <t>Ruiz</t>
  </si>
  <si>
    <t>Other: Pastor Ruiz has been discontinued as a CMC.</t>
  </si>
  <si>
    <t>There is no real property. We believe this was more of a house church. Eventually Pastor Ruiz stopped communicating with us and after many attempts, he was discontinued as a CMC and we closed the CPP.</t>
  </si>
  <si>
    <t>We did not receive the required financial reports. We don't believe they ever had much in the way of offerings.</t>
  </si>
  <si>
    <t>Other: Remaining open as far as we know.</t>
  </si>
  <si>
    <t>They were listed as an additional insured on the FMCSC policy since they were a CPP. That has now been removed.||Never incorporated as far as we know.</t>
  </si>
  <si>
    <t>San Bernardino,  Centro Nueva Esperanza de San Bernardino</t>
  </si>
  <si>
    <t>360369</t>
  </si>
  <si>
    <t>Moras</t>
  </si>
  <si>
    <t>Other: Withdrawn from the conference and denomination</t>
  </si>
  <si>
    <t>Church building is owned by the conference. This church plant was renting from us.</t>
  </si>
  <si>
    <t>Towards the end (Sept. - Nov.) they were only depositing enough into the bank account to pay the pastor. So when they left there was hardly any funds left. The conference needed to pay off some debt on their behaf. The pastor waited to withdraw until his congregation had already moved to a new location without informing us.</t>
  </si>
  <si>
    <t>Other: The denomination should remove this EIN from the FMCUSA list with the IRS. In our opinion, the EIN should be closed.</t>
  </si>
  <si>
    <t>The insurance as an ""additional insured"" on the FMCSC policy was cancelled once they withdrew from the conference and denomination. The pastor and the congregation withdrew.</t>
  </si>
  <si>
    <t>Chrome 137.0.0.0 / OS X</t>
  </si>
  <si>
    <t>Geary Free Methodist Church</t>
  </si>
  <si>
    <t>Iglesia Geary Libre Metodista</t>
  </si>
  <si>
    <t>This is a Hispanic Church within the English-Speaking FMC</t>
  </si>
  <si>
    <t>Saent</t>
  </si>
  <si>
    <t>Izquierdo</t>
  </si>
  <si>
    <t xml:space="preserve">624 S Canadian Ave, </t>
  </si>
  <si>
    <t>Geary</t>
  </si>
  <si>
    <t>73040</t>
  </si>
  <si>
    <t>624 S. Canadian Ave</t>
  </si>
  <si>
    <t>(405) 410-4087</t>
  </si>
  <si>
    <t>pastorsaentizquierdo@gmail.com</t>
  </si>
  <si>
    <t>Facebook Page - no website page</t>
  </si>
  <si>
    <t>Rev. Jessica Izquierdo</t>
  </si>
  <si>
    <t>This is a church plant within an English speaking Church. Their first Sunday attendance was 27 people which included 5 children. |The service is at 1:00 p.m. (English speaking Church is at 11:00 a.m. )|Their current attendance is 7-11 and includes 3-5 children. People from Calumet (11-16 miles) are coming. The word is getting out into the communities. |The need arose when a man and his son came from Calumet in need of a Hispanic speaking church. He has not been baptized. Within the English speaking church was a Hispanic couple already attending for several years. |</t>
  </si>
  <si>
    <t>Chrome 137.0.0.0 / Windows</t>
  </si>
  <si>
    <t>104.151.158.213</t>
  </si>
  <si>
    <t>35.664, -97.1997</t>
  </si>
  <si>
    <t>humubuh@gmail.com</t>
  </si>
  <si>
    <t>Essential Life Church</t>
  </si>
  <si>
    <t>390282</t>
  </si>
  <si>
    <t>Marianne and Will</t>
  </si>
  <si>
    <t>PeÃ±a</t>
  </si>
  <si>
    <t>22300 Cypresswood Ave</t>
  </si>
  <si>
    <t>Spring</t>
  </si>
  <si>
    <t>77373</t>
  </si>
  <si>
    <t>(281) 645-8629</t>
  </si>
  <si>
    <t>essentiallifechurch@gmail.com</t>
  </si>
  <si>
    <t>https://essentiallifechurch.com/</t>
  </si>
  <si>
    <t>African American and Hispanic</t>
  </si>
  <si>
    <t>Prospective members have been adequately prepared for membership|Church has its own EIN|Church has elected its own local BOA|Church has developed a mission statement that is in harmony with the denomination|Church has adopted by-laws in accordance with denominational and state laws</t>
  </si>
  <si>
    <t>This church currently meets in a building owned by the conference, so they're under the conference policy.||They are incorporated, but I don't have their articles.</t>
  </si>
  <si>
    <t>29.5042, -98.5697</t>
  </si>
  <si>
    <t xml:space="preserve">Joplin Free Methodist Church - Meadowridge Ministries </t>
  </si>
  <si>
    <t>130</t>
  </si>
  <si>
    <t>Other: Building sold and will relaunch with new name and new location</t>
  </si>
  <si>
    <t xml:space="preserve">Church building sold.  The number of members were not going to be able to sustain without finances to repair or maintain the building or acreage. |Meadowridge Ministries was never incorporated. Joplin Free Methodist Church, Inc. was the name on the Deed. In reality, Meadowridge Ministries had assumed the ministry, but the members were still members of Joplin Free Methodist Church. We are looking at Carthage, Missouri to relaunch a new church pant. Currently, the Church is meeting together and are looking to rent a facility. </t>
  </si>
  <si>
    <t>12846 Lawrence 2137</t>
  </si>
  <si>
    <t>Mt Vernon</t>
  </si>
  <si>
    <t>nativityanimals@yahoo.com</t>
  </si>
  <si>
    <t>(417) 258-0333</t>
  </si>
  <si>
    <t>Need Help</t>
  </si>
  <si>
    <t xml:space="preserve">There is no EIN because the Church has not filed for incorporation as a new entity yet. |There is no church building to insure. </t>
  </si>
  <si>
    <t>35.483, -97.5363</t>
  </si>
  <si>
    <t>Iglesia Metodista Libre Luz y Vida</t>
  </si>
  <si>
    <t>240735</t>
  </si>
  <si>
    <t>Limitless FM Church</t>
  </si>
  <si>
    <t>03/31/25</t>
  </si>
  <si>
    <t>Zoesamaidi</t>
  </si>
  <si>
    <t>0451264815</t>
  </si>
  <si>
    <t>26 Irving Tuner Blvd</t>
  </si>
  <si>
    <t>Newark</t>
  </si>
  <si>
    <t>107 19th Ave</t>
  </si>
  <si>
    <t>(973) 652-3923</t>
  </si>
  <si>
    <t>zoesamaidi@gmail.com</t>
  </si>
  <si>
    <t>Emmanuel Reyes ( CMC)</t>
  </si>
  <si>
    <t>This is the same church as Metodista Libre Luz y Vida.|They moved the name and location, but the pastor and members remained the same.|The date I entered as January 01/25, is not real because they never stopped meeting.|I don't know what date I should enter.|They sent me all the documentation. Let me know if you need something else.||Thanks.</t>
  </si>
  <si>
    <t>Chrome 138.0.0.0 / Windows</t>
  </si>
  <si>
    <t>69.250.214.156</t>
  </si>
  <si>
    <t>39.3407, -76.6753</t>
  </si>
  <si>
    <t>Journey Free Methodist Church</t>
  </si>
  <si>
    <t>320248</t>
  </si>
  <si>
    <t>Marcelo</t>
  </si>
  <si>
    <t>Farinelli</t>
  </si>
  <si>
    <t>Gregory</t>
  </si>
  <si>
    <t>18143662107</t>
  </si>
  <si>
    <t>gsnewk65@gmail.com</t>
  </si>
  <si>
    <t xml:space="preserve">Ignite Church Lewis Run </t>
  </si>
  <si>
    <t>93-3357420</t>
  </si>
  <si>
    <t>35 Lafayette Ave</t>
  </si>
  <si>
    <t>PO Box 302</t>
  </si>
  <si>
    <t>Other: Post office box</t>
  </si>
  <si>
    <t xml:space="preserve">English </t>
  </si>
  <si>
    <t>Chrome Mobile 139.0.0.0 / Android</t>
  </si>
  <si>
    <t>24.145.122.179</t>
  </si>
  <si>
    <t>41.9595, -78.6399</t>
  </si>
  <si>
    <t>Littleton United Methodist Church</t>
  </si>
  <si>
    <t>Littleton Methodist</t>
  </si>
  <si>
    <t>J. Robert</t>
  </si>
  <si>
    <t>Kirkham</t>
  </si>
  <si>
    <t xml:space="preserve">PO Box 58 </t>
  </si>
  <si>
    <t>Littleton</t>
  </si>
  <si>
    <t>61452-0058</t>
  </si>
  <si>
    <t xml:space="preserve">147 S Main St </t>
  </si>
  <si>
    <t>61452-5016</t>
  </si>
  <si>
    <t>(309) 257-2224</t>
  </si>
  <si>
    <t>jrkirkham@hotmail.com</t>
  </si>
  <si>
    <t>Former UMC church.</t>
  </si>
  <si>
    <t>Chrome 139.0.0.0 / Windows</t>
  </si>
  <si>
    <t>9165999570</t>
  </si>
  <si>
    <t>Lori Koons</t>
  </si>
  <si>
    <t>Hayward FMC CPP</t>
  </si>
  <si>
    <t>no official name as yet</t>
  </si>
  <si>
    <t xml:space="preserve">Kevin </t>
  </si>
  <si>
    <t>Cano</t>
  </si>
  <si>
    <t>Iglesia Misionera Gracia y Amor</t>
  </si>
  <si>
    <t>Colfax</t>
  </si>
  <si>
    <t>95713</t>
  </si>
  <si>
    <t>234 Sierra Canyon Ln</t>
  </si>
  <si>
    <t>(408) 990-6357</t>
  </si>
  <si>
    <t>iglesiamga1128@gmail.com</t>
  </si>
  <si>
    <t>Safari 18.6 / OS X</t>
  </si>
  <si>
    <t>98.97.25.1</t>
  </si>
  <si>
    <t>Casa de Gracias y Amor</t>
  </si>
  <si>
    <t>Visalia</t>
  </si>
  <si>
    <t xml:space="preserve">1430 Lincoln St </t>
  </si>
  <si>
    <t>Stockton</t>
  </si>
  <si>
    <t>95203</t>
  </si>
  <si>
    <t>32954 Rd.#156</t>
  </si>
  <si>
    <t>Ivanhoe</t>
  </si>
  <si>
    <t>93235</t>
  </si>
  <si>
    <t>(661) 380-5116</t>
  </si>
  <si>
    <t>Lation</t>
  </si>
  <si>
    <t>Iglesia Cristiana  Luz y Vida</t>
  </si>
  <si>
    <t>Carlos and Sarah</t>
  </si>
  <si>
    <t>Hernandez</t>
  </si>
  <si>
    <t>Network of Undeniable Blessing</t>
  </si>
  <si>
    <t>5206 Standish Rd. Unit B</t>
  </si>
  <si>
    <t>Sacramento</t>
  </si>
  <si>
    <t>95820</t>
  </si>
  <si>
    <t>5580 Power Inn Rd. Ste. J</t>
  </si>
  <si>
    <t>(650) 476-1736</t>
  </si>
  <si>
    <t>cael1982@hotmail.com</t>
  </si>
  <si>
    <t xml:space="preserve">Iglesia Cristo Nuestra Esperanza </t>
  </si>
  <si>
    <t>057</t>
  </si>
  <si>
    <t xml:space="preserve">Iglesia Cristo Nuestra Esperanza Elk City </t>
  </si>
  <si>
    <t>Raul</t>
  </si>
  <si>
    <t>Belmontes</t>
  </si>
  <si>
    <t>504 N. Main Street</t>
  </si>
  <si>
    <t>Butler</t>
  </si>
  <si>
    <t>Hispanic/English</t>
  </si>
  <si>
    <t>Rev. Juanita Belmontes</t>
  </si>
  <si>
    <t xml:space="preserve">The pastors have been on a sabbatical leave since Annual Conference. They are currently praying and listening to the Lord </t>
  </si>
  <si>
    <t xml:space="preserve">No Name at present </t>
  </si>
  <si>
    <t>027</t>
  </si>
  <si>
    <t xml:space="preserve">Church is under the CRC EIN </t>
  </si>
  <si>
    <t xml:space="preserve">205 S. Main </t>
  </si>
  <si>
    <t>Galena</t>
  </si>
  <si>
    <t xml:space="preserve">This was originally supposed to be a church plant in Carthage, MO. At present, the pastor purchased a commercial business in Galena, KS (3-4 miles from where they met in Joplin). The back portion of his business is where the Church meets on Sunday. Their first Sunday service they had seven (7) people. Galena sits on Route 66 and this is where the pastor purchased his building. I am going to meet with him and anyone from the Church BOA regarding a Facility Use Agreement, budget, pension fund, and to pray over the pastor and his wife. I would like to see the facility and encourage them. This is a Relaunch/Church Plant for what was Joplin FMC. The Superintendent and I are praying and regularly speaking with the pastor. </t>
  </si>
  <si>
    <t>The building is insured by the business owners, Steve &amp; Donna Carl. We are planning to sign a Facility Use Agreement and discuss liability insurance at the end of September when I meet with the pastor and any member of the BOA</t>
  </si>
  <si>
    <t>Neuvo Amandacer en Cristo</t>
  </si>
  <si>
    <t>307</t>
  </si>
  <si>
    <t>Joaquin</t>
  </si>
  <si>
    <t>Montoya</t>
  </si>
  <si>
    <t xml:space="preserve">Other: This Church is closed! </t>
  </si>
  <si>
    <t>Jessica Montoya</t>
  </si>
  <si>
    <t xml:space="preserve">Joaquin Montoya moved to a small town in Mexico and is leading a church there. His wife, Jessica is living in Watonga, but the building and the house in which the pastors lived is her own personal property. She is converting the church building into some type of assisted living facility. |The Church closed and the pastors are on Leave of Absence. We have notified Pastor Joaquin of how to contact the FMC in Mexico. If you have any further questions, please let me know. </t>
  </si>
  <si>
    <t xml:space="preserve">See above under updates. </t>
  </si>
  <si>
    <t>Visalia, Casa de Amor Iglesia</t>
  </si>
  <si>
    <t>Casa de Amor Iglesia</t>
  </si>
  <si>
    <t>32954 Rd 156</t>
  </si>
  <si>
    <t>casadeamoriglesia@gmail.com</t>
  </si>
  <si>
    <t xml:space="preserve">The church is meeting in various houses and does not have a permanent location. </t>
  </si>
  <si>
    <t>174.208.162.175</t>
  </si>
  <si>
    <t>38.6226, -121.3885</t>
  </si>
  <si>
    <t>Iglesia Cristiana Betel</t>
  </si>
  <si>
    <t>Haydee Arely</t>
  </si>
  <si>
    <t>Rosales de Flores</t>
  </si>
  <si>
    <t>4528 Sonata Way</t>
  </si>
  <si>
    <t>95111</t>
  </si>
  <si>
    <t>(818) 582-1566</t>
  </si>
  <si>
    <t>haydee.rdflores@gmail.com</t>
  </si>
  <si>
    <t xml:space="preserve">kristi </t>
  </si>
  <si>
    <t>garcia</t>
  </si>
  <si>
    <t>(404) 395-4452</t>
  </si>
  <si>
    <t>kristi@pcjcfm.org</t>
  </si>
  <si>
    <t>310158</t>
  </si>
  <si>
    <t>The church did not hold church property and leased facilities</t>
  </si>
  <si>
    <t>Bank account  was closed and there are no remaining funds</t>
  </si>
  <si>
    <t>no</t>
  </si>
  <si>
    <t>Chrome 136.0.0.0 / Windows</t>
  </si>
  <si>
    <t>68.4.110.54</t>
  </si>
  <si>
    <t>33.4769, -117.7013</t>
  </si>
  <si>
    <t>Carthage MO CPP</t>
  </si>
  <si>
    <t>Galena, KS (CPP)</t>
  </si>
  <si>
    <t xml:space="preserve">Stephen </t>
  </si>
  <si>
    <t>205 S. Main Street</t>
  </si>
  <si>
    <t xml:space="preserve">Other: where Church will be held </t>
  </si>
  <si>
    <t xml:space="preserve">The Church is approximately 3-4 miles from where the Joplin FMC met. </t>
  </si>
  <si>
    <t xml:space="preserve">Asst. Supt. Denise is going to meet with Pastor Steve Carl on 9/26/25 regarding liability insurance and a Facilities Use Form by the Church. The Carls own the property in Galena, KS. </t>
  </si>
  <si>
    <t>Chrome 140.0.0.0 / Windows</t>
  </si>
  <si>
    <t>35.4603, -97.3387</t>
  </si>
  <si>
    <t xml:space="preserve">Iglesia Cristo Nuestra Esperanza, Clinton, OK </t>
  </si>
  <si>
    <t>038</t>
  </si>
  <si>
    <t>Iglesia Cresta Nuestra Esperanza Elk City, OK 057</t>
  </si>
  <si>
    <t>Lead</t>
  </si>
  <si>
    <t>Raul Belmontes (Lead)|Juanita Belmontes (ATP)</t>
  </si>
  <si>
    <t xml:space="preserve">The Church owns no property. The Church was renting the facility in which they were meeting. </t>
  </si>
  <si>
    <t xml:space="preserve">These funds were applied to past rent and storage faclity. </t>
  </si>
  <si>
    <t xml:space="preserve">When the new Church Plant location is selected, the Church will begin services. |We suggested that the pastors take a vacation and time to pray and visit some of our other Hispanic Churches. |The pastors continue to work with the Conference Superintendent. </t>
  </si>
  <si>
    <t>San Luis Obispo, Formations Church</t>
  </si>
  <si>
    <t>360389</t>
  </si>
  <si>
    <t>Awaiting Appointment|Other: The MAC will likely move her to Leave of Absence.</t>
  </si>
  <si>
    <t>This was a CPP that was meeting as a ""home church"" in Mia's home. Any tech equipment she received will be returned to the FM churches that gifted it to them.</t>
  </si>
  <si>
    <t xml:space="preserve">Church planting funds not yet paid out will be returned to the church planting budget of the conference. </t>
  </si>
  <si>
    <t>EIN will be closed|Other: This church and the EIN (99-4525202) should be shown as closed in the next list submitted by the FMCUSA to the IRS.</t>
  </si>
  <si>
    <t>As a home church they were not insured.||Pastor Mia Shin made the determination that church planting was not what she was called to do. She is continuing on as a CMC in our conference at this time.</t>
  </si>
  <si>
    <t>Chrome 138.0.0.0 / OS X</t>
  </si>
  <si>
    <t>34.1424, -118.1257</t>
  </si>
  <si>
    <t>Murrieta, Living Stones (CPP)</t>
  </si>
  <si>
    <t>360336</t>
  </si>
  <si>
    <t>Kenton</t>
  </si>
  <si>
    <t xml:space="preserve">Other: Justin is suspended and will be given the opportunity for Restoration. </t>
  </si>
  <si>
    <t>Chelsea Kenton, Justin's wife, is on Leave of Absence and in good standing.</t>
  </si>
  <si>
    <t>They rented their church location. That lease is ending this month. They also have some trailers that they used for equipment that I believe will go back to the original owner, Centerpoint Church.  Sound equipment will be donated to other churches</t>
  </si>
  <si>
    <t>Our KMG account (church planting funds for the conference) has been used to supplement their payroll. There are no additional funds left to distribute.</t>
  </si>
  <si>
    <t>Other: The EIN will no longer be used, but there is an open case with the CA Franchise Tax Board. (*See below)</t>
  </si>
  <si>
    <t>They will no longer be listed as an additional insured on our KMG policy once the rental lease has ended this month.|||This church plant was not viable given the removal of the two founding pastors, and the current financial situation.||*The case with the Franchise Tax Board is regarding confusion over a filing made by a company that helped the church incorporate. We have submitted the proper paperwork, but  the FTB is months behind on clearing these issues. We can't close the corporation until it has been cleared. I think we should leave the EIN open for now just in case it needs to be ""active"" to conclude this case.</t>
  </si>
  <si>
    <t>Portland Ave FMC</t>
  </si>
  <si>
    <t>390020</t>
  </si>
  <si>
    <t>Victory Free Methodist Church</t>
  </si>
  <si>
    <t xml:space="preserve">Ali </t>
  </si>
  <si>
    <t>Mitachi</t>
  </si>
  <si>
    <t>3309 S 11th St</t>
  </si>
  <si>
    <t>Abilene</t>
  </si>
  <si>
    <t>Central African (English and Swahili)</t>
  </si>
  <si>
    <t>The church has moved into a new building and changed its name with Texas Secretary of State.</t>
  </si>
  <si>
    <t>Please send a new letter of good standing with their updated information to myself and Pastor Ali.</t>
  </si>
  <si>
    <t>Chrome 140.0.0.0 / OS X</t>
  </si>
  <si>
    <t>29.5751, -98.5406</t>
  </si>
  <si>
    <t>Coastline Church</t>
  </si>
  <si>
    <t>342</t>
  </si>
  <si>
    <t>Brice</t>
  </si>
  <si>
    <t>Sanders</t>
  </si>
  <si>
    <t>2107 3rd Ave</t>
  </si>
  <si>
    <t xml:space="preserve">Seattle </t>
  </si>
  <si>
    <t>98121</t>
  </si>
  <si>
    <t>(214) 558-1997</t>
  </si>
  <si>
    <t>brice@coastlinechurchnw.com</t>
  </si>
  <si>
    <t>Pasadena, Expressions Church (CPP)</t>
  </si>
  <si>
    <t>2540 E Orange Grove Blvd.</t>
  </si>
  <si>
    <t>PO Box 5123</t>
  </si>
  <si>
    <t>Other: PO Box</t>
  </si>
  <si>
    <t>I'm just confirming that you have the correct addresses for the church since they have changed a couple of times in the last year---once due to the Eaton Fire here in Pasadena last January. They are currently renting the building on Orange Grove.</t>
  </si>
  <si>
    <t>18595535662</t>
  </si>
  <si>
    <t>Serve &amp; Sow FMC</t>
  </si>
  <si>
    <t>Serve &amp; Sow</t>
  </si>
  <si>
    <t>Spann</t>
  </si>
  <si>
    <t>39-3313410</t>
  </si>
  <si>
    <t>New  South Conference</t>
  </si>
  <si>
    <t>141 Country Road 332</t>
  </si>
  <si>
    <t>Athens</t>
  </si>
  <si>
    <t>37303</t>
  </si>
  <si>
    <t>141  Country Road 332</t>
  </si>
  <si>
    <t>(423) 453-2041</t>
  </si>
  <si>
    <t>servesow@gmail.com</t>
  </si>
  <si>
    <t>Mixed</t>
  </si>
  <si>
    <t>This is a new emerging work.</t>
  </si>
  <si>
    <t>162.40.192.214</t>
  </si>
  <si>
    <t>Chinese Free Methodist Church of Portland</t>
  </si>
  <si>
    <t>290285</t>
  </si>
  <si>
    <t>Lyrist</t>
  </si>
  <si>
    <t>Yip</t>
  </si>
  <si>
    <t>(503) 688-7230</t>
  </si>
  <si>
    <t>Info@cfmcpdx.org</t>
  </si>
  <si>
    <t>cfmcpdx.org</t>
  </si>
  <si>
    <t>Chrome 141.0.0.0 / Windows</t>
  </si>
  <si>
    <t>15.218.24.129</t>
  </si>
  <si>
    <t>45.21, -123.2003</t>
  </si>
  <si>
    <t>Rehoboth Free Methodist Church</t>
  </si>
  <si>
    <t>Eliazal</t>
  </si>
  <si>
    <t>Sebihendo</t>
  </si>
  <si>
    <t>39-2319545</t>
  </si>
  <si>
    <t>9516 W ATLANTIS WAY</t>
  </si>
  <si>
    <t>TOLLESON</t>
  </si>
  <si>
    <t>85353</t>
  </si>
  <si>
    <t>3845 W DUNLAP AVE</t>
  </si>
  <si>
    <t>Phoenix</t>
  </si>
  <si>
    <t>85052</t>
  </si>
  <si>
    <t>(602) 323-7593</t>
  </si>
  <si>
    <t>SEBIHENDO2525@GMAIL.COM</t>
  </si>
  <si>
    <t>Gad Mushishi</t>
  </si>
  <si>
    <t xml:space="preserve">This is a church that split off from Ebenezer FMC in Arizona. It has been meeting since 8/13/2023 but was not brought into the FMC until this year at the 2025 River Conference Leadership Summit. </t>
  </si>
  <si>
    <t>Chrome 141.0.0.0 / OS X</t>
  </si>
  <si>
    <t>29.5882, -98.5183</t>
  </si>
  <si>
    <t>Pacific Northwest Conference (International Christian Faith)</t>
  </si>
  <si>
    <t>Pacific Northwest Conference of the Free Methodist Church of North America</t>
  </si>
  <si>
    <t>Cambodian Christian Faith Fellowship</t>
  </si>
  <si>
    <t>Phalla</t>
  </si>
  <si>
    <t>Son</t>
  </si>
  <si>
    <t>Only the name has changed.</t>
  </si>
  <si>
    <t xml:space="preserve">Gyselle </t>
  </si>
  <si>
    <t>Pure Life church</t>
  </si>
  <si>
    <t>241</t>
  </si>
  <si>
    <t>Aaron</t>
  </si>
  <si>
    <t>https://www.formstack.com/admin/download/file/18720642350</t>
  </si>
  <si>
    <t>Other: Appointed to NEST</t>
  </si>
  <si>
    <t>Bonie Wells (CMC) - Appointed to NEST</t>
  </si>
  <si>
    <t>It was a rented location</t>
  </si>
  <si>
    <t>This was a small church that didn't have much income. The remaining money was used to pay the remaining rental contract.</t>
  </si>
  <si>
    <t>Other: I'm not sure about that.</t>
  </si>
  <si>
    <t>The church was closed so the insurance was canceled.</t>
  </si>
  <si>
    <t>Chrome 142.0.0.0 / Windows</t>
  </si>
  <si>
    <t>39.3645, -76.6069</t>
  </si>
  <si>
    <t xml:space="preserve">Compass Church </t>
  </si>
  <si>
    <t>355</t>
  </si>
  <si>
    <t>https://www.formstack.com/admin/download/file/18753131234</t>
  </si>
  <si>
    <t xml:space="preserve">The Church property was previously sold, and the parsonage is for sale. Proceeds are being transferred to the Conference. </t>
  </si>
  <si>
    <t xml:space="preserve">Transfer to the Conference and specific funds will be distributed to various ministries. </t>
  </si>
  <si>
    <t xml:space="preserve">The Church leased an office and sanctuary since the original building had been sold. The Conference has requested a copy of the lease to see if we can get out of the lease. </t>
  </si>
  <si>
    <t>Living Faith Free Methodist Church - Lincoln, NE</t>
  </si>
  <si>
    <t>155</t>
  </si>
  <si>
    <t>The pastor, Ken Watson is retiring. The BOA has not yet voted on the property whether to sell the church and the parsonage.  I have located a Release to Encumber a loan from 1994 which lists Lincoln Free Methodist Church. The deed is in the name of THE FIRST FREE METHODIST CHURCH OF LINCOLN.  It is in good standing and the report is due 1/1/27. The date of incorporation is April 27, 1954. |</t>
  </si>
  <si>
    <t xml:space="preserve">Will go to the Conference. </t>
  </si>
  <si>
    <t xml:space="preserve">The Superintendent, MEG/MAC and BOA will be in discussions regarding what the next steps are. </t>
  </si>
  <si>
    <t>Matt</t>
  </si>
  <si>
    <t>Poole</t>
  </si>
  <si>
    <t>(301) 514-6096</t>
  </si>
  <si>
    <t>matt.poole@hcfmc.org</t>
  </si>
  <si>
    <t>Milton FMC</t>
  </si>
  <si>
    <t>330435</t>
  </si>
  <si>
    <t>Bolen</t>
  </si>
  <si>
    <t>https://www.formstack.com/admin/download/file/18905180352</t>
  </si>
  <si>
    <t xml:space="preserve">Church property is vacant and we are planning to do community out reach in teh community on summer of 2026 with the possibility of reopening in 2027 if possible. </t>
  </si>
  <si>
    <t xml:space="preserve">Currently being managed by Pastor Larry Bailey at Living Water FMC to cover property management issues. </t>
  </si>
  <si>
    <t>67.172.19.182</t>
  </si>
  <si>
    <t>40.3052, -79.5418</t>
  </si>
  <si>
    <t>Raisa</t>
  </si>
  <si>
    <t>Fabre</t>
  </si>
  <si>
    <t>(774) 249-3479</t>
  </si>
  <si>
    <t>raisafabre@gmail.com</t>
  </si>
  <si>
    <t xml:space="preserve">GracePoint </t>
  </si>
  <si>
    <t>81-2632077</t>
  </si>
  <si>
    <t>9 Academy St</t>
  </si>
  <si>
    <t>Chelmsford</t>
  </si>
  <si>
    <t>(978) 256-0855</t>
  </si>
  <si>
    <t>mygracepointchurch@gmail.com</t>
  </si>
  <si>
    <t xml:space="preserve"> https://www.mygracepointchurch.org/</t>
  </si>
  <si>
    <t>Multi</t>
  </si>
  <si>
    <t xml:space="preserve">Damaris GonzÃ¡lez </t>
  </si>
  <si>
    <t>Mobile Safari 26.1 / iOS</t>
  </si>
  <si>
    <t>24.60.234.64</t>
  </si>
  <si>
    <t>41.562, -73.6026</t>
  </si>
  <si>
    <t>Stein</t>
  </si>
  <si>
    <t>(585) 764-6761</t>
  </si>
  <si>
    <t>adam@genesisfmc.com</t>
  </si>
  <si>
    <t>First Free Methodist Church of Norwood</t>
  </si>
  <si>
    <t>330</t>
  </si>
  <si>
    <t>Daniels</t>
  </si>
  <si>
    <t>https://www.formstack.com/admin/download/file/18979901448</t>
  </si>
  <si>
    <t>https://www.formstack.com/admin/download/file/18979901449</t>
  </si>
  <si>
    <t>Other: Mr. Daniels was a licensed pastor; his license was terminated by the Genesis MEG Board, leaving him no standing in or relationship with the denomination.</t>
  </si>
  <si>
    <t>The church property will be assessed and sold, with proceeds coming back to Genesis.</t>
  </si>
  <si>
    <t>Will be returned to Genesis.</t>
  </si>
  <si>
    <t>66.24.101.201</t>
  </si>
  <si>
    <t>43.1865, -77.8028</t>
  </si>
  <si>
    <t>Your Name</t>
  </si>
  <si>
    <t>1</t>
  </si>
  <si>
    <t>3</t>
  </si>
  <si>
    <t>Your Email</t>
  </si>
  <si>
    <t>kevin.eccles@fmcusa.org</t>
  </si>
  <si>
    <t>Changes on:</t>
  </si>
  <si>
    <t>Entry ID</t>
  </si>
  <si>
    <t>Conference Name</t>
  </si>
  <si>
    <t>Church ID and Name</t>
  </si>
  <si>
    <t>Church Status</t>
  </si>
  <si>
    <t>Common Name</t>
  </si>
  <si>
    <t>Mailing Address</t>
  </si>
  <si>
    <t>Physical Address</t>
  </si>
  <si>
    <t>phone</t>
  </si>
  <si>
    <t>website</t>
  </si>
  <si>
    <t>email</t>
  </si>
  <si>
    <t>Heartbeat Mags</t>
  </si>
  <si>
    <t>Sponsoring Org Name</t>
  </si>
  <si>
    <t>Society Checklist</t>
  </si>
  <si>
    <t>Prospective Member #</t>
  </si>
  <si>
    <t>Closing</t>
  </si>
  <si>
    <t>Local BOA voted</t>
  </si>
  <si>
    <t>Local Society voted</t>
  </si>
  <si>
    <t>Conference BOA voted</t>
  </si>
  <si>
    <t>Lead Pastor</t>
  </si>
  <si>
    <t>Church Funds Plan</t>
  </si>
  <si>
    <t>Church Property Plan</t>
  </si>
  <si>
    <t>EIN plan</t>
  </si>
  <si>
    <t>Merging</t>
  </si>
  <si>
    <t>Continuing Church A</t>
  </si>
  <si>
    <t>Closing Church B</t>
  </si>
  <si>
    <t>A BOA approves</t>
  </si>
  <si>
    <t>B BOA approves</t>
  </si>
  <si>
    <t>Conference BOA approves</t>
  </si>
  <si>
    <t>Property Plans</t>
  </si>
  <si>
    <t>Church Transfer</t>
  </si>
  <si>
    <t>General Info</t>
  </si>
  <si>
    <t>new conference</t>
  </si>
  <si>
    <t>More Information</t>
  </si>
  <si>
    <t>is incorporated?</t>
  </si>
  <si>
    <t>why/why not?</t>
  </si>
  <si>
    <t>is insured?</t>
  </si>
  <si>
    <t>why not?</t>
  </si>
  <si>
    <t>Church Have EIN? Yes/church/conference</t>
  </si>
  <si>
    <t>Church EIN</t>
  </si>
  <si>
    <t>File Uploads</t>
  </si>
  <si>
    <t>Updates</t>
  </si>
  <si>
    <t>mailing address owner</t>
  </si>
  <si>
    <t>4</t>
  </si>
  <si>
    <t>5</t>
  </si>
  <si>
    <t>Please enter church EIN</t>
  </si>
  <si>
    <t>x</t>
  </si>
  <si>
    <t>ToDo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</si>
</sst>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3F3F76"/>
      <name val="Aptos Narrow"/>
      <family val="2"/>
      <scheme val="minor"/>
    </font>
    <font>
      <b/>
      <sz val="11"/>
      <color theme="0"/>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rgb="FFFFCC99"/>
      </patternFill>
    </fill>
    <fill>
      <patternFill patternType="solid">
        <fgColor theme="4"/>
        <bgColor theme="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1" fillId="2" borderId="1" applyNumberFormat="0" applyAlignment="0" applyProtection="0"/>
  </cellStyleXfs>
  <cellXfs count="8">
    <xf numFmtId="0" fontId="0" fillId="0" borderId="0" xfId="0"/>
    <xf numFmtId="0" fontId="2" fillId="3" borderId="2" xfId="0" applyFont="1" applyFill="1" applyBorder="1"/>
    <xf numFmtId="14" fontId="0" fillId="0" borderId="0" xfId="0" applyNumberFormat="1"/>
    <xf numFmtId="22" fontId="3" fillId="0" borderId="0" xfId="0" applyNumberFormat="1" applyFont="1"/>
    <xf numFmtId="0" fontId="3" fillId="0" borderId="0" xfId="0" applyFont="1"/>
    <xf numFmtId="14" fontId="3" fillId="0" borderId="0" xfId="0" applyNumberFormat="1" applyFont="1"/>
    <xf numFmtId="2" fontId="0" fillId="0" borderId="0" xfId="0" applyNumberFormat="1"/>
    <xf numFmtId="0" fontId="1" fillId="2" borderId="1" xfId="1"/>
  </cellXfs>
  <cellStyles count="2">
    <cellStyle name="Input" xfId="1" builtinId="20"/>
    <cellStyle name="Normal" xfId="0" builtinId="0"/>
  </cellStyles>
  <dxfs count="152">
    <dxf>
      <numFmt numFmtId="0" formatCode="General"/>
    </dxf>
    <dxf>
      <numFmt numFmtId="0" formatCode="General"/>
    </dxf>
    <dxf>
      <numFmt numFmtId="0" formatCode="General"/>
    </dxf>
    <dxf>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19" formatCode="m/d/yyyy"/>
    </dxf>
    <dxf>
      <numFmt numFmtId="0" formatCode="General"/>
    </dxf>
    <dxf>
      <numFmt numFmtId="0" formatCode="General"/>
    </dxf>
    <dxf>
      <numFmt numFmtId="0" formatCode="General"/>
    </dxf>
    <dxf>
      <numFmt numFmtId="0" formatCode="General"/>
    </dxf>
    <dxf>
      <font>
        <strike val="0"/>
        <outline val="0"/>
        <shadow val="0"/>
        <u val="none"/>
        <vertAlign val="baseline"/>
        <sz val="11"/>
        <color rgb="FFFF0000"/>
        <name val="Aptos Narrow"/>
        <family val="2"/>
        <scheme val="minor"/>
      </font>
    </dxf>
    <dxf>
      <numFmt numFmtId="0" formatCode="General"/>
    </dxf>
    <dxf>
      <font>
        <strike val="0"/>
        <outline val="0"/>
        <shadow val="0"/>
        <u val="none"/>
        <vertAlign val="baseline"/>
        <sz val="11"/>
        <color rgb="FFFF0000"/>
        <name val="Aptos Narrow"/>
        <family val="2"/>
        <scheme val="minor"/>
      </font>
      <numFmt numFmtId="19" formatCode="m/d/yyyy"/>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numFmt numFmtId="0" formatCode="General"/>
    </dxf>
    <dxf>
      <numFmt numFmtId="0" formatCode="General"/>
    </dxf>
    <dxf>
      <font>
        <strike val="0"/>
        <outline val="0"/>
        <shadow val="0"/>
        <u val="none"/>
        <vertAlign val="baseline"/>
        <sz val="11"/>
        <color rgb="FFFF0000"/>
        <name val="Aptos Narrow"/>
        <family val="2"/>
        <scheme val="minor"/>
      </font>
      <numFmt numFmtId="0" formatCode="General"/>
    </dxf>
    <dxf>
      <numFmt numFmtId="0" formatCode="General"/>
    </dxf>
    <dxf>
      <font>
        <strike val="0"/>
        <outline val="0"/>
        <shadow val="0"/>
        <u val="none"/>
        <vertAlign val="baseline"/>
        <sz val="11"/>
        <color rgb="FFFF0000"/>
        <name val="Aptos Narrow"/>
        <family val="2"/>
        <scheme val="minor"/>
      </font>
      <numFmt numFmtId="0" formatCode="General"/>
    </dxf>
    <dxf>
      <numFmt numFmtId="0" formatCode="General"/>
    </dxf>
    <dxf>
      <font>
        <strike val="0"/>
        <outline val="0"/>
        <shadow val="0"/>
        <u val="none"/>
        <vertAlign val="baseline"/>
        <sz val="11"/>
        <color rgb="FFFF0000"/>
        <name val="Aptos Narrow"/>
        <family val="2"/>
        <scheme val="minor"/>
      </font>
      <numFmt numFmtId="0" formatCode="General"/>
    </dxf>
    <dxf>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19" formatCode="m/d/yyyy"/>
    </dxf>
    <dxf>
      <numFmt numFmtId="0" formatCode="General"/>
    </dxf>
    <dxf>
      <font>
        <strike val="0"/>
        <outline val="0"/>
        <shadow val="0"/>
        <u val="none"/>
        <vertAlign val="baseline"/>
        <sz val="11"/>
        <color rgb="FFFF0000"/>
        <name val="Aptos Narrow"/>
        <family val="2"/>
        <scheme val="minor"/>
      </font>
    </dxf>
    <dxf>
      <numFmt numFmtId="0" formatCode="General"/>
    </dxf>
    <dxf>
      <numFmt numFmtId="0" formatCode="General"/>
    </dxf>
    <dxf>
      <numFmt numFmtId="0" formatCode="General"/>
    </dxf>
    <dxf>
      <font>
        <strike val="0"/>
        <outline val="0"/>
        <shadow val="0"/>
        <u val="none"/>
        <vertAlign val="baseline"/>
        <sz val="11"/>
        <color rgb="FFFF0000"/>
        <name val="Aptos Narrow"/>
        <family val="2"/>
        <scheme val="minor"/>
      </font>
    </dxf>
    <dxf>
      <numFmt numFmtId="0" formatCode="General"/>
    </dxf>
    <dxf>
      <font>
        <strike val="0"/>
        <outline val="0"/>
        <shadow val="0"/>
        <u val="none"/>
        <vertAlign val="baseline"/>
        <sz val="11"/>
        <color rgb="FFFF0000"/>
        <name val="Aptos Narrow"/>
        <family val="2"/>
        <scheme val="minor"/>
      </font>
      <numFmt numFmtId="19" formatCode="m/d/yyyy"/>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19" formatCode="m/d/yyyy"/>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0" formatCode="General"/>
    </dxf>
    <dxf>
      <font>
        <strike val="0"/>
        <outline val="0"/>
        <shadow val="0"/>
        <u val="none"/>
        <vertAlign val="baseline"/>
        <sz val="11"/>
        <color rgb="FFFF0000"/>
        <name val="Aptos Narrow"/>
        <family val="2"/>
        <scheme val="minor"/>
      </font>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ADAEF0-F490-4261-AF97-81E9744EF331}" autoFormatId="16" applyNumberFormats="0" applyBorderFormats="0" applyFontFormats="0" applyPatternFormats="0" applyAlignmentFormats="0" applyWidthHeightFormats="0">
  <queryTableRefresh nextId="155">
    <queryTableFields count="154">
      <queryTableField id="1" name="Time" tableColumnId="1"/>
      <queryTableField id="2" name="Processed" tableColumnId="2"/>
      <queryTableField id="3" name="Person Completing Report (First)" tableColumnId="3"/>
      <queryTableField id="4" name="Person Completing Report (Last)" tableColumnId="4"/>
      <queryTableField id="5" name="Phone" tableColumnId="5"/>
      <queryTableField id="6" name="Email" tableColumnId="6"/>
      <queryTableField id="7" name="What information do you need to provide?" tableColumnId="7"/>
      <queryTableField id="8" name="Conference" tableColumnId="8"/>
      <queryTableField id="9" name="(Legal) Name of Church" tableColumnId="9"/>
      <queryTableField id="10" name="Church ID Number" tableColumnId="10"/>
      <queryTableField id="11" name="Change Effective Date" tableColumnId="11"/>
      <queryTableField id="12" name="New Church Status" tableColumnId="12"/>
      <queryTableField id="13" name="Legal Name" tableColumnId="13"/>
      <queryTableField id="14" name="Known / Common Name" tableColumnId="14"/>
      <queryTableField id="15" name="Appointed Pastor (Lead Pastor) (First)" tableColumnId="15"/>
      <queryTableField id="16" name="Appointed Pastor (Lead Pastor) (Last)" tableColumnId="16"/>
      <queryTableField id="17" name="Church Type" tableColumnId="17"/>
      <queryTableField id="18" name="Does the church have an EIN?" tableColumnId="18"/>
      <queryTableField id="19" name="Please enter church's EIN" tableColumnId="19"/>
      <queryTableField id="20" name="What is the name of the sponsoring church?" tableColumnId="20"/>
      <queryTableField id="21" name="Mailing Address (Address)" tableColumnId="21"/>
      <queryTableField id="22" name="Mailing Address (Address2)" tableColumnId="22"/>
      <queryTableField id="23" name="Mailing Address (City)" tableColumnId="23"/>
      <queryTableField id="24" name="Mailing Address (State)" tableColumnId="24"/>
      <queryTableField id="25" name="Mailing Address (Zip)" tableColumnId="25"/>
      <queryTableField id="26" name="Mailing Address is..." tableColumnId="26"/>
      <queryTableField id="27" name="Physical Address Where Services are Held (Address)" tableColumnId="27"/>
      <queryTableField id="28" name="Physical Address Where Services are Held (Address2)" tableColumnId="28"/>
      <queryTableField id="29" name="Physical Address Where Services are Held (City)" tableColumnId="29"/>
      <queryTableField id="30" name="Physical Address Where Services are Held (State)" tableColumnId="30"/>
      <queryTableField id="31" name="Physical Address Where Services are Held (Zip)" tableColumnId="31"/>
      <queryTableField id="32" name="Church Phone Number" tableColumnId="32"/>
      <queryTableField id="33" name="Church Email" tableColumnId="33"/>
      <queryTableField id="34" name="Church Website" tableColumnId="34"/>
      <queryTableField id="35" name="Date first service was held, or will be held:" tableColumnId="35"/>
      <queryTableField id="36" name="Church Ethnicity" tableColumnId="36"/>
      <queryTableField id="37" name="How many Heartbeat Magazines would you like to receive?" tableColumnId="37"/>
      <queryTableField id="38" name="List other appointed pastors" tableColumnId="38"/>
      <queryTableField id="39" name="Check all that apply:" tableColumnId="39"/>
      <queryTableField id="40" name="Number of prospective members" tableColumnId="40"/>
      <queryTableField id="41" name="Please upload Incorporation Documentation" tableColumnId="41"/>
      <queryTableField id="42" name="Enter church's individual EIN (do not enter Conference EIN)" tableColumnId="42"/>
      <queryTableField id="43" name="Please upload church insurance documentation" tableColumnId="43"/>
      <queryTableField id="44" name="Date of Last Service OR Date church should be considered closed" tableColumnId="44"/>
      <queryTableField id="45" name="Number of appointed pastors" tableColumnId="45"/>
      <queryTableField id="46" name="Name of Lead Pastor (First)" tableColumnId="46"/>
      <queryTableField id="47" name="Name of Lead Pastor (Last)" tableColumnId="47"/>
      <queryTableField id="48" name="Please check all that apply:" tableColumnId="48"/>
      <queryTableField id="49" name="Upload Local BOA meeting minutes" tableColumnId="49"/>
      <queryTableField id="50" name="Upload Local Church's Society meeting minutes" tableColumnId="50"/>
      <queryTableField id="51" name="Upload Conference BOA minutes" tableColumnId="51"/>
      <queryTableField id="52" name="Lead Pastor is now (or will be):" tableColumnId="52"/>
      <queryTableField id="53" name="To what church has the Lead Pastor been appointed?" tableColumnId="53"/>
      <queryTableField id="54" name="Position:" tableColumnId="54"/>
      <queryTableField id="55" name="List all other appointed pastors and their current appointment status:" tableColumnId="55"/>
      <queryTableField id="56" name="What has happened or will happen to the church property?" tableColumnId="56"/>
      <queryTableField id="57" name="What has happened or will happen with the church funds?" tableColumnId="57"/>
      <queryTableField id="58" name="Did the church have its own EIN?" tableColumnId="58"/>
      <queryTableField id="59" name="What is happening to the church's EIN?" tableColumnId="59"/>
      <queryTableField id="60" name="Name of new DBA" tableColumnId="60"/>
      <queryTableField id="61" name="Legal Name_1" tableColumnId="61"/>
      <queryTableField id="62" name="DBA" tableColumnId="62"/>
      <queryTableField id="63" name="Known / Common Name_2" tableColumnId="63"/>
      <queryTableField id="64" name="Appointed Pastor (Lead Pastor) (First)_3" tableColumnId="64"/>
      <queryTableField id="65" name="Appointed Pastor (Lead Pastor) (Last)_4" tableColumnId="65"/>
      <queryTableField id="66" name="Church Type_5" tableColumnId="66"/>
      <queryTableField id="67" name="Does the church have an EIN?_6" tableColumnId="67"/>
      <queryTableField id="68" name="Please enter church's EIN_7" tableColumnId="68"/>
      <queryTableField id="69" name="What is the name of the sponsoring church?_8" tableColumnId="69"/>
      <queryTableField id="70" name="Physical Address Where Services are Held (Address)_9" tableColumnId="70"/>
      <queryTableField id="71" name="Physical Address Where Services are Held (Address2)_10" tableColumnId="71"/>
      <queryTableField id="72" name="Physical Address Where Services are Held (City)_11" tableColumnId="72"/>
      <queryTableField id="73" name="Physical Address Where Services are Held (State)_12" tableColumnId="73"/>
      <queryTableField id="74" name="Physical Address Where Services are Held (Zip)_13" tableColumnId="74"/>
      <queryTableField id="75" name="Physical Address Where Services are Held (Country)" tableColumnId="75"/>
      <queryTableField id="76" name="Mailing Address (if different) (Address)" tableColumnId="76"/>
      <queryTableField id="77" name="Mailing Address (if different) (Address2)" tableColumnId="77"/>
      <queryTableField id="78" name="Mailing Address (if different) (City)" tableColumnId="78"/>
      <queryTableField id="79" name="Mailing Address (if different) (State)" tableColumnId="79"/>
      <queryTableField id="80" name="Mailing Address (if different) (Zip)" tableColumnId="80"/>
      <queryTableField id="81" name="Mailing Address (if different) (Country)" tableColumnId="81"/>
      <queryTableField id="82" name="Mailing Address is..._14" tableColumnId="82"/>
      <queryTableField id="83" name="Church Phone Number_15" tableColumnId="83"/>
      <queryTableField id="84" name="Church Email_16" tableColumnId="84"/>
      <queryTableField id="85" name="Church Website_17" tableColumnId="85"/>
      <queryTableField id="86" name="Date first service was held, or will be held:_18" tableColumnId="86"/>
      <queryTableField id="87" name="Church Ethnicity_19" tableColumnId="87"/>
      <queryTableField id="88" name="How many Heartbeat Magazines would you like to receive?_20" tableColumnId="88"/>
      <queryTableField id="89" name="Light &amp; Life Magazine Language" tableColumnId="89"/>
      <queryTableField id="90" name="List other appointed pastors_21" tableColumnId="90"/>
      <queryTableField id="91" name="List any other updates you need to report:" tableColumnId="91"/>
      <queryTableField id="92" name="What kind of merge is being reported?" tableColumnId="92"/>
      <queryTableField id="93" name="Date this merge will take effect" tableColumnId="93"/>
      <queryTableField id="94" name="Church A Name" tableColumnId="94"/>
      <queryTableField id="95" name="Church B Name" tableColumnId="95"/>
      <queryTableField id="96" name="What will the merged church's name be?" tableColumnId="96"/>
      <queryTableField id="97" name="The merged church's EIN will be:" tableColumnId="97"/>
      <queryTableField id="98" name="If you have the new EIN, please enter it here:" tableColumnId="98"/>
      <queryTableField id="99" name="New Conference" tableColumnId="99"/>
      <queryTableField id="100" name="How many churches are moving to this Conference?" tableColumnId="100"/>
      <queryTableField id="101" name="Church Name" tableColumnId="101"/>
      <queryTableField id="102" name="Is the church's name changing?" tableColumnId="102"/>
      <queryTableField id="103" name="New Church Name" tableColumnId="103"/>
      <queryTableField id="104" name="Second Church Name" tableColumnId="104"/>
      <queryTableField id="105" name="Is the second church's name changing?" tableColumnId="105"/>
      <queryTableField id="106" name="New Church Name (Second)" tableColumnId="106"/>
      <queryTableField id="107" name="Church ID Number (current)" tableColumnId="107"/>
      <queryTableField id="108" name="Church Location - Where services are held (Address)" tableColumnId="108"/>
      <queryTableField id="109" name="Church Location - Where services are held (Address2)" tableColumnId="109"/>
      <queryTableField id="110" name="Church Location - Where services are held (City)" tableColumnId="110"/>
      <queryTableField id="111" name="Church Location - Where services are held (State)" tableColumnId="111"/>
      <queryTableField id="112" name="Church Location - Where services are held (Zip)" tableColumnId="112"/>
      <queryTableField id="113" name="Church Mailing Address (if different) (Address)" tableColumnId="113"/>
      <queryTableField id="114" name="Church Mailing Address (if different) (Address2)" tableColumnId="114"/>
      <queryTableField id="115" name="Church Mailing Address (if different) (City)" tableColumnId="115"/>
      <queryTableField id="116" name="Church Mailing Address (if different) (State)" tableColumnId="116"/>
      <queryTableField id="117" name="Church Mailing Address (if different) (Zip)" tableColumnId="117"/>
      <queryTableField id="118" name="Appointed Lead Pastor (First)" tableColumnId="118"/>
      <queryTableField id="119" name="Appointed Lead Pastor (Last)" tableColumnId="119"/>
      <queryTableField id="120" name="Please Check All that Apply:.1" tableColumnId="120"/>
      <queryTableField id="121" name="Upload Church A's BOA Minutes here:" tableColumnId="121"/>
      <queryTableField id="122" name="Upload Church B's BOA Minutes here:" tableColumnId="122"/>
      <queryTableField id="123" name="Upload Conference BOA Minutes here:" tableColumnId="123"/>
      <queryTableField id="124" name="List Church ID #'s that are changing conferences below:" tableColumnId="124"/>
      <queryTableField id="125" name="Please describe what the plan is for any unused church property, including who will receive funds from property sales (i.e. Conference office or local church)." tableColumnId="125"/>
      <queryTableField id="126" name="This church is:" tableColumnId="126"/>
      <queryTableField id="127" name="Date of Last Service" tableColumnId="127"/>
      <queryTableField id="128" name="Date Services Resumed" tableColumnId="128"/>
      <queryTableField id="129" name="Reason for Reorganization" tableColumnId="129"/>
      <queryTableField id="130" name="Has the church's contact information changed?" tableColumnId="130"/>
      <queryTableField id="131" name="Appointed Lead Pastor (First)_22" tableColumnId="131"/>
      <queryTableField id="132" name="Appointed Lead Pastor (Last)_23" tableColumnId="132"/>
      <queryTableField id="133" name="Church Location Address (Address)" tableColumnId="133"/>
      <queryTableField id="134" name="Church Location Address (Address2)" tableColumnId="134"/>
      <queryTableField id="135" name="Church Location Address (City)" tableColumnId="135"/>
      <queryTableField id="136" name="Church Location Address (State)" tableColumnId="136"/>
      <queryTableField id="137" name="Church Location Address (Zip)" tableColumnId="137"/>
      <queryTableField id="138" name="Church Mailing Address (if different) (Address)_24" tableColumnId="138"/>
      <queryTableField id="139" name="Church Mailing Address (if different) (Address2)_25" tableColumnId="139"/>
      <queryTableField id="140" name="Church Mailing Address (if different) (City)_26" tableColumnId="140"/>
      <queryTableField id="141" name="Church Mailing Address (if different) (State)_27" tableColumnId="141"/>
      <queryTableField id="142" name="Church Mailing Address (if different) (Zip)_28" tableColumnId="142"/>
      <queryTableField id="143" name="Church Email_29" tableColumnId="143"/>
      <queryTableField id="144" name="Church Phone" tableColumnId="144"/>
      <queryTableField id="145" name="Church's EIN" tableColumnId="145"/>
      <queryTableField id="146" name="Is the church incorporated?" tableColumnId="146"/>
      <queryTableField id="147" name="Why is the church not incorporated?" tableColumnId="147"/>
      <queryTableField id="148" name="Does the church have insurance?" tableColumnId="148"/>
      <queryTableField id="149" name="Why is the church uninsured?" tableColumnId="149"/>
      <queryTableField id="150" name="Is there anything else we need to know?" tableColumnId="150"/>
      <queryTableField id="151" name="Browser" tableColumnId="151"/>
      <queryTableField id="152" name="IP Address" tableColumnId="152"/>
      <queryTableField id="153" name="Unique ID" tableColumnId="153"/>
      <queryTableField id="154" name="Location" tableColumnId="154"/>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E5FB77-E5EF-4D40-B203-71B1160BAFF3}" name="Table4" displayName="Table4" ref="A3:F22" totalsRowShown="0">
  <autoFilter ref="A3:F22" xr:uid="{E5E5FB77-E5EF-4D40-B203-71B1160BAFF3}"/>
  <tableColumns count="6">
    <tableColumn id="1" xr3:uid="{458E0BBE-BD4A-4112-A308-0E4DD46D4472}" name="General Info"/>
    <tableColumn id="2" xr3:uid="{760216FF-9A05-40E1-BE43-AFFE3E8A46C1}" name="1"/>
    <tableColumn id="3" xr3:uid="{35A18214-F1D0-4B11-A375-84E2D5AB7687}" name="2"/>
    <tableColumn id="4" xr3:uid="{F62D556C-6360-435A-B4CF-CE999344569B}" name="3"/>
    <tableColumn id="5" xr3:uid="{F49EF233-1A8C-475B-88E5-2EAF17467CED}" name="4" dataDxfId="151">
      <calculatedColumnFormula>_xlfn.LET(
_xlpm.source,formstack_subs[Date this merge will take effect],
_xlpm.matched,INDEX(_xlpm.source,MATCH($B$1,formstack_subs[Unique ID],0)),
_xlpm.result,TEXT(_xlpm.matched,"yyyy-mm-dd")&amp;"-merged",
_xlpm.result
)</calculatedColumnFormula>
    </tableColumn>
    <tableColumn id="6" xr3:uid="{25ADD539-FBCD-4FB0-8A68-624569327675}" name="5" dataDxfId="150">
      <calculatedColumnFormula>_xlfn.LET(
_xlpm.source,formstack_subs[Time],
_xlpm.matched,INDEX(_xlpm.source,MATCH($B$1,formstack_subs[Unique ID],0)),
_xlpm.result,TEXT(_xlpm.matched,"yyyy-mm-dd")&amp;"-form filed",
_xlpm.result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6EF402-E452-4CE1-A7E2-DE673024D8DF}" name="Table5" displayName="Table5" ref="A24:D31" totalsRowShown="0">
  <autoFilter ref="A24:D31" xr:uid="{5F6EF402-E452-4CE1-A7E2-DE673024D8DF}"/>
  <tableColumns count="4">
    <tableColumn id="1" xr3:uid="{23702121-A59B-40BB-A250-D829936ECB8B}" name="Closing"/>
    <tableColumn id="2" xr3:uid="{1567E8B4-AAF4-4537-BC54-56AEE1220EE3}" name="1" dataDxfId="149">
      <calculatedColumnFormula array="1">_xlfn.LET(
_xlpm.source,formstack_subs[Appointed Pastor (Lead Pastor) (First)]&amp;" "&amp;formstack_subs[Appointed Pastor (Lead Pastor) (Last)],
_xlpm.matched,INDEX(_xlpm.source,MATCH($B$1,formstack_subs[Unique ID],0)),
_xlpm.result,_xlpm.matched,
_xlpm.result
)</calculatedColumnFormula>
    </tableColumn>
    <tableColumn id="3" xr3:uid="{EE0D9C54-8348-4BFA-8431-247E97F28052}" name="2" dataDxfId="148">
      <calculatedColumnFormula array="1">_xlfn.LET(
_xlpm.source,formstack_subs[Name of Lead Pastor (First)]&amp;" "&amp;formstack_subs[Name of Lead Pastor (Last)],
_xlpm.matched,INDEX(_xlpm.source,MATCH($B$1,formstack_subs[Unique ID],0)),
_xlpm.result,_xlpm.matched,
_xlpm.result
)</calculatedColumnFormula>
    </tableColumn>
    <tableColumn id="4" xr3:uid="{FF17F6CF-A1A4-439C-868A-FA0F3149830A}" name="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395FC2-53CC-42DD-834D-412E79CADDCA}" name="Table6" displayName="Table6" ref="A33:D39" totalsRowShown="0">
  <autoFilter ref="A33:D39" xr:uid="{99395FC2-53CC-42DD-834D-412E79CADDCA}"/>
  <tableColumns count="4">
    <tableColumn id="1" xr3:uid="{006472CB-DAA4-49FA-871B-09417AF03999}" name="Merging"/>
    <tableColumn id="2" xr3:uid="{EF7DBA31-CBC9-49A6-A108-E5BD555EAAAF}" name="1"/>
    <tableColumn id="3" xr3:uid="{2A968353-B250-414E-83A3-EA97B93CF91E}" name="2"/>
    <tableColumn id="4" xr3:uid="{15A902C1-A722-4221-9DAE-6F14985F1562}" name="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D3D65B-9FD9-4312-B2BC-ACC577B36014}" name="Table7" displayName="Table7" ref="A41:D42" totalsRowShown="0">
  <autoFilter ref="A41:D42" xr:uid="{99D3D65B-9FD9-4312-B2BC-ACC577B36014}"/>
  <tableColumns count="4">
    <tableColumn id="1" xr3:uid="{EF50275F-D031-4A3A-9E2F-BBB47F35CC96}" name="Church Transfer"/>
    <tableColumn id="2" xr3:uid="{A34FFAD2-D473-4905-BF52-F69CF03700D3}" name="1">
      <calculatedColumnFormula>_xlfn.LET(
_xlpm.source,formstack_subs[New Conference],
_xlpm.matched,INDEX(_xlpm.source,MATCH($B$1,formstack_subs[Unique ID],0)),
_xlpm.result,_xlpm.matched,
_xlpm.result
)</calculatedColumnFormula>
    </tableColumn>
    <tableColumn id="3" xr3:uid="{6126796E-64D0-4EB8-9169-5FAD1B97A881}" name="2"/>
    <tableColumn id="4" xr3:uid="{04E2775A-91CF-415C-AF63-DD1DE5890668}" name="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91D4CE-F4EE-4F8E-AFC1-8DA50362D50F}" name="Table8" displayName="Table8" ref="A44:D51" totalsRowShown="0">
  <autoFilter ref="A44:D51" xr:uid="{8991D4CE-F4EE-4F8E-AFC1-8DA50362D50F}"/>
  <tableColumns count="4">
    <tableColumn id="1" xr3:uid="{1188B30B-A8FD-4073-B38C-BEAA2DE260BC}" name="More Information"/>
    <tableColumn id="2" xr3:uid="{69BBCDFD-721F-4F6C-A368-D8EB5E683A35}" name="1" dataDxfId="147">
      <calculatedColumnFormula>_xlfn.LET(
_xlpm.source,formstack_subs[Please enter church EIN],
_xlpm.matched,INDEX(_xlpm.source,MATCH($B$1,formstack_subs[Unique ID],0)),
_xlpm.result,_xlpm.matched,
_xlpm.result
)</calculatedColumnFormula>
    </tableColumn>
    <tableColumn id="3" xr3:uid="{C2255B62-9C35-4F12-970E-FCE47BCC30A1}" name="2" dataDxfId="146">
      <calculatedColumnFormula>_xlfn.LET(
_xlpm.source,formstack_subs[Enter church''s individual EIN (do not enter Conference EIN)],
_xlpm.matched,INDEX(_xlpm.source,MATCH($B$1,formstack_subs[Unique ID],0)),
_xlpm.result,_xlpm.matched&amp;"",
_xlpm.result
)</calculatedColumnFormula>
    </tableColumn>
    <tableColumn id="4" xr3:uid="{87DA6B29-B373-4FB9-B0CB-F3B2B9117BDE}" name="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8F12905-8DDB-4458-8DE4-EBCC9333DAE7}" name="Table9" displayName="Table9" ref="A1:B261" totalsRowShown="0">
  <autoFilter ref="A1:B261" xr:uid="{28F12905-8DDB-4458-8DE4-EBCC9333DAE7}"/>
  <sortState xmlns:xlrd2="http://schemas.microsoft.com/office/spreadsheetml/2017/richdata2" ref="A2:B261">
    <sortCondition descending="1" ref="A1:A261"/>
  </sortState>
  <tableColumns count="2">
    <tableColumn id="1" xr3:uid="{521B9296-1799-48B4-A07F-6959F47D5CA7}" name="ID"/>
    <tableColumn id="2" xr3:uid="{FB68CBF5-FB44-4EBB-8FFD-08D3641C3D45}" name="ToD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37ACDA-2E17-481E-B1FA-CE481BA6EE72}" name="formstack_subs" displayName="formstack_subs" ref="A1:EX261" tableType="queryTable" totalsRowShown="0">
  <autoFilter ref="A1:EX261" xr:uid="{6637ACDA-2E17-481E-B1FA-CE481BA6EE72}"/>
  <tableColumns count="154">
    <tableColumn id="1" xr3:uid="{542320B0-9D1A-43B0-B96A-A55752E83CBB}" uniqueName="1" name="Time" queryTableFieldId="1" dataDxfId="145"/>
    <tableColumn id="2" xr3:uid="{27590CFF-4D61-4F54-BC41-F989E3EC67CF}" uniqueName="2" name="Processed" queryTableFieldId="2" dataDxfId="144"/>
    <tableColumn id="3" xr3:uid="{3C73D29A-2D8D-47F0-B54F-6CB82B4755B0}" uniqueName="3" name="Person Completing Report (First)" queryTableFieldId="3" dataDxfId="143"/>
    <tableColumn id="4" xr3:uid="{AACE0FC0-71FE-4416-8086-8C6292343155}" uniqueName="4" name="Person Completing Report (Last)" queryTableFieldId="4" dataDxfId="142"/>
    <tableColumn id="5" xr3:uid="{CCE88A71-69EC-4813-B3C4-C7F4E5844AE5}" uniqueName="5" name="Phone" queryTableFieldId="5" dataDxfId="141"/>
    <tableColumn id="6" xr3:uid="{20B92EAA-6AD3-447B-92D1-020E2E025930}" uniqueName="6" name="Email" queryTableFieldId="6" dataDxfId="140"/>
    <tableColumn id="7" xr3:uid="{4C98AC05-B007-47CC-90D7-4BDB4E9D9B35}" uniqueName="7" name="What information do you need to provide?" queryTableFieldId="7" dataDxfId="139"/>
    <tableColumn id="8" xr3:uid="{6B48F1EA-81F2-41A5-B910-8DDE306907E8}" uniqueName="8" name="Conference" queryTableFieldId="8" dataDxfId="138"/>
    <tableColumn id="9" xr3:uid="{F73033E1-1B24-44C0-85B0-4F3EDA55A8ED}" uniqueName="9" name="(Legal) Name of Church" queryTableFieldId="9" dataDxfId="137"/>
    <tableColumn id="10" xr3:uid="{F9913FB3-BFF8-4CFA-8168-89B57623D556}" uniqueName="10" name="Church ID Number" queryTableFieldId="10" dataDxfId="136"/>
    <tableColumn id="11" xr3:uid="{B617E6D9-EAE7-4A42-931A-E59A0D28E661}" uniqueName="11" name="Change Effective Date" queryTableFieldId="11" dataDxfId="135"/>
    <tableColumn id="12" xr3:uid="{657E4BF8-6A41-4A0B-8C87-AA64197C1369}" uniqueName="12" name="New Church Status" queryTableFieldId="12" dataDxfId="134"/>
    <tableColumn id="13" xr3:uid="{28307415-E4BA-408B-AB94-AF6A65AAF3E4}" uniqueName="13" name="Legal Name" queryTableFieldId="13" dataDxfId="133"/>
    <tableColumn id="14" xr3:uid="{0F0A6F1F-E4F1-4260-9A9E-78251CF0712D}" uniqueName="14" name="Known / Common Name" queryTableFieldId="14" dataDxfId="132"/>
    <tableColumn id="15" xr3:uid="{01D07947-6105-40AB-B1FA-91F4DECB6D75}" uniqueName="15" name="Appointed Pastor (Lead Pastor) (First)" queryTableFieldId="15" dataDxfId="131"/>
    <tableColumn id="16" xr3:uid="{A5543C5E-B0D1-4F42-A8C0-5BC6593C602A}" uniqueName="16" name="Appointed Pastor (Lead Pastor) (Last)" queryTableFieldId="16" dataDxfId="130"/>
    <tableColumn id="17" xr3:uid="{2B7D747A-5003-4FEB-A596-035E305852FB}" uniqueName="17" name="Church Type" queryTableFieldId="17" dataDxfId="129"/>
    <tableColumn id="18" xr3:uid="{0FBADA3B-BABB-44B4-AC9B-CBE9B24E2480}" uniqueName="18" name="Does the church have an EIN?" queryTableFieldId="18" dataDxfId="128"/>
    <tableColumn id="19" xr3:uid="{8BCFFE2E-F1C5-42B0-B0B5-A551BA086865}" uniqueName="19" name="Please enter church EIN" queryTableFieldId="19" dataDxfId="127"/>
    <tableColumn id="20" xr3:uid="{0F5C4009-4F41-497C-BBED-80E12CE783AD}" uniqueName="20" name="What is the name of the sponsoring church?" queryTableFieldId="20" dataDxfId="126"/>
    <tableColumn id="21" xr3:uid="{831465A5-C3EB-45E5-B87E-6AEDE4B5AE89}" uniqueName="21" name="Mailing Address (Address)" queryTableFieldId="21" dataDxfId="125"/>
    <tableColumn id="22" xr3:uid="{2825AF74-EC7C-4029-910F-632C12394A94}" uniqueName="22" name="Mailing Address (Address2)" queryTableFieldId="22" dataDxfId="124"/>
    <tableColumn id="23" xr3:uid="{149B53F9-7DCA-4EE9-8AFA-E849AC5D5104}" uniqueName="23" name="Mailing Address (City)" queryTableFieldId="23" dataDxfId="123"/>
    <tableColumn id="24" xr3:uid="{0C744DE6-04E8-44E6-ADE7-F7FDCAAB41E1}" uniqueName="24" name="Mailing Address (State)" queryTableFieldId="24" dataDxfId="122"/>
    <tableColumn id="25" xr3:uid="{00EBBB5D-BB54-44EE-BE75-BAE10DFC5BE3}" uniqueName="25" name="Mailing Address (Zip)" queryTableFieldId="25" dataDxfId="121"/>
    <tableColumn id="26" xr3:uid="{8D8571C2-44FC-4D48-A2AF-E2802F4D201D}" uniqueName="26" name="Mailing Address is..." queryTableFieldId="26" dataDxfId="120"/>
    <tableColumn id="27" xr3:uid="{B2691CFA-0F4C-475A-82FC-904EDC5C58A0}" uniqueName="27" name="Physical Address Where Services are Held (Address)" queryTableFieldId="27" dataDxfId="119"/>
    <tableColumn id="28" xr3:uid="{B50BFFF6-7CDD-4425-80AE-957B55A2576B}" uniqueName="28" name="Physical Address Where Services are Held (Address2)" queryTableFieldId="28" dataDxfId="118"/>
    <tableColumn id="29" xr3:uid="{DE95AA79-ACF6-41D0-9D8B-010312B396ED}" uniqueName="29" name="Physical Address Where Services are Held (City)" queryTableFieldId="29" dataDxfId="117"/>
    <tableColumn id="30" xr3:uid="{A96F5891-3D6D-419B-B3DA-8ACF75826C5F}" uniqueName="30" name="Physical Address Where Services are Held (State)" queryTableFieldId="30" dataDxfId="116"/>
    <tableColumn id="31" xr3:uid="{89256B0F-DEF9-42AE-B4A8-E5A1CFDA0001}" uniqueName="31" name="Physical Address Where Services are Held (Zip)" queryTableFieldId="31" dataDxfId="115"/>
    <tableColumn id="32" xr3:uid="{C79B6D69-24EF-41FD-AB1C-A5DA1BF57A8F}" uniqueName="32" name="Church Phone Number" queryTableFieldId="32" dataDxfId="114"/>
    <tableColumn id="33" xr3:uid="{E0400A9A-BF75-4864-9FF7-38CB431D15F6}" uniqueName="33" name="Church Email" queryTableFieldId="33" dataDxfId="113"/>
    <tableColumn id="34" xr3:uid="{09D6FA4B-41B5-492B-98EC-C92BA7BD741B}" uniqueName="34" name="Church Website" queryTableFieldId="34" dataDxfId="112"/>
    <tableColumn id="35" xr3:uid="{D5B01D1F-5C08-4BAC-A048-58C97FC39244}" uniqueName="35" name="Date first service was held, or will be held:" queryTableFieldId="35" dataDxfId="111"/>
    <tableColumn id="36" xr3:uid="{D508297E-416E-40D8-9273-22AFA4C04C07}" uniqueName="36" name="Church Ethnicity" queryTableFieldId="36" dataDxfId="110"/>
    <tableColumn id="37" xr3:uid="{956F22B2-F599-4550-A603-DEE02139999C}" uniqueName="37" name="How many Heartbeat Magazines would you like to receive?" queryTableFieldId="37" dataDxfId="109"/>
    <tableColumn id="38" xr3:uid="{E034486D-F5DC-499D-8D8E-454EE2BE9F86}" uniqueName="38" name="List other appointed pastors" queryTableFieldId="38" dataDxfId="108"/>
    <tableColumn id="39" xr3:uid="{D71C12A4-59B5-4DED-AA40-AE33356816A5}" uniqueName="39" name="Check all that apply:" queryTableFieldId="39" dataDxfId="107"/>
    <tableColumn id="40" xr3:uid="{C69E638D-5AB9-49F8-9F1F-54803167D757}" uniqueName="40" name="Number of prospective members" queryTableFieldId="40"/>
    <tableColumn id="41" xr3:uid="{51F4C39C-7700-44C3-A24B-6017C0374E6E}" uniqueName="41" name="Please upload Incorporation Documentation" queryTableFieldId="41" dataDxfId="106"/>
    <tableColumn id="42" xr3:uid="{684715A3-1EC0-46E7-B572-3DCC2FDE9319}" uniqueName="42" name="Enter church's individual EIN (do not enter Conference EIN)" queryTableFieldId="42" dataDxfId="105"/>
    <tableColumn id="43" xr3:uid="{5A5329D1-7368-40D0-84B9-BD943D0C3B8C}" uniqueName="43" name="Please upload church insurance documentation" queryTableFieldId="43" dataDxfId="104"/>
    <tableColumn id="44" xr3:uid="{F53F3ACF-5676-4811-82E3-2C9471127D55}" uniqueName="44" name="Date of Last Service OR Date church should be considered closed" queryTableFieldId="44" dataDxfId="103"/>
    <tableColumn id="45" xr3:uid="{194D7C8E-EA72-4BA1-BAC3-922A1CE62B29}" uniqueName="45" name="Number of appointed pastors" queryTableFieldId="45"/>
    <tableColumn id="46" xr3:uid="{31E61669-BFC9-4B6A-87CB-4DA7F209BBDE}" uniqueName="46" name="Name of Lead Pastor (First)" queryTableFieldId="46" dataDxfId="102"/>
    <tableColumn id="47" xr3:uid="{17626CC8-6AD8-4C61-9217-8F7C2CFE555F}" uniqueName="47" name="Name of Lead Pastor (Last)" queryTableFieldId="47" dataDxfId="101"/>
    <tableColumn id="48" xr3:uid="{D902D75C-7666-4CE4-9A08-16A19D3F8DCC}" uniqueName="48" name="Please check all that apply:" queryTableFieldId="48" dataDxfId="100"/>
    <tableColumn id="49" xr3:uid="{CC15D1B8-9350-40C1-852D-4830D8E615FA}" uniqueName="49" name="Upload Local BOA meeting minutes" queryTableFieldId="49" dataDxfId="99"/>
    <tableColumn id="50" xr3:uid="{35D34D6F-607C-4BE7-A03F-F4D09AD258D5}" uniqueName="50" name="Upload Local Church's Society meeting minutes" queryTableFieldId="50" dataDxfId="98"/>
    <tableColumn id="51" xr3:uid="{93350129-8F2B-4455-A359-C08AB726F369}" uniqueName="51" name="Upload Conference BOA minutes" queryTableFieldId="51" dataDxfId="97"/>
    <tableColumn id="52" xr3:uid="{23223CFD-8E68-4562-AA67-0C2F1E8376B1}" uniqueName="52" name="Lead Pastor is now (or will be):" queryTableFieldId="52" dataDxfId="96"/>
    <tableColumn id="53" xr3:uid="{91D4A163-B364-434F-96C7-1CECEB58333A}" uniqueName="53" name="To what church has the Lead Pastor been appointed?" queryTableFieldId="53" dataDxfId="95"/>
    <tableColumn id="54" xr3:uid="{4C750C08-D1D8-46DC-8740-E7F8800C23A9}" uniqueName="54" name="Position:" queryTableFieldId="54" dataDxfId="94"/>
    <tableColumn id="55" xr3:uid="{7ED60A01-481E-4E3C-8AAC-F9EFB69B874F}" uniqueName="55" name="List all other appointed pastors and their current appointment status:" queryTableFieldId="55" dataDxfId="93"/>
    <tableColumn id="56" xr3:uid="{0A7E87C4-7EC6-432C-845C-96AE73C83691}" uniqueName="56" name="What has happened or will happen to the church property?" queryTableFieldId="56" dataDxfId="92"/>
    <tableColumn id="57" xr3:uid="{3A322A54-2E8F-4AE8-8628-DC625FBACC6B}" uniqueName="57" name="What has happened or will happen with the church funds?" queryTableFieldId="57" dataDxfId="91"/>
    <tableColumn id="58" xr3:uid="{45A3EC91-D5A7-44EB-9A07-DC8EC90B4714}" uniqueName="58" name="Did the church have its own EIN?" queryTableFieldId="58" dataDxfId="90"/>
    <tableColumn id="59" xr3:uid="{AB942721-9943-4999-A1F6-A22B788089D2}" uniqueName="59" name="What is happening to the church's EIN?" queryTableFieldId="59" dataDxfId="89"/>
    <tableColumn id="60" xr3:uid="{285DE44F-754C-4BC6-924A-71AF3FA173E7}" uniqueName="60" name="Name of new DBA" queryTableFieldId="60" dataDxfId="88"/>
    <tableColumn id="61" xr3:uid="{416D4FA0-144A-492C-98DF-9FCDD759D9A2}" uniqueName="61" name="Legal Name_1" queryTableFieldId="61" dataDxfId="87"/>
    <tableColumn id="62" xr3:uid="{FC2BA9CD-44C1-4533-83A6-F17BFD5C8D44}" uniqueName="62" name="DBA" queryTableFieldId="62" dataDxfId="86"/>
    <tableColumn id="63" xr3:uid="{6D97B298-D4E6-430D-976D-E612E097C185}" uniqueName="63" name="Known / Common Name_2" queryTableFieldId="63" dataDxfId="85"/>
    <tableColumn id="64" xr3:uid="{8D145DA3-6E4C-4160-89C8-6B63005C10B1}" uniqueName="64" name="Appointed Pastor (Lead Pastor) (First)_3" queryTableFieldId="64" dataDxfId="84"/>
    <tableColumn id="65" xr3:uid="{1D73EA53-819C-4AC0-BDFC-A3084FA602F5}" uniqueName="65" name="Appointed Pastor (Lead Pastor) (Last)_4" queryTableFieldId="65" dataDxfId="83"/>
    <tableColumn id="66" xr3:uid="{244D199E-9019-47EC-B15B-D63CF410359C}" uniqueName="66" name="Church Type_5" queryTableFieldId="66" dataDxfId="82"/>
    <tableColumn id="67" xr3:uid="{11E8ADCC-B881-4080-AB9D-A0549EC30591}" uniqueName="67" name="Does the church have an EIN?_6" queryTableFieldId="67" dataDxfId="81"/>
    <tableColumn id="68" xr3:uid="{64B12E4C-EC76-4C66-B783-213BB9D67726}" uniqueName="68" name="Please enter church's EIN_7" queryTableFieldId="68" dataDxfId="80"/>
    <tableColumn id="69" xr3:uid="{A8C48802-0F5B-46E7-92EA-F0096F4FB1B2}" uniqueName="69" name="What is the name of the sponsoring church?_8" queryTableFieldId="69" dataDxfId="79"/>
    <tableColumn id="70" xr3:uid="{334D0589-3ABA-4E65-86FD-4F5DC5C0A974}" uniqueName="70" name="Physical Address Where Services are Held (Address)_9" queryTableFieldId="70" dataDxfId="78"/>
    <tableColumn id="71" xr3:uid="{97961178-A836-4151-B13E-9E191782EBA5}" uniqueName="71" name="Physical Address Where Services are Held (Address2)_10" queryTableFieldId="71" dataDxfId="77"/>
    <tableColumn id="72" xr3:uid="{AA31B646-F3BA-4613-9C7F-330E34E92942}" uniqueName="72" name="Physical Address Where Services are Held (City)_11" queryTableFieldId="72" dataDxfId="76"/>
    <tableColumn id="73" xr3:uid="{6EF91EED-6FDB-4211-A085-58ED3FC96CAA}" uniqueName="73" name="Physical Address Where Services are Held (State)_12" queryTableFieldId="73" dataDxfId="75"/>
    <tableColumn id="74" xr3:uid="{96C874B9-A6C5-4D8A-8DCE-E2B995FBBC7A}" uniqueName="74" name="Physical Address Where Services are Held (Zip)_13" queryTableFieldId="74" dataDxfId="74"/>
    <tableColumn id="75" xr3:uid="{02D9A0DF-0BA4-4DCF-BF15-A554C3A8604B}" uniqueName="75" name="Physical Address Where Services are Held (Country)" queryTableFieldId="75" dataDxfId="73"/>
    <tableColumn id="76" xr3:uid="{25D0C315-3C2E-45EB-98A0-6BE274A86423}" uniqueName="76" name="Mailing Address (if different) (Address)" queryTableFieldId="76" dataDxfId="72"/>
    <tableColumn id="77" xr3:uid="{950AD1CE-0CA8-4774-B10B-7CC4EF70953B}" uniqueName="77" name="Mailing Address (if different) (Address2)" queryTableFieldId="77" dataDxfId="71"/>
    <tableColumn id="78" xr3:uid="{09C04DD1-FBF2-43C1-A6B3-5A93E33EB9F1}" uniqueName="78" name="Mailing Address (if different) (City)" queryTableFieldId="78" dataDxfId="70"/>
    <tableColumn id="79" xr3:uid="{DFCB6E36-ACB0-4939-87E7-AB3F15125C11}" uniqueName="79" name="Mailing Address (if different) (State)" queryTableFieldId="79" dataDxfId="69"/>
    <tableColumn id="80" xr3:uid="{B5604C12-BA1C-43AF-81B1-2A49720B4471}" uniqueName="80" name="Mailing Address (if different) (Zip)" queryTableFieldId="80" dataDxfId="68"/>
    <tableColumn id="81" xr3:uid="{4266E543-31EB-483B-BBEC-E6BC7350F6CE}" uniqueName="81" name="Mailing Address (if different) (Country)" queryTableFieldId="81" dataDxfId="67"/>
    <tableColumn id="82" xr3:uid="{D7C5F28A-D2D7-46C7-A6CA-4FAA57E6FF5C}" uniqueName="82" name="Mailing Address is..._14" queryTableFieldId="82" dataDxfId="66"/>
    <tableColumn id="83" xr3:uid="{D5659AD3-4888-4C14-A03D-6969E3812267}" uniqueName="83" name="Church Phone Number_15" queryTableFieldId="83" dataDxfId="65"/>
    <tableColumn id="84" xr3:uid="{8C84F858-B04D-4FD7-B8EF-036E178EBB31}" uniqueName="84" name="Church Email_16" queryTableFieldId="84" dataDxfId="64"/>
    <tableColumn id="85" xr3:uid="{65BA8005-71BA-4A2B-BFF0-C342DCEAF25D}" uniqueName="85" name="Church Website_17" queryTableFieldId="85" dataDxfId="63"/>
    <tableColumn id="86" xr3:uid="{BD5F8169-7C94-410E-97AC-52829E3791A4}" uniqueName="86" name="Date first service was held, or will be held:_18" queryTableFieldId="86" dataDxfId="62"/>
    <tableColumn id="87" xr3:uid="{7CBE5912-6F40-44AF-A4F3-62FB29795DF9}" uniqueName="87" name="Church Ethnicity_19" queryTableFieldId="87" dataDxfId="61"/>
    <tableColumn id="88" xr3:uid="{BA2CCB37-ABAD-4D09-874E-9B734D1316C3}" uniqueName="88" name="How many Heartbeat Magazines would you like to receive?_20" queryTableFieldId="88" dataDxfId="60"/>
    <tableColumn id="89" xr3:uid="{F6FA87DD-3B75-4F5B-BAB3-372DCEEE8676}" uniqueName="89" name="Light &amp; Life Magazine Language" queryTableFieldId="89" dataDxfId="59"/>
    <tableColumn id="90" xr3:uid="{A6ACE731-0C1D-4ED5-B5EA-F487C6C361FE}" uniqueName="90" name="List other appointed pastors_21" queryTableFieldId="90" dataDxfId="58"/>
    <tableColumn id="91" xr3:uid="{AE120F5B-58E4-4BB6-97B9-CFC397E67CF6}" uniqueName="91" name="List any other updates you need to report:" queryTableFieldId="91" dataDxfId="57"/>
    <tableColumn id="92" xr3:uid="{428FB774-BD7F-4E35-B152-58D253C16A40}" uniqueName="92" name="What kind of merge is being reported?" queryTableFieldId="92" dataDxfId="56"/>
    <tableColumn id="93" xr3:uid="{87521086-8D6C-4CD4-9C2D-E33833C8D80F}" uniqueName="93" name="Date this merge will take effect" queryTableFieldId="93" dataDxfId="55"/>
    <tableColumn id="94" xr3:uid="{5FAC6783-00D3-42DC-A287-B64916802351}" uniqueName="94" name="Church A Name" queryTableFieldId="94" dataDxfId="54"/>
    <tableColumn id="95" xr3:uid="{AC86A32C-0B50-4C32-8FEE-8BA09917D77A}" uniqueName="95" name="Church B Name" queryTableFieldId="95" dataDxfId="53"/>
    <tableColumn id="96" xr3:uid="{27D9F0F0-8075-4BD9-91C3-3E57E14A5126}" uniqueName="96" name="What will the merged church's name be?" queryTableFieldId="96" dataDxfId="52"/>
    <tableColumn id="97" xr3:uid="{D698BAF9-3C4E-49A9-9997-32594723FBF6}" uniqueName="97" name="The merged church's EIN will be:" queryTableFieldId="97" dataDxfId="51"/>
    <tableColumn id="98" xr3:uid="{D43801A2-5E36-4B74-9349-2E275FAF6A86}" uniqueName="98" name="If you have the new EIN, please enter it here:" queryTableFieldId="98" dataDxfId="50"/>
    <tableColumn id="99" xr3:uid="{9CC01A4E-5804-428D-BE96-1A9910A6E619}" uniqueName="99" name="New Conference" queryTableFieldId="99" dataDxfId="49"/>
    <tableColumn id="100" xr3:uid="{79C6F6E4-0C89-44FF-88EE-B807BBB691A4}" uniqueName="100" name="How many churches are moving to this Conference?" queryTableFieldId="100" dataDxfId="48"/>
    <tableColumn id="101" xr3:uid="{163A510B-CBEF-4A49-B441-714131349508}" uniqueName="101" name="Church Name" queryTableFieldId="101" dataDxfId="47"/>
    <tableColumn id="102" xr3:uid="{760A5EB3-693C-4C67-ADD5-E4C806A42AE1}" uniqueName="102" name="Is the church's name changing?" queryTableFieldId="102" dataDxfId="46"/>
    <tableColumn id="103" xr3:uid="{2F81B97C-D6E0-4E74-912B-1111BA79E543}" uniqueName="103" name="New Church Name" queryTableFieldId="103" dataDxfId="45"/>
    <tableColumn id="104" xr3:uid="{94E1C78D-70AC-4B4A-B3BE-17D701C30A9C}" uniqueName="104" name="Second Church Name" queryTableFieldId="104" dataDxfId="44"/>
    <tableColumn id="105" xr3:uid="{08AA783A-2D98-48AB-8E8D-F80BB41C55ED}" uniqueName="105" name="Is the second church's name changing?" queryTableFieldId="105" dataDxfId="43"/>
    <tableColumn id="106" xr3:uid="{70D48946-9D9A-4B00-A715-ECABE546B7E5}" uniqueName="106" name="New Church Name (Second)" queryTableFieldId="106" dataDxfId="42"/>
    <tableColumn id="107" xr3:uid="{2B0646FF-AADD-40F0-B309-F78A7C856731}" uniqueName="107" name="Church ID Number (current)" queryTableFieldId="107" dataDxfId="41"/>
    <tableColumn id="108" xr3:uid="{EBA39BD1-264B-4ADE-A06B-E133649E5DCD}" uniqueName="108" name="Church Location - Where services are held (Address)" queryTableFieldId="108" dataDxfId="40"/>
    <tableColumn id="109" xr3:uid="{4E20C765-13ED-464D-8FB6-EAC9B524F867}" uniqueName="109" name="Church Location - Where services are held (Address2)" queryTableFieldId="109" dataDxfId="39"/>
    <tableColumn id="110" xr3:uid="{6BAF040C-D77E-4527-AAB4-4737BA19353F}" uniqueName="110" name="Church Location - Where services are held (City)" queryTableFieldId="110" dataDxfId="38"/>
    <tableColumn id="111" xr3:uid="{B143F604-F7C7-44D6-929A-3D4D96555431}" uniqueName="111" name="Church Location - Where services are held (State)" queryTableFieldId="111" dataDxfId="37"/>
    <tableColumn id="112" xr3:uid="{6D9AE250-8781-44B5-B818-1ACBB9585B85}" uniqueName="112" name="Church Location - Where services are held (Zip)" queryTableFieldId="112"/>
    <tableColumn id="113" xr3:uid="{74C00238-4AB6-44D0-BB93-423B7F145FE8}" uniqueName="113" name="Church Mailing Address (if different) (Address)" queryTableFieldId="113" dataDxfId="36"/>
    <tableColumn id="114" xr3:uid="{CC87AE20-F6D9-4FEE-BDED-3975612CCC73}" uniqueName="114" name="Church Mailing Address (if different) (Address2)" queryTableFieldId="114" dataDxfId="35"/>
    <tableColumn id="115" xr3:uid="{7E5604B1-863D-4C5F-A5B2-8563B880A7BF}" uniqueName="115" name="Church Mailing Address (if different) (City)" queryTableFieldId="115" dataDxfId="34"/>
    <tableColumn id="116" xr3:uid="{E5EDBD66-F4A7-490E-99AD-7937E3DB56BB}" uniqueName="116" name="Church Mailing Address (if different) (State)" queryTableFieldId="116" dataDxfId="33"/>
    <tableColumn id="117" xr3:uid="{EA0633AE-BF5A-4B23-8F82-5037DDB6372D}" uniqueName="117" name="Church Mailing Address (if different) (Zip)" queryTableFieldId="117"/>
    <tableColumn id="118" xr3:uid="{5A92AEF1-3ACA-41E4-8FF6-282AAA27073D}" uniqueName="118" name="Appointed Lead Pastor (First)" queryTableFieldId="118" dataDxfId="32"/>
    <tableColumn id="119" xr3:uid="{D156F89D-CC25-42CF-9E64-2F4173813571}" uniqueName="119" name="Appointed Lead Pastor (Last)" queryTableFieldId="119" dataDxfId="31"/>
    <tableColumn id="120" xr3:uid="{766474F7-4AC2-4B5E-B8BC-69CA6FBDB2D0}" uniqueName="120" name="Please Check All that Apply:.1" queryTableFieldId="120" dataDxfId="30"/>
    <tableColumn id="121" xr3:uid="{60C7BC7C-4F02-4B7B-B4E8-8E85EA09B1CE}" uniqueName="121" name="Upload Church A's BOA Minutes here:" queryTableFieldId="121" dataDxfId="29"/>
    <tableColumn id="122" xr3:uid="{2B11AA94-17E4-4C99-B226-9F8D5B46D313}" uniqueName="122" name="Upload Church B's BOA Minutes here:" queryTableFieldId="122" dataDxfId="28"/>
    <tableColumn id="123" xr3:uid="{A8126991-EA4D-44AB-843E-BFE0DE5E8079}" uniqueName="123" name="Upload Conference BOA Minutes here:" queryTableFieldId="123" dataDxfId="27"/>
    <tableColumn id="124" xr3:uid="{979C1A58-14C7-4B13-A93D-BCBF74BB2D2D}" uniqueName="124" name="List Church ID #'s that are changing conferences below:" queryTableFieldId="124" dataDxfId="26"/>
    <tableColumn id="125" xr3:uid="{AE48978D-7165-4C08-9A75-E69967D516B8}" uniqueName="125" name="Please describe what the plan is for any unused church property, including who will receive funds from property sales (i.e. Conference office or local church)." queryTableFieldId="125" dataDxfId="25"/>
    <tableColumn id="126" xr3:uid="{719E02E7-34F3-4529-9D89-B260F734B267}" uniqueName="126" name="This church is:" queryTableFieldId="126" dataDxfId="24"/>
    <tableColumn id="127" xr3:uid="{DCA82685-695E-4E6C-B220-47A9BF79A0CB}" uniqueName="127" name="Date of Last Service" queryTableFieldId="127" dataDxfId="23"/>
    <tableColumn id="128" xr3:uid="{9E1A892B-740F-45E3-9F07-7DD91303FCD8}" uniqueName="128" name="Date Services Resumed" queryTableFieldId="128" dataDxfId="22"/>
    <tableColumn id="129" xr3:uid="{C3877B8F-63DF-4B78-83EF-58F90DEA8E0E}" uniqueName="129" name="Reason for Reorganization" queryTableFieldId="129" dataDxfId="21"/>
    <tableColumn id="130" xr3:uid="{24571B26-582C-4119-906C-F92B8A5F4A52}" uniqueName="130" name="Has the church's contact information changed?" queryTableFieldId="130" dataDxfId="20"/>
    <tableColumn id="131" xr3:uid="{A1D4DDDD-E03B-46EC-91FC-DE83CA53788F}" uniqueName="131" name="Appointed Lead Pastor (First)_22" queryTableFieldId="131" dataDxfId="19"/>
    <tableColumn id="132" xr3:uid="{BC420E3C-CBD4-4EA3-A38E-9D3822D1767E}" uniqueName="132" name="Appointed Lead Pastor (Last)_23" queryTableFieldId="132" dataDxfId="18"/>
    <tableColumn id="133" xr3:uid="{B6175C81-D88A-4854-9814-625C1DB1AC20}" uniqueName="133" name="Church Location Address (Address)" queryTableFieldId="133" dataDxfId="17"/>
    <tableColumn id="134" xr3:uid="{82F21E8B-906A-4B13-9149-1E45DEDF4ECA}" uniqueName="134" name="Church Location Address (Address2)" queryTableFieldId="134" dataDxfId="16"/>
    <tableColumn id="135" xr3:uid="{97DDB066-F906-429D-8841-52AC3A7C2563}" uniqueName="135" name="Church Location Address (City)" queryTableFieldId="135" dataDxfId="15"/>
    <tableColumn id="136" xr3:uid="{CE7A6DC0-A8B7-4D0E-AD75-6F4FD96F8073}" uniqueName="136" name="Church Location Address (State)" queryTableFieldId="136" dataDxfId="14"/>
    <tableColumn id="137" xr3:uid="{FE8ADA2C-24FD-47C1-BAD4-3625B7ABF3C8}" uniqueName="137" name="Church Location Address (Zip)" queryTableFieldId="137"/>
    <tableColumn id="138" xr3:uid="{8CE1920A-9137-48C0-95CC-84D3AF15E729}" uniqueName="138" name="Church Mailing Address (if different) (Address)_24" queryTableFieldId="138" dataDxfId="13"/>
    <tableColumn id="139" xr3:uid="{58EAC787-B903-4717-B091-641FE5348B3E}" uniqueName="139" name="Church Mailing Address (if different) (Address2)_25" queryTableFieldId="139" dataDxfId="12"/>
    <tableColumn id="140" xr3:uid="{CA955E9D-59CD-4A32-88B7-28AE7E5147AD}" uniqueName="140" name="Church Mailing Address (if different) (City)_26" queryTableFieldId="140" dataDxfId="11"/>
    <tableColumn id="141" xr3:uid="{D883D7A0-56B3-4B77-BA33-4AE68AB6EEF7}" uniqueName="141" name="Church Mailing Address (if different) (State)_27" queryTableFieldId="141" dataDxfId="10"/>
    <tableColumn id="142" xr3:uid="{7D913C02-418E-4A9E-9625-44CD91A113B6}" uniqueName="142" name="Church Mailing Address (if different) (Zip)_28" queryTableFieldId="142"/>
    <tableColumn id="143" xr3:uid="{6C0C6D7F-8FAD-4021-8D6C-06F4AF6D118D}" uniqueName="143" name="Church Email_29" queryTableFieldId="143" dataDxfId="9"/>
    <tableColumn id="144" xr3:uid="{6A4173AD-5A10-4C6A-AED6-135C8C375C63}" uniqueName="144" name="Church Phone" queryTableFieldId="144" dataDxfId="8"/>
    <tableColumn id="145" xr3:uid="{A4B7F56D-C728-420A-A44B-F638AA333E9F}" uniqueName="145" name="Church's EIN" queryTableFieldId="145"/>
    <tableColumn id="146" xr3:uid="{1124F55F-0858-4586-9BE2-120DCDA62CCA}" uniqueName="146" name="Is the church incorporated?" queryTableFieldId="146" dataDxfId="7"/>
    <tableColumn id="147" xr3:uid="{72E8EFAF-0620-484B-97D5-CB179B930FF9}" uniqueName="147" name="Why is the church not incorporated?" queryTableFieldId="147" dataDxfId="6"/>
    <tableColumn id="148" xr3:uid="{C5E4C548-A52E-4345-9BA4-E72C97649795}" uniqueName="148" name="Does the church have insurance?" queryTableFieldId="148" dataDxfId="5"/>
    <tableColumn id="149" xr3:uid="{6F29B041-69CF-40E7-8A4E-1388E2EF5C44}" uniqueName="149" name="Why is the church uninsured?" queryTableFieldId="149" dataDxfId="4"/>
    <tableColumn id="150" xr3:uid="{090A3CFA-06A4-4A5D-B860-413383835530}" uniqueName="150" name="Is there anything else we need to know?" queryTableFieldId="150" dataDxfId="3"/>
    <tableColumn id="151" xr3:uid="{8EADF4A1-9DFF-458E-80FE-365C86A83D23}" uniqueName="151" name="Browser" queryTableFieldId="151" dataDxfId="2"/>
    <tableColumn id="152" xr3:uid="{C07F7E0A-E92A-465F-8E0C-9C50C94E4127}" uniqueName="152" name="IP Address" queryTableFieldId="152" dataDxfId="1"/>
    <tableColumn id="153" xr3:uid="{934C2E0A-F35B-458B-949D-C9C7494EA03B}" uniqueName="153" name="Unique ID" queryTableFieldId="153"/>
    <tableColumn id="154" xr3:uid="{94C97C2C-FAA1-4A07-BDE9-C0AA4439C1B2}" uniqueName="154" name="Location" queryTableFieldId="154"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ED6F-87D0-4882-97E1-A403405944F4}">
  <dimension ref="A1:F51"/>
  <sheetViews>
    <sheetView tabSelected="1" zoomScale="75" zoomScaleNormal="75" workbookViewId="0"/>
  </sheetViews>
  <sheetFormatPr defaultRowHeight="15" x14ac:dyDescent="0.25"/>
  <cols>
    <col min="1" max="1" width="38.140625" bestFit="1" customWidth="1"/>
    <col min="2" max="2" width="43.42578125" bestFit="1" customWidth="1"/>
    <col min="3" max="6" width="36.7109375" customWidth="1"/>
  </cols>
  <sheetData>
    <row r="1" spans="1:6" x14ac:dyDescent="0.25">
      <c r="A1" s="1" t="s">
        <v>3223</v>
      </c>
      <c r="B1" s="7">
        <f>INDEX(Table9[ID],MATCH("x",Table9[ToDo],0))</f>
        <v>1326261774</v>
      </c>
    </row>
    <row r="3" spans="1:6" x14ac:dyDescent="0.25">
      <c r="A3" t="s">
        <v>3253</v>
      </c>
      <c r="B3" t="s">
        <v>3218</v>
      </c>
      <c r="C3" t="s">
        <v>1436</v>
      </c>
      <c r="D3" t="s">
        <v>3219</v>
      </c>
      <c r="E3" t="s">
        <v>3265</v>
      </c>
      <c r="F3" t="s">
        <v>3266</v>
      </c>
    </row>
    <row r="4" spans="1:6" x14ac:dyDescent="0.25">
      <c r="A4" t="s">
        <v>3263</v>
      </c>
      <c r="B4" t="str">
        <f>_xlfn.LET(
_xlpm.source,formstack_subs[What information do you need to provide?],
_xlpm.matched,INDEX(_xlpm.source,MATCH($B$1,formstack_subs[Unique ID],0)),
_xlpm.result,_xlpm.matched,
_xlpm.result
)</f>
        <v>New Church</v>
      </c>
    </row>
    <row r="5" spans="1:6" x14ac:dyDescent="0.25">
      <c r="A5" t="s">
        <v>3217</v>
      </c>
      <c r="B5" t="str" cm="1">
        <f t="array" ref="B5">_xlfn.LET(
_xlpm.source,formstack_subs[Person Completing Report (First)]&amp;" "&amp;formstack_subs[Person Completing Report (Last)]&amp;" - "&amp;formstack_subs[Email],
_xlpm.matched,INDEX(_xlpm.source,MATCH($B$1,formstack_subs[Unique ID],0)),
_xlpm.result,_xlpm.matched,
_xlpm.result
)</f>
        <v>Heather Utley - heather@theriverconference.org</v>
      </c>
    </row>
    <row r="6" spans="1:6" x14ac:dyDescent="0.25">
      <c r="A6" t="s">
        <v>3220</v>
      </c>
      <c r="B6" t="s">
        <v>3221</v>
      </c>
    </row>
    <row r="7" spans="1:6" x14ac:dyDescent="0.25">
      <c r="A7" t="s">
        <v>3222</v>
      </c>
      <c r="B7" t="str">
        <f>_xlfn.LET(
_xlpm.source,formstack_subs[Change Effective Date],
_xlpm.matched,INDEX(_xlpm.source,MATCH($B$1,formstack_subs[Unique ID],0)),
_xlpm.result,TEXT(_xlpm.matched,"yyyy-mm-dd"),
_xlpm.result
)</f>
        <v>1900-01-00</v>
      </c>
      <c r="C7" t="str" cm="1">
        <f t="array" ref="C7">_xlfn.LET(
_xlpm.source,formstack_subs[Date first service was held, or will be held:]&amp;formstack_subs[Date first service was held, or will be held:_18],
_xlpm.matched,INDEX(_xlpm.source,MATCH($B$1,formstack_subs[Unique ID],0)),
_xlpm.result,TEXT(_xlpm.matched,"yyyy-mm-dd")&amp;" - first service",
_xlpm.result
)</f>
        <v>2023-09-10 - first service</v>
      </c>
      <c r="D7" t="str">
        <f>_xlfn.LET(
_xlpm.source,formstack_subs[Date of Last Service OR Date church should be considered closed],
_xlpm.matched,INDEX(_xlpm.source,MATCH($B$1,formstack_subs[Unique ID],0)),
_xlpm.result,TEXT(_xlpm.matched,"yyyy-mm-dd")&amp;" - last service",
_xlpm.result
)</f>
        <v>1900-01-00 - last service</v>
      </c>
      <c r="E7" t="str">
        <f>_xlfn.LET(
_xlpm.source,formstack_subs[Date this merge will take effect],
_xlpm.matched,INDEX(_xlpm.source,MATCH($B$1,formstack_subs[Unique ID],0)),
_xlpm.result,TEXT(_xlpm.matched,"yyyy-mm-dd")&amp;"-merged",
_xlpm.result
)</f>
        <v>1900-01-00-merged</v>
      </c>
      <c r="F7" t="str">
        <f>_xlfn.LET(
_xlpm.source,formstack_subs[Time],
_xlpm.matched,INDEX(_xlpm.source,MATCH($B$1,formstack_subs[Unique ID],0)),
_xlpm.result,TEXT(_xlpm.matched,"yyyy-mm-dd")&amp;"-form filed",
_xlpm.result
)</f>
        <v>2025-03-20-form filed</v>
      </c>
    </row>
    <row r="8" spans="1:6" x14ac:dyDescent="0.25">
      <c r="A8" t="s">
        <v>3224</v>
      </c>
      <c r="B8" t="str">
        <f>_xlfn.LET(
_xlpm.source,formstack_subs[Conference],
_xlpm.matched,INDEX(_xlpm.source,MATCH($B$1,formstack_subs[Unique ID],0)),
_xlpm.result,_xlpm.matched,
_xlpm.result
)</f>
        <v>390 The River</v>
      </c>
    </row>
    <row r="9" spans="1:6" x14ac:dyDescent="0.25">
      <c r="A9" t="s">
        <v>3225</v>
      </c>
      <c r="B9" t="str">
        <f>_xlfn.LET(
_xlpm.source,formstack_subs[Church ID Number],
_xlpm.matched,INDEX(_xlpm.source,MATCH($B$1,formstack_subs[Unique ID],0)),
_xlpm.result,_xlpm.matched,
_xlpm.result
)</f>
        <v/>
      </c>
    </row>
    <row r="10" spans="1:6" x14ac:dyDescent="0.25">
      <c r="A10" t="s">
        <v>3226</v>
      </c>
      <c r="B10" t="str">
        <f>_xlfn.LET(
_xlpm.source,formstack_subs[New Church Status],
_xlpm.matched,INDEX(_xlpm.source,MATCH($B$1,formstack_subs[Unique ID],0)),
_xlpm.result,_xlpm.matched,
_xlpm.result
)</f>
        <v/>
      </c>
      <c r="C10" t="str">
        <f>_xlfn.LET(
_xlpm.source,formstack_subs[Church Type],
_xlpm.matched,INDEX(_xlpm.source,MATCH($B$1,formstack_subs[Unique ID],0)),
_xlpm.result,_xlpm.matched,
_xlpm.result
)</f>
        <v>Society</v>
      </c>
      <c r="D10" t="str">
        <f>_xlfn.LET(
_xlpm.source,formstack_subs[Church Type_5],
_xlpm.matched,INDEX(_xlpm.source,MATCH($B$1,formstack_subs[Unique ID],0)),
_xlpm.result,_xlpm.matched,
_xlpm.result
)</f>
        <v/>
      </c>
    </row>
    <row r="11" spans="1:6" x14ac:dyDescent="0.25">
      <c r="A11" t="s">
        <v>12</v>
      </c>
      <c r="B11" t="str">
        <f>_xlfn.LET(
_xlpm.source,formstack_subs[(Legal) Name of Church],
_xlpm.matched,INDEX(_xlpm.source,MATCH($B$1,formstack_subs[Unique ID],0)),
_xlpm.result,_xlpm.matched,
_xlpm.result
)</f>
        <v>Iglesia Christiana Monte Sion</v>
      </c>
      <c r="C11" t="str">
        <f>_xlfn.LET(
_xlpm.source,formstack_subs[Legal Name],
_xlpm.matched,INDEX(_xlpm.source,MATCH($B$1,formstack_subs[Unique ID],0)),
_xlpm.result,_xlpm.matched,
_xlpm.result
)</f>
        <v>Iglesia Christiana Monte Sion</v>
      </c>
      <c r="D11" t="str">
        <f>_xlfn.LET(
_xlpm.source,formstack_subs[Legal Name_1],
_xlpm.matched,INDEX(_xlpm.source,MATCH($B$1,formstack_subs[Unique ID],0)),
_xlpm.result,_xlpm.matched,
_xlpm.result
)</f>
        <v/>
      </c>
    </row>
    <row r="12" spans="1:6" x14ac:dyDescent="0.25">
      <c r="A12" t="s">
        <v>3227</v>
      </c>
      <c r="B12" t="str">
        <f>_xlfn.LET(
_xlpm.source,formstack_subs[Known / Common Name],
_xlpm.matched,INDEX(_xlpm.source,MATCH($B$1,formstack_subs[Unique ID],0)),
_xlpm.result,_xlpm.matched,
_xlpm.result
)</f>
        <v/>
      </c>
      <c r="C12" t="str">
        <f>_xlfn.LET(
_xlpm.source,formstack_subs[Known / Common Name_2],
_xlpm.matched,INDEX(_xlpm.source,MATCH($B$1,formstack_subs[Unique ID],0)),
_xlpm.result,_xlpm.matched,
_xlpm.result
)</f>
        <v/>
      </c>
    </row>
    <row r="13" spans="1:6" x14ac:dyDescent="0.25">
      <c r="A13" t="s">
        <v>3228</v>
      </c>
      <c r="B13" t="str" cm="1">
        <f t="array" ref="B13">_xlfn.LET(
_xlpm.source,formstack_subs[Mailing Address (Address)]&amp;" "&amp;formstack_subs[Mailing Address (Address2)]&amp;" "&amp;formstack_subs[Mailing Address (City)]&amp;" "&amp;formstack_subs[Mailing Address (State)]&amp;" "&amp;formstack_subs[Mailing Address (Zip)],
_xlpm.matched,INDEX(_xlpm.source,MATCH($B$1,formstack_subs[Unique ID],0)),
_xlpm.result,_xlpm.matched,
_xlpm.result
)</f>
        <v>4745 Costello Loop  Laredo TX 78046</v>
      </c>
      <c r="C13" t="str" cm="1">
        <f t="array" ref="C13">_xlfn.LET(
_xlpm.source,formstack_subs[Mailing Address (if different) (Address)]&amp;" "&amp;formstack_subs[Mailing Address (if different) (Address2)]&amp;" "&amp;formstack_subs[Mailing Address (if different) (City)]&amp;" "&amp;formstack_subs[Mailing Address (if different) (State)]&amp;" "&amp;formstack_subs[Mailing Address (if different) (Zip)]&amp;" "&amp;formstack_subs[Mailing Address (if different) (Country)],
_xlpm.matched,INDEX(_xlpm.source,MATCH($B$1,formstack_subs[Unique ID],0)),
_xlpm.result,_xlpm.matched,
_xlpm.result
)</f>
        <v xml:space="preserve">     </v>
      </c>
    </row>
    <row r="14" spans="1:6" x14ac:dyDescent="0.25">
      <c r="A14" t="s">
        <v>3264</v>
      </c>
      <c r="B14" t="str">
        <f>_xlfn.LET(
_xlpm.source,formstack_subs[Mailing Address is...],
_xlpm.matched,INDEX(_xlpm.source,MATCH($B$1,formstack_subs[Unique ID],0)),
_xlpm.result,_xlpm.matched,
_xlpm.result
)</f>
        <v>The pastor's mailbox</v>
      </c>
    </row>
    <row r="15" spans="1:6" x14ac:dyDescent="0.25">
      <c r="A15" t="s">
        <v>3229</v>
      </c>
      <c r="B15" t="str" cm="1">
        <f t="array" ref="B15">_xlfn.LET(
_xlpm.source,formstack_subs[Physical Address Where Services are Held (Address)]&amp;" "&amp;formstack_subs[Physical Address Where Services are Held (Address2)]&amp;" "&amp;formstack_subs[Physical Address Where Services are Held (City)]&amp;" "&amp;formstack_subs[Physical Address Where Services are Held (State)]&amp;" "&amp;formstack_subs[Physical Address Where Services are Held (Zip)],
_xlpm.matched,INDEX(_xlpm.source,MATCH($B$1,formstack_subs[Unique ID],0)),
_xlpm.result,_xlpm.matched,
_xlpm.result
)</f>
        <v>4745 Costello Loop  Laredo TX 78046</v>
      </c>
      <c r="C15" t="str" cm="1">
        <f t="array" ref="C15">_xlfn.LET(
_xlpm.source,formstack_subs[Physical Address Where Services are Held (Address)_9]&amp;" "&amp;formstack_subs[Physical Address Where Services are Held (Address2)_10]&amp;" "&amp;formstack_subs[Physical Address Where Services are Held (City)_11]&amp;" "&amp;formstack_subs[Physical Address Where Services are Held (State)_12]&amp;" "&amp;formstack_subs[Physical Address Where Services are Held (Zip)_13]&amp;" "&amp;formstack_subs[Physical Address Where Services are Held (Country)],
_xlpm.matched,INDEX(_xlpm.source,MATCH($B$1,formstack_subs[Unique ID],0)),
_xlpm.result,_xlpm.matched,
_xlpm.result
)</f>
        <v xml:space="preserve">     </v>
      </c>
    </row>
    <row r="16" spans="1:6" x14ac:dyDescent="0.25">
      <c r="A16" t="s">
        <v>3232</v>
      </c>
      <c r="B16" t="str">
        <f>_xlfn.LET(
_xlpm.source,formstack_subs[Church Email],
_xlpm.matched,INDEX(_xlpm.source,MATCH($B$1,formstack_subs[Unique ID],0)),
_xlpm.result,_xlpm.matched,
_xlpm.result
)</f>
        <v>jesussanchez6767@gmail.com</v>
      </c>
      <c r="C16" t="str">
        <f>_xlfn.LET(
_xlpm.source,formstack_subs[Church Email_16],
_xlpm.matched,INDEX(_xlpm.source,MATCH($B$1,formstack_subs[Unique ID],0)),
_xlpm.result,_xlpm.matched,
_xlpm.result
)</f>
        <v/>
      </c>
    </row>
    <row r="17" spans="1:4" x14ac:dyDescent="0.25">
      <c r="A17" t="s">
        <v>3230</v>
      </c>
      <c r="B17" t="str">
        <f>_xlfn.LET(
_xlpm.source,formstack_subs[Church Phone Number],
_xlpm.matched,INDEX(_xlpm.source,MATCH($B$1,formstack_subs[Unique ID],0)),
_xlpm.result,_xlpm.matched,
_xlpm.result
)</f>
        <v>(956) 701-1136</v>
      </c>
      <c r="C17" t="str">
        <f>_xlfn.LET(
_xlpm.source,formstack_subs[Church Phone Number_15],
_xlpm.matched,INDEX(_xlpm.source,MATCH($B$1,formstack_subs[Unique ID],0)),
_xlpm.result,_xlpm.matched,
_xlpm.result
)</f>
        <v/>
      </c>
    </row>
    <row r="18" spans="1:4" x14ac:dyDescent="0.25">
      <c r="A18" t="s">
        <v>3231</v>
      </c>
      <c r="B18" t="str">
        <f>_xlfn.LET(
_xlpm.source,formstack_subs[Church Website],
_xlpm.matched,INDEX(_xlpm.source,MATCH($B$1,formstack_subs[Unique ID],0)),
_xlpm.result,_xlpm.matched,
_xlpm.result
)</f>
        <v/>
      </c>
      <c r="C18" t="str">
        <f>_xlfn.LET(
_xlpm.source,formstack_subs[Church Website_17],
_xlpm.matched,INDEX(_xlpm.source,MATCH($B$1,formstack_subs[Unique ID],0)),
_xlpm.result,_xlpm.matched,
_xlpm.result
)</f>
        <v/>
      </c>
    </row>
    <row r="19" spans="1:4" x14ac:dyDescent="0.25">
      <c r="A19" t="s">
        <v>3233</v>
      </c>
      <c r="B19" s="6">
        <f>_xlfn.LET(
_xlpm.source,formstack_subs[How many Heartbeat Magazines would you like to receive?],
_xlpm.matched,INDEX(_xlpm.source,MATCH($B$1,formstack_subs[Unique ID],0)),
_xlpm.result,_xlpm.matched,
_xlpm.result
)</f>
        <v>0</v>
      </c>
      <c r="C19">
        <f>_xlfn.LET(
_xlpm.source,formstack_subs[How many Heartbeat Magazines would you like to receive?_20],
_xlpm.matched,INDEX(_xlpm.source,MATCH($B$1,formstack_subs[Unique ID],0)),
_xlpm.result,_xlpm.matched,
_xlpm.result
)</f>
        <v>0</v>
      </c>
    </row>
    <row r="20" spans="1:4" x14ac:dyDescent="0.25">
      <c r="A20" t="s">
        <v>3234</v>
      </c>
      <c r="B20" t="str">
        <f>_xlfn.LET(
_xlpm.source,formstack_subs[What is the name of the sponsoring church?],
_xlpm.matched,INDEX(_xlpm.source,MATCH($B$1,formstack_subs[Unique ID],0)),
_xlpm.result,_xlpm.matched,
_xlpm.result
)</f>
        <v/>
      </c>
      <c r="C20" t="str">
        <f>_xlfn.LET(
_xlpm.source,formstack_subs[What is the name of the sponsoring church?_8],
_xlpm.matched,INDEX(_xlpm.source,MATCH($B$1,formstack_subs[Unique ID],0)),
_xlpm.result,_xlpm.matched,
_xlpm.result
)</f>
        <v/>
      </c>
    </row>
    <row r="21" spans="1:4" x14ac:dyDescent="0.25">
      <c r="A21" t="s">
        <v>3235</v>
      </c>
    </row>
    <row r="22" spans="1:4" x14ac:dyDescent="0.25">
      <c r="A22" t="s">
        <v>3236</v>
      </c>
    </row>
    <row r="24" spans="1:4" x14ac:dyDescent="0.25">
      <c r="A24" t="s">
        <v>3237</v>
      </c>
      <c r="B24" t="s">
        <v>3218</v>
      </c>
      <c r="C24" t="s">
        <v>1436</v>
      </c>
      <c r="D24" t="s">
        <v>3219</v>
      </c>
    </row>
    <row r="25" spans="1:4" x14ac:dyDescent="0.25">
      <c r="A25" t="s">
        <v>3238</v>
      </c>
      <c r="B25" t="str">
        <f>_xlfn.LET(
_xlpm.source,formstack_subs[Please check all that apply:],
_xlpm.matched,INDEX(_xlpm.source,MATCH($B$1,formstack_subs[Unique ID],0)),
_xlpm.result,_xlpm.matched,
_xlpm.result
)</f>
        <v/>
      </c>
    </row>
    <row r="26" spans="1:4" x14ac:dyDescent="0.25">
      <c r="A26" t="s">
        <v>3239</v>
      </c>
      <c r="B26" t="str">
        <f>_xlfn.LET(
_xlpm.source,formstack_subs[Please check all that apply:],
_xlpm.matched,INDEX(_xlpm.source,MATCH($B$1,formstack_subs[Unique ID],0)),
_xlpm.result,_xlpm.matched,
_xlpm.result
)</f>
        <v/>
      </c>
    </row>
    <row r="27" spans="1:4" x14ac:dyDescent="0.25">
      <c r="A27" t="s">
        <v>3240</v>
      </c>
      <c r="B27" t="str">
        <f>_xlfn.LET(
_xlpm.source,formstack_subs[Please check all that apply:],
_xlpm.matched,INDEX(_xlpm.source,MATCH($B$1,formstack_subs[Unique ID],0)),
_xlpm.result,_xlpm.matched,
_xlpm.result
)</f>
        <v/>
      </c>
    </row>
    <row r="28" spans="1:4" x14ac:dyDescent="0.25">
      <c r="A28" t="s">
        <v>3241</v>
      </c>
      <c r="B28" t="str" cm="1">
        <f t="array" ref="B28">_xlfn.LET(
_xlpm.source,formstack_subs[Appointed Pastor (Lead Pastor) (First)]&amp;" "&amp;formstack_subs[Appointed Pastor (Lead Pastor) (Last)],
_xlpm.matched,INDEX(_xlpm.source,MATCH($B$1,formstack_subs[Unique ID],0)),
_xlpm.result,_xlpm.matched,
_xlpm.result
)</f>
        <v>Jesus  Sanchez</v>
      </c>
      <c r="C28" t="str" cm="1">
        <f t="array" ref="C28">_xlfn.LET(
_xlpm.source,formstack_subs[Name of Lead Pastor (First)]&amp;" "&amp;formstack_subs[Name of Lead Pastor (Last)],
_xlpm.matched,INDEX(_xlpm.source,MATCH($B$1,formstack_subs[Unique ID],0)),
_xlpm.result,_xlpm.matched,
_xlpm.result
)</f>
        <v xml:space="preserve"> </v>
      </c>
    </row>
    <row r="29" spans="1:4" x14ac:dyDescent="0.25">
      <c r="A29" t="s">
        <v>3243</v>
      </c>
      <c r="B29" t="str">
        <f>_xlfn.LET(
_xlpm.source,formstack_subs[What has happened or will happen to the church property?],
_xlpm.matched,INDEX(_xlpm.source,MATCH($B$1,formstack_subs[Unique ID],0)),
_xlpm.result,_xlpm.matched,
_xlpm.result
)</f>
        <v/>
      </c>
    </row>
    <row r="30" spans="1:4" x14ac:dyDescent="0.25">
      <c r="A30" t="s">
        <v>3242</v>
      </c>
      <c r="B30" t="str">
        <f>_xlfn.LET(
_xlpm.source,formstack_subs[What has happened or will happen with the church funds?],
_xlpm.matched,INDEX(_xlpm.source,MATCH($B$1,formstack_subs[Unique ID],0)),
_xlpm.result,_xlpm.matched,
_xlpm.result
)</f>
        <v/>
      </c>
    </row>
    <row r="31" spans="1:4" x14ac:dyDescent="0.25">
      <c r="A31" t="s">
        <v>3244</v>
      </c>
      <c r="B31" t="str">
        <f>_xlfn.LET(
_xlpm.source,formstack_subs[What is happening to the church''s EIN?],
_xlpm.matched,INDEX(_xlpm.source,MATCH($B$1,formstack_subs[Unique ID],0)),
_xlpm.result,_xlpm.matched,
_xlpm.result
)</f>
        <v/>
      </c>
    </row>
    <row r="33" spans="1:4" x14ac:dyDescent="0.25">
      <c r="A33" t="s">
        <v>3245</v>
      </c>
      <c r="B33" t="s">
        <v>3218</v>
      </c>
      <c r="C33" t="s">
        <v>1436</v>
      </c>
      <c r="D33" t="s">
        <v>3219</v>
      </c>
    </row>
    <row r="34" spans="1:4" x14ac:dyDescent="0.25">
      <c r="A34" t="s">
        <v>3246</v>
      </c>
      <c r="B34" t="str">
        <f>_xlfn.LET(
_xlpm.source,formstack_subs[Church A Name],
_xlpm.matched,INDEX(_xlpm.source,MATCH($B$1,formstack_subs[Unique ID],0)),
_xlpm.result,_xlpm.matched,
_xlpm.result
)</f>
        <v/>
      </c>
    </row>
    <row r="35" spans="1:4" x14ac:dyDescent="0.25">
      <c r="A35" t="s">
        <v>3247</v>
      </c>
      <c r="B35" t="str">
        <f>_xlfn.LET(
_xlpm.source,formstack_subs[Church B Name],
_xlpm.matched,INDEX(_xlpm.source,MATCH($B$1,formstack_subs[Unique ID],0)),
_xlpm.result,_xlpm.matched,
_xlpm.result
)</f>
        <v/>
      </c>
    </row>
    <row r="36" spans="1:4" x14ac:dyDescent="0.25">
      <c r="A36" t="s">
        <v>3248</v>
      </c>
    </row>
    <row r="37" spans="1:4" x14ac:dyDescent="0.25">
      <c r="A37" t="s">
        <v>3249</v>
      </c>
    </row>
    <row r="38" spans="1:4" x14ac:dyDescent="0.25">
      <c r="A38" t="s">
        <v>3250</v>
      </c>
    </row>
    <row r="39" spans="1:4" x14ac:dyDescent="0.25">
      <c r="A39" t="s">
        <v>3251</v>
      </c>
      <c r="B39" t="str">
        <f>_xlfn.LET(
_xlpm.source,formstack_subs[Please describe what the plan is for any unused church property, including who will receive funds from property sales (i.e. Conference office or local church).],
_xlpm.matched,INDEX(_xlpm.source,MATCH($B$1,formstack_subs[Unique ID],0)),
_xlpm.result,_xlpm.matched,
_xlpm.result
)</f>
        <v/>
      </c>
    </row>
    <row r="41" spans="1:4" x14ac:dyDescent="0.25">
      <c r="A41" t="s">
        <v>3252</v>
      </c>
      <c r="B41" t="s">
        <v>3218</v>
      </c>
      <c r="C41" t="s">
        <v>1436</v>
      </c>
      <c r="D41" t="s">
        <v>3219</v>
      </c>
    </row>
    <row r="42" spans="1:4" x14ac:dyDescent="0.25">
      <c r="A42" t="s">
        <v>3254</v>
      </c>
      <c r="B42" t="str">
        <f>_xlfn.LET(
_xlpm.source,formstack_subs[New Conference],
_xlpm.matched,INDEX(_xlpm.source,MATCH($B$1,formstack_subs[Unique ID],0)),
_xlpm.result,_xlpm.matched,
_xlpm.result
)</f>
        <v/>
      </c>
    </row>
    <row r="44" spans="1:4" x14ac:dyDescent="0.25">
      <c r="A44" t="s">
        <v>3255</v>
      </c>
      <c r="B44" t="s">
        <v>3218</v>
      </c>
      <c r="C44" t="s">
        <v>1436</v>
      </c>
      <c r="D44" t="s">
        <v>3219</v>
      </c>
    </row>
    <row r="45" spans="1:4" x14ac:dyDescent="0.25">
      <c r="A45" t="s">
        <v>3256</v>
      </c>
      <c r="B45" t="str">
        <f>_xlfn.LET(
_xlpm.source,formstack_subs[Is the church incorporated?],
_xlpm.matched,INDEX(_xlpm.source,MATCH($B$1,formstack_subs[Unique ID],0)),
_xlpm.result,_xlpm.matched,
_xlpm.result
)</f>
        <v/>
      </c>
    </row>
    <row r="46" spans="1:4" x14ac:dyDescent="0.25">
      <c r="A46" t="s">
        <v>3257</v>
      </c>
      <c r="B46" t="str">
        <f>_xlfn.LET(
_xlpm.source,formstack_subs[Why is the church not incorporated?],
_xlpm.matched,INDEX(_xlpm.source,MATCH($B$1,formstack_subs[Unique ID],0)),
_xlpm.result,_xlpm.matched,
_xlpm.result
)</f>
        <v/>
      </c>
    </row>
    <row r="47" spans="1:4" x14ac:dyDescent="0.25">
      <c r="A47" t="s">
        <v>3258</v>
      </c>
      <c r="B47" t="str">
        <f>_xlfn.LET(
_xlpm.source,formstack_subs[Does the church have insurance?],
_xlpm.matched,INDEX(_xlpm.source,MATCH($B$1,formstack_subs[Unique ID],0)),
_xlpm.result,_xlpm.matched,
_xlpm.result
)</f>
        <v/>
      </c>
    </row>
    <row r="48" spans="1:4" x14ac:dyDescent="0.25">
      <c r="A48" t="s">
        <v>3259</v>
      </c>
      <c r="B48" t="str">
        <f>_xlfn.LET(
_xlpm.source,formstack_subs[Why is the church uninsured?],
_xlpm.matched,INDEX(_xlpm.source,MATCH($B$1,formstack_subs[Unique ID],0)),
_xlpm.result,_xlpm.matched,
_xlpm.result
)</f>
        <v/>
      </c>
    </row>
    <row r="49" spans="1:4" x14ac:dyDescent="0.25">
      <c r="A49" t="s">
        <v>3260</v>
      </c>
      <c r="B49" t="str">
        <f>_xlfn.LET(
_xlpm.source,formstack_subs[Does the church have an EIN?_6],
_xlpm.matched,INDEX(_xlpm.source,MATCH($B$1,formstack_subs[Unique ID],0)),
_xlpm.result,_xlpm.matched,
_xlpm.result
)</f>
        <v/>
      </c>
    </row>
    <row r="50" spans="1:4" x14ac:dyDescent="0.25">
      <c r="A50" t="s">
        <v>3261</v>
      </c>
      <c r="B50" t="str">
        <f>_xlfn.LET(
_xlpm.source,formstack_subs[Please enter church EIN],
_xlpm.matched,INDEX(_xlpm.source,MATCH($B$1,formstack_subs[Unique ID],0)),
_xlpm.result,_xlpm.matched&amp;"",
_xlpm.result
)</f>
        <v/>
      </c>
      <c r="C50" t="str">
        <f>_xlfn.LET(
_xlpm.source,formstack_subs[Enter church''s individual EIN (do not enter Conference EIN)],
_xlpm.matched,INDEX(_xlpm.source,MATCH($B$1,formstack_subs[Unique ID],0)),
_xlpm.result,_xlpm.matched&amp;"",
_xlpm.result
)</f>
        <v>991242808</v>
      </c>
      <c r="D50" t="str">
        <f>_xlfn.LET(
_xlpm.source,formstack_subs[Please enter church''s EIN_7],
_xlpm.matched,INDEX(_xlpm.source,MATCH($B$1,formstack_subs[Unique ID],0)),
_xlpm.result,_xlpm.matched&amp;"",
_xlpm.result
)</f>
        <v/>
      </c>
    </row>
    <row r="51" spans="1:4" x14ac:dyDescent="0.25">
      <c r="A51" t="s">
        <v>3262</v>
      </c>
    </row>
  </sheetData>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CAFD-CC91-462D-9E1F-EE2CD246219F}">
  <dimension ref="A1:B261"/>
  <sheetViews>
    <sheetView topLeftCell="A2" workbookViewId="0">
      <selection activeCell="B47" sqref="B47"/>
    </sheetView>
  </sheetViews>
  <sheetFormatPr defaultRowHeight="15" x14ac:dyDescent="0.25"/>
  <cols>
    <col min="1" max="1" width="17.5703125" customWidth="1"/>
    <col min="2" max="2" width="13.28515625" customWidth="1"/>
  </cols>
  <sheetData>
    <row r="1" spans="1:2" x14ac:dyDescent="0.25">
      <c r="A1" t="s">
        <v>457</v>
      </c>
      <c r="B1" t="s">
        <v>3269</v>
      </c>
    </row>
    <row r="2" spans="1:2" x14ac:dyDescent="0.25">
      <c r="A2">
        <v>1419431236</v>
      </c>
    </row>
    <row r="3" spans="1:2" x14ac:dyDescent="0.25">
      <c r="A3">
        <v>1414949899</v>
      </c>
    </row>
    <row r="4" spans="1:2" x14ac:dyDescent="0.25">
      <c r="A4">
        <v>1414790381</v>
      </c>
    </row>
    <row r="5" spans="1:2" x14ac:dyDescent="0.25">
      <c r="A5">
        <v>1400878400</v>
      </c>
    </row>
    <row r="6" spans="1:2" x14ac:dyDescent="0.25">
      <c r="A6">
        <v>1400832112</v>
      </c>
    </row>
    <row r="7" spans="1:2" x14ac:dyDescent="0.25">
      <c r="A7">
        <v>1397846855</v>
      </c>
    </row>
    <row r="8" spans="1:2" x14ac:dyDescent="0.25">
      <c r="A8">
        <v>1396553430</v>
      </c>
    </row>
    <row r="9" spans="1:2" x14ac:dyDescent="0.25">
      <c r="A9">
        <v>1395067596</v>
      </c>
    </row>
    <row r="10" spans="1:2" x14ac:dyDescent="0.25">
      <c r="A10">
        <v>1390880188</v>
      </c>
    </row>
    <row r="11" spans="1:2" x14ac:dyDescent="0.25">
      <c r="A11">
        <v>1385837300</v>
      </c>
    </row>
    <row r="12" spans="1:2" x14ac:dyDescent="0.25">
      <c r="A12">
        <v>1385172200</v>
      </c>
    </row>
    <row r="13" spans="1:2" x14ac:dyDescent="0.25">
      <c r="A13">
        <v>1384535494</v>
      </c>
    </row>
    <row r="14" spans="1:2" x14ac:dyDescent="0.25">
      <c r="A14">
        <v>1383363932</v>
      </c>
    </row>
    <row r="15" spans="1:2" x14ac:dyDescent="0.25">
      <c r="A15">
        <v>1381690188</v>
      </c>
    </row>
    <row r="16" spans="1:2" x14ac:dyDescent="0.25">
      <c r="A16">
        <v>1381682859</v>
      </c>
    </row>
    <row r="17" spans="1:1" x14ac:dyDescent="0.25">
      <c r="A17">
        <v>1381549380</v>
      </c>
    </row>
    <row r="18" spans="1:1" x14ac:dyDescent="0.25">
      <c r="A18">
        <v>1381546370</v>
      </c>
    </row>
    <row r="19" spans="1:1" x14ac:dyDescent="0.25">
      <c r="A19">
        <v>1381215160</v>
      </c>
    </row>
    <row r="20" spans="1:1" x14ac:dyDescent="0.25">
      <c r="A20">
        <v>1378034773</v>
      </c>
    </row>
    <row r="21" spans="1:1" x14ac:dyDescent="0.25">
      <c r="A21">
        <v>1378029531</v>
      </c>
    </row>
    <row r="22" spans="1:1" x14ac:dyDescent="0.25">
      <c r="A22">
        <v>1377970048</v>
      </c>
    </row>
    <row r="23" spans="1:1" x14ac:dyDescent="0.25">
      <c r="A23">
        <v>1377965525</v>
      </c>
    </row>
    <row r="24" spans="1:1" x14ac:dyDescent="0.25">
      <c r="A24">
        <v>1377956719</v>
      </c>
    </row>
    <row r="25" spans="1:1" x14ac:dyDescent="0.25">
      <c r="A25">
        <v>1377238271</v>
      </c>
    </row>
    <row r="26" spans="1:1" x14ac:dyDescent="0.25">
      <c r="A26">
        <v>1377231476</v>
      </c>
    </row>
    <row r="27" spans="1:1" x14ac:dyDescent="0.25">
      <c r="A27">
        <v>1377226841</v>
      </c>
    </row>
    <row r="28" spans="1:1" x14ac:dyDescent="0.25">
      <c r="A28">
        <v>1375502862</v>
      </c>
    </row>
    <row r="29" spans="1:1" x14ac:dyDescent="0.25">
      <c r="A29">
        <v>1371258164</v>
      </c>
    </row>
    <row r="30" spans="1:1" x14ac:dyDescent="0.25">
      <c r="A30">
        <v>1363540766</v>
      </c>
    </row>
    <row r="31" spans="1:1" x14ac:dyDescent="0.25">
      <c r="A31">
        <v>1362482268</v>
      </c>
    </row>
    <row r="32" spans="1:1" x14ac:dyDescent="0.25">
      <c r="A32">
        <v>1355174208</v>
      </c>
    </row>
    <row r="33" spans="1:2" x14ac:dyDescent="0.25">
      <c r="A33">
        <v>1353877666</v>
      </c>
    </row>
    <row r="34" spans="1:2" x14ac:dyDescent="0.25">
      <c r="A34">
        <v>1353068768</v>
      </c>
    </row>
    <row r="35" spans="1:2" x14ac:dyDescent="0.25">
      <c r="A35">
        <v>1352587666</v>
      </c>
    </row>
    <row r="36" spans="1:2" x14ac:dyDescent="0.25">
      <c r="A36">
        <v>1344349490</v>
      </c>
    </row>
    <row r="37" spans="1:2" x14ac:dyDescent="0.25">
      <c r="A37">
        <v>1344346548</v>
      </c>
    </row>
    <row r="38" spans="1:2" x14ac:dyDescent="0.25">
      <c r="A38">
        <v>1341719193</v>
      </c>
    </row>
    <row r="39" spans="1:2" x14ac:dyDescent="0.25">
      <c r="A39">
        <v>1339786110</v>
      </c>
    </row>
    <row r="40" spans="1:2" x14ac:dyDescent="0.25">
      <c r="A40">
        <v>1337885490</v>
      </c>
    </row>
    <row r="41" spans="1:2" x14ac:dyDescent="0.25">
      <c r="A41">
        <v>1335124089</v>
      </c>
    </row>
    <row r="42" spans="1:2" x14ac:dyDescent="0.25">
      <c r="A42">
        <v>1331381896</v>
      </c>
    </row>
    <row r="43" spans="1:2" x14ac:dyDescent="0.25">
      <c r="A43">
        <v>1331354538</v>
      </c>
    </row>
    <row r="44" spans="1:2" x14ac:dyDescent="0.25">
      <c r="A44">
        <v>1327714741</v>
      </c>
    </row>
    <row r="45" spans="1:2" x14ac:dyDescent="0.25">
      <c r="A45">
        <v>1327712161</v>
      </c>
    </row>
    <row r="46" spans="1:2" x14ac:dyDescent="0.25">
      <c r="A46">
        <v>1327705276</v>
      </c>
    </row>
    <row r="47" spans="1:2" x14ac:dyDescent="0.25">
      <c r="A47">
        <v>1326261774</v>
      </c>
      <c r="B47" t="s">
        <v>3268</v>
      </c>
    </row>
    <row r="48" spans="1:2" x14ac:dyDescent="0.25">
      <c r="A48">
        <v>1326244322</v>
      </c>
      <c r="B48" t="s">
        <v>3268</v>
      </c>
    </row>
    <row r="49" spans="1:2" x14ac:dyDescent="0.25">
      <c r="A49">
        <v>1325983479</v>
      </c>
      <c r="B49" t="s">
        <v>3268</v>
      </c>
    </row>
    <row r="50" spans="1:2" x14ac:dyDescent="0.25">
      <c r="A50">
        <v>1325062161</v>
      </c>
      <c r="B50" t="s">
        <v>3268</v>
      </c>
    </row>
    <row r="51" spans="1:2" x14ac:dyDescent="0.25">
      <c r="A51">
        <v>1323898675</v>
      </c>
      <c r="B51" t="s">
        <v>3268</v>
      </c>
    </row>
    <row r="52" spans="1:2" x14ac:dyDescent="0.25">
      <c r="A52">
        <v>1316762645</v>
      </c>
      <c r="B52" t="s">
        <v>3268</v>
      </c>
    </row>
    <row r="53" spans="1:2" x14ac:dyDescent="0.25">
      <c r="A53">
        <v>1316429823</v>
      </c>
      <c r="B53" t="s">
        <v>3268</v>
      </c>
    </row>
    <row r="54" spans="1:2" x14ac:dyDescent="0.25">
      <c r="A54">
        <v>1316417277</v>
      </c>
      <c r="B54" t="s">
        <v>3268</v>
      </c>
    </row>
    <row r="55" spans="1:2" x14ac:dyDescent="0.25">
      <c r="A55">
        <v>1314278139</v>
      </c>
      <c r="B55" t="s">
        <v>3268</v>
      </c>
    </row>
    <row r="56" spans="1:2" x14ac:dyDescent="0.25">
      <c r="A56">
        <v>1312487974</v>
      </c>
      <c r="B56" t="s">
        <v>3268</v>
      </c>
    </row>
    <row r="57" spans="1:2" x14ac:dyDescent="0.25">
      <c r="A57">
        <v>1310334866</v>
      </c>
      <c r="B57" t="s">
        <v>3268</v>
      </c>
    </row>
    <row r="58" spans="1:2" x14ac:dyDescent="0.25">
      <c r="A58">
        <v>1308444589</v>
      </c>
      <c r="B58" t="s">
        <v>3268</v>
      </c>
    </row>
    <row r="59" spans="1:2" x14ac:dyDescent="0.25">
      <c r="A59">
        <v>1305016109</v>
      </c>
      <c r="B59" t="s">
        <v>3268</v>
      </c>
    </row>
    <row r="60" spans="1:2" x14ac:dyDescent="0.25">
      <c r="A60">
        <v>1303780294</v>
      </c>
      <c r="B60" t="s">
        <v>3268</v>
      </c>
    </row>
    <row r="61" spans="1:2" x14ac:dyDescent="0.25">
      <c r="A61">
        <v>1301629533</v>
      </c>
      <c r="B61" t="s">
        <v>3268</v>
      </c>
    </row>
    <row r="62" spans="1:2" x14ac:dyDescent="0.25">
      <c r="A62">
        <v>1293310801</v>
      </c>
      <c r="B62" t="s">
        <v>3268</v>
      </c>
    </row>
    <row r="63" spans="1:2" x14ac:dyDescent="0.25">
      <c r="A63">
        <v>1292306202</v>
      </c>
      <c r="B63" t="s">
        <v>3268</v>
      </c>
    </row>
    <row r="64" spans="1:2" x14ac:dyDescent="0.25">
      <c r="A64">
        <v>1287617011</v>
      </c>
      <c r="B64" t="s">
        <v>3268</v>
      </c>
    </row>
    <row r="65" spans="1:2" x14ac:dyDescent="0.25">
      <c r="A65">
        <v>1286351053</v>
      </c>
      <c r="B65" t="s">
        <v>3268</v>
      </c>
    </row>
    <row r="66" spans="1:2" x14ac:dyDescent="0.25">
      <c r="A66">
        <v>1286347111</v>
      </c>
      <c r="B66" t="s">
        <v>3268</v>
      </c>
    </row>
    <row r="67" spans="1:2" x14ac:dyDescent="0.25">
      <c r="A67">
        <v>1284080707</v>
      </c>
      <c r="B67" t="s">
        <v>3268</v>
      </c>
    </row>
    <row r="68" spans="1:2" x14ac:dyDescent="0.25">
      <c r="A68">
        <v>1282094847</v>
      </c>
      <c r="B68" t="s">
        <v>3268</v>
      </c>
    </row>
    <row r="69" spans="1:2" x14ac:dyDescent="0.25">
      <c r="A69">
        <v>1280933425</v>
      </c>
      <c r="B69" t="s">
        <v>3268</v>
      </c>
    </row>
    <row r="70" spans="1:2" x14ac:dyDescent="0.25">
      <c r="A70">
        <v>1280665501</v>
      </c>
      <c r="B70" t="s">
        <v>3268</v>
      </c>
    </row>
    <row r="71" spans="1:2" x14ac:dyDescent="0.25">
      <c r="A71">
        <v>1276750434</v>
      </c>
      <c r="B71" t="s">
        <v>3268</v>
      </c>
    </row>
    <row r="72" spans="1:2" x14ac:dyDescent="0.25">
      <c r="A72">
        <v>1275644685</v>
      </c>
      <c r="B72" t="s">
        <v>3268</v>
      </c>
    </row>
    <row r="73" spans="1:2" x14ac:dyDescent="0.25">
      <c r="A73">
        <v>1273720728</v>
      </c>
      <c r="B73" t="s">
        <v>3268</v>
      </c>
    </row>
    <row r="74" spans="1:2" x14ac:dyDescent="0.25">
      <c r="A74">
        <v>1271354864</v>
      </c>
      <c r="B74" t="s">
        <v>3268</v>
      </c>
    </row>
    <row r="75" spans="1:2" x14ac:dyDescent="0.25">
      <c r="A75">
        <v>1266878798</v>
      </c>
      <c r="B75" t="s">
        <v>3268</v>
      </c>
    </row>
    <row r="76" spans="1:2" x14ac:dyDescent="0.25">
      <c r="A76">
        <v>1262837713</v>
      </c>
      <c r="B76" t="s">
        <v>3268</v>
      </c>
    </row>
    <row r="77" spans="1:2" x14ac:dyDescent="0.25">
      <c r="A77">
        <v>1259162849</v>
      </c>
      <c r="B77" t="s">
        <v>3268</v>
      </c>
    </row>
    <row r="78" spans="1:2" x14ac:dyDescent="0.25">
      <c r="A78">
        <v>1257799256</v>
      </c>
      <c r="B78" t="s">
        <v>3268</v>
      </c>
    </row>
    <row r="79" spans="1:2" x14ac:dyDescent="0.25">
      <c r="A79">
        <v>1257364388</v>
      </c>
      <c r="B79" t="s">
        <v>3268</v>
      </c>
    </row>
    <row r="80" spans="1:2" x14ac:dyDescent="0.25">
      <c r="A80">
        <v>1256949831</v>
      </c>
      <c r="B80" t="s">
        <v>3268</v>
      </c>
    </row>
    <row r="81" spans="1:2" x14ac:dyDescent="0.25">
      <c r="A81">
        <v>1256665160</v>
      </c>
      <c r="B81" t="s">
        <v>3268</v>
      </c>
    </row>
    <row r="82" spans="1:2" x14ac:dyDescent="0.25">
      <c r="A82">
        <v>1255537515</v>
      </c>
      <c r="B82" t="s">
        <v>3268</v>
      </c>
    </row>
    <row r="83" spans="1:2" x14ac:dyDescent="0.25">
      <c r="A83">
        <v>1255534698</v>
      </c>
      <c r="B83" t="s">
        <v>3268</v>
      </c>
    </row>
    <row r="84" spans="1:2" x14ac:dyDescent="0.25">
      <c r="A84">
        <v>1255527894</v>
      </c>
      <c r="B84" t="s">
        <v>3268</v>
      </c>
    </row>
    <row r="85" spans="1:2" x14ac:dyDescent="0.25">
      <c r="A85">
        <v>1255524762</v>
      </c>
      <c r="B85" t="s">
        <v>3268</v>
      </c>
    </row>
    <row r="86" spans="1:2" x14ac:dyDescent="0.25">
      <c r="A86">
        <v>1255489548</v>
      </c>
      <c r="B86" t="s">
        <v>3268</v>
      </c>
    </row>
    <row r="87" spans="1:2" x14ac:dyDescent="0.25">
      <c r="A87">
        <v>1255469290</v>
      </c>
      <c r="B87" t="s">
        <v>3268</v>
      </c>
    </row>
    <row r="88" spans="1:2" x14ac:dyDescent="0.25">
      <c r="A88">
        <v>1255458714</v>
      </c>
      <c r="B88" t="s">
        <v>3268</v>
      </c>
    </row>
    <row r="89" spans="1:2" x14ac:dyDescent="0.25">
      <c r="A89">
        <v>1255431106</v>
      </c>
      <c r="B89" t="s">
        <v>3268</v>
      </c>
    </row>
    <row r="90" spans="1:2" x14ac:dyDescent="0.25">
      <c r="A90">
        <v>1252211976</v>
      </c>
      <c r="B90" t="s">
        <v>3268</v>
      </c>
    </row>
    <row r="91" spans="1:2" x14ac:dyDescent="0.25">
      <c r="A91">
        <v>1251824038</v>
      </c>
      <c r="B91" t="s">
        <v>3268</v>
      </c>
    </row>
    <row r="92" spans="1:2" x14ac:dyDescent="0.25">
      <c r="A92">
        <v>1243468635</v>
      </c>
      <c r="B92" t="s">
        <v>3268</v>
      </c>
    </row>
    <row r="93" spans="1:2" x14ac:dyDescent="0.25">
      <c r="A93">
        <v>1243435276</v>
      </c>
      <c r="B93" t="s">
        <v>3268</v>
      </c>
    </row>
    <row r="94" spans="1:2" x14ac:dyDescent="0.25">
      <c r="A94">
        <v>1243430005</v>
      </c>
      <c r="B94" t="s">
        <v>3268</v>
      </c>
    </row>
    <row r="95" spans="1:2" x14ac:dyDescent="0.25">
      <c r="A95">
        <v>1243318540</v>
      </c>
      <c r="B95" t="s">
        <v>3268</v>
      </c>
    </row>
    <row r="96" spans="1:2" x14ac:dyDescent="0.25">
      <c r="A96">
        <v>1240961622</v>
      </c>
      <c r="B96" t="s">
        <v>3268</v>
      </c>
    </row>
    <row r="97" spans="1:2" x14ac:dyDescent="0.25">
      <c r="A97">
        <v>1240166272</v>
      </c>
      <c r="B97" t="s">
        <v>3268</v>
      </c>
    </row>
    <row r="98" spans="1:2" x14ac:dyDescent="0.25">
      <c r="A98">
        <v>1239458346</v>
      </c>
      <c r="B98" t="s">
        <v>3268</v>
      </c>
    </row>
    <row r="99" spans="1:2" x14ac:dyDescent="0.25">
      <c r="A99">
        <v>1237235085</v>
      </c>
      <c r="B99" t="s">
        <v>3268</v>
      </c>
    </row>
    <row r="100" spans="1:2" x14ac:dyDescent="0.25">
      <c r="A100">
        <v>1237107238</v>
      </c>
      <c r="B100" t="s">
        <v>3268</v>
      </c>
    </row>
    <row r="101" spans="1:2" x14ac:dyDescent="0.25">
      <c r="A101">
        <v>1237030287</v>
      </c>
      <c r="B101" t="s">
        <v>3268</v>
      </c>
    </row>
    <row r="102" spans="1:2" x14ac:dyDescent="0.25">
      <c r="A102">
        <v>1236952266</v>
      </c>
      <c r="B102" t="s">
        <v>3268</v>
      </c>
    </row>
    <row r="103" spans="1:2" x14ac:dyDescent="0.25">
      <c r="A103">
        <v>1236949783</v>
      </c>
      <c r="B103" t="s">
        <v>3268</v>
      </c>
    </row>
    <row r="104" spans="1:2" x14ac:dyDescent="0.25">
      <c r="A104">
        <v>1236943676</v>
      </c>
      <c r="B104" t="s">
        <v>3268</v>
      </c>
    </row>
    <row r="105" spans="1:2" x14ac:dyDescent="0.25">
      <c r="A105">
        <v>1236601514</v>
      </c>
      <c r="B105" t="s">
        <v>3268</v>
      </c>
    </row>
    <row r="106" spans="1:2" x14ac:dyDescent="0.25">
      <c r="A106">
        <v>1235095963</v>
      </c>
      <c r="B106" t="s">
        <v>3268</v>
      </c>
    </row>
    <row r="107" spans="1:2" x14ac:dyDescent="0.25">
      <c r="A107">
        <v>1235089626</v>
      </c>
      <c r="B107" t="s">
        <v>3268</v>
      </c>
    </row>
    <row r="108" spans="1:2" x14ac:dyDescent="0.25">
      <c r="A108">
        <v>1233973539</v>
      </c>
      <c r="B108" t="s">
        <v>3268</v>
      </c>
    </row>
    <row r="109" spans="1:2" x14ac:dyDescent="0.25">
      <c r="A109">
        <v>1232931113</v>
      </c>
      <c r="B109" t="s">
        <v>3268</v>
      </c>
    </row>
    <row r="110" spans="1:2" x14ac:dyDescent="0.25">
      <c r="A110">
        <v>1232577804</v>
      </c>
      <c r="B110" t="s">
        <v>3268</v>
      </c>
    </row>
    <row r="111" spans="1:2" x14ac:dyDescent="0.25">
      <c r="A111">
        <v>1231802866</v>
      </c>
      <c r="B111" t="s">
        <v>3268</v>
      </c>
    </row>
    <row r="112" spans="1:2" x14ac:dyDescent="0.25">
      <c r="A112">
        <v>1223416230</v>
      </c>
      <c r="B112" t="s">
        <v>3268</v>
      </c>
    </row>
    <row r="113" spans="1:2" x14ac:dyDescent="0.25">
      <c r="A113">
        <v>1223409940</v>
      </c>
      <c r="B113" t="s">
        <v>3268</v>
      </c>
    </row>
    <row r="114" spans="1:2" x14ac:dyDescent="0.25">
      <c r="A114">
        <v>1223313454</v>
      </c>
      <c r="B114" t="s">
        <v>3268</v>
      </c>
    </row>
    <row r="115" spans="1:2" x14ac:dyDescent="0.25">
      <c r="A115">
        <v>1222884960</v>
      </c>
      <c r="B115" t="s">
        <v>3268</v>
      </c>
    </row>
    <row r="116" spans="1:2" x14ac:dyDescent="0.25">
      <c r="A116">
        <v>1222674592</v>
      </c>
      <c r="B116" t="s">
        <v>3268</v>
      </c>
    </row>
    <row r="117" spans="1:2" x14ac:dyDescent="0.25">
      <c r="A117">
        <v>1221734560</v>
      </c>
      <c r="B117" t="s">
        <v>3268</v>
      </c>
    </row>
    <row r="118" spans="1:2" x14ac:dyDescent="0.25">
      <c r="A118">
        <v>1220656477</v>
      </c>
      <c r="B118" t="s">
        <v>3268</v>
      </c>
    </row>
    <row r="119" spans="1:2" x14ac:dyDescent="0.25">
      <c r="A119">
        <v>1219352186</v>
      </c>
      <c r="B119" t="s">
        <v>3268</v>
      </c>
    </row>
    <row r="120" spans="1:2" x14ac:dyDescent="0.25">
      <c r="A120">
        <v>1219348999</v>
      </c>
      <c r="B120" t="s">
        <v>3268</v>
      </c>
    </row>
    <row r="121" spans="1:2" x14ac:dyDescent="0.25">
      <c r="A121">
        <v>1219028401</v>
      </c>
      <c r="B121" t="s">
        <v>3268</v>
      </c>
    </row>
    <row r="122" spans="1:2" x14ac:dyDescent="0.25">
      <c r="A122">
        <v>1217066477</v>
      </c>
      <c r="B122" t="s">
        <v>3268</v>
      </c>
    </row>
    <row r="123" spans="1:2" x14ac:dyDescent="0.25">
      <c r="A123">
        <v>1216959005</v>
      </c>
      <c r="B123" t="s">
        <v>3268</v>
      </c>
    </row>
    <row r="124" spans="1:2" x14ac:dyDescent="0.25">
      <c r="A124">
        <v>1208442429</v>
      </c>
      <c r="B124" t="s">
        <v>3268</v>
      </c>
    </row>
    <row r="125" spans="1:2" x14ac:dyDescent="0.25">
      <c r="A125">
        <v>1204445074</v>
      </c>
      <c r="B125" t="s">
        <v>3268</v>
      </c>
    </row>
    <row r="126" spans="1:2" x14ac:dyDescent="0.25">
      <c r="A126">
        <v>1202680725</v>
      </c>
      <c r="B126" t="s">
        <v>3268</v>
      </c>
    </row>
    <row r="127" spans="1:2" x14ac:dyDescent="0.25">
      <c r="A127">
        <v>1202678627</v>
      </c>
      <c r="B127" t="s">
        <v>3268</v>
      </c>
    </row>
    <row r="128" spans="1:2" x14ac:dyDescent="0.25">
      <c r="A128">
        <v>1200380102</v>
      </c>
      <c r="B128" t="s">
        <v>3268</v>
      </c>
    </row>
    <row r="129" spans="1:2" x14ac:dyDescent="0.25">
      <c r="A129">
        <v>1199831739</v>
      </c>
      <c r="B129" t="s">
        <v>3268</v>
      </c>
    </row>
    <row r="130" spans="1:2" x14ac:dyDescent="0.25">
      <c r="A130">
        <v>1194419137</v>
      </c>
      <c r="B130" t="s">
        <v>3268</v>
      </c>
    </row>
    <row r="131" spans="1:2" x14ac:dyDescent="0.25">
      <c r="A131">
        <v>1190574110</v>
      </c>
      <c r="B131" t="s">
        <v>3268</v>
      </c>
    </row>
    <row r="132" spans="1:2" x14ac:dyDescent="0.25">
      <c r="A132">
        <v>1190514362</v>
      </c>
      <c r="B132" t="s">
        <v>3268</v>
      </c>
    </row>
    <row r="133" spans="1:2" x14ac:dyDescent="0.25">
      <c r="A133">
        <v>1189708548</v>
      </c>
      <c r="B133" t="s">
        <v>3268</v>
      </c>
    </row>
    <row r="134" spans="1:2" x14ac:dyDescent="0.25">
      <c r="A134">
        <v>1182034715</v>
      </c>
      <c r="B134" t="s">
        <v>3268</v>
      </c>
    </row>
    <row r="135" spans="1:2" x14ac:dyDescent="0.25">
      <c r="A135">
        <v>1181997933</v>
      </c>
      <c r="B135" t="s">
        <v>3268</v>
      </c>
    </row>
    <row r="136" spans="1:2" x14ac:dyDescent="0.25">
      <c r="A136">
        <v>1181982624</v>
      </c>
      <c r="B136" t="s">
        <v>3268</v>
      </c>
    </row>
    <row r="137" spans="1:2" x14ac:dyDescent="0.25">
      <c r="A137">
        <v>1181976113</v>
      </c>
      <c r="B137" t="s">
        <v>3268</v>
      </c>
    </row>
    <row r="138" spans="1:2" x14ac:dyDescent="0.25">
      <c r="A138">
        <v>1177003125</v>
      </c>
      <c r="B138" t="s">
        <v>3268</v>
      </c>
    </row>
    <row r="139" spans="1:2" x14ac:dyDescent="0.25">
      <c r="A139">
        <v>1176981910</v>
      </c>
      <c r="B139" t="s">
        <v>3268</v>
      </c>
    </row>
    <row r="140" spans="1:2" x14ac:dyDescent="0.25">
      <c r="A140">
        <v>1175733101</v>
      </c>
      <c r="B140" t="s">
        <v>3268</v>
      </c>
    </row>
    <row r="141" spans="1:2" x14ac:dyDescent="0.25">
      <c r="A141">
        <v>1175662633</v>
      </c>
      <c r="B141" t="s">
        <v>3268</v>
      </c>
    </row>
    <row r="142" spans="1:2" x14ac:dyDescent="0.25">
      <c r="A142">
        <v>1171247285</v>
      </c>
      <c r="B142" t="s">
        <v>3268</v>
      </c>
    </row>
    <row r="143" spans="1:2" x14ac:dyDescent="0.25">
      <c r="A143">
        <v>1171239259</v>
      </c>
      <c r="B143" t="s">
        <v>3268</v>
      </c>
    </row>
    <row r="144" spans="1:2" x14ac:dyDescent="0.25">
      <c r="A144">
        <v>1171231076</v>
      </c>
      <c r="B144" t="s">
        <v>3268</v>
      </c>
    </row>
    <row r="145" spans="1:2" x14ac:dyDescent="0.25">
      <c r="A145">
        <v>1171210767</v>
      </c>
      <c r="B145" t="s">
        <v>3268</v>
      </c>
    </row>
    <row r="146" spans="1:2" x14ac:dyDescent="0.25">
      <c r="A146">
        <v>1171196839</v>
      </c>
      <c r="B146" t="s">
        <v>3268</v>
      </c>
    </row>
    <row r="147" spans="1:2" x14ac:dyDescent="0.25">
      <c r="A147">
        <v>1171166288</v>
      </c>
      <c r="B147" t="s">
        <v>3268</v>
      </c>
    </row>
    <row r="148" spans="1:2" x14ac:dyDescent="0.25">
      <c r="A148">
        <v>1171140629</v>
      </c>
      <c r="B148" t="s">
        <v>3268</v>
      </c>
    </row>
    <row r="149" spans="1:2" x14ac:dyDescent="0.25">
      <c r="A149">
        <v>1171118760</v>
      </c>
      <c r="B149" t="s">
        <v>3268</v>
      </c>
    </row>
    <row r="150" spans="1:2" x14ac:dyDescent="0.25">
      <c r="A150">
        <v>1169594376</v>
      </c>
      <c r="B150" t="s">
        <v>3268</v>
      </c>
    </row>
    <row r="151" spans="1:2" x14ac:dyDescent="0.25">
      <c r="A151">
        <v>1169159493</v>
      </c>
      <c r="B151" t="s">
        <v>3268</v>
      </c>
    </row>
    <row r="152" spans="1:2" x14ac:dyDescent="0.25">
      <c r="A152">
        <v>1166169002</v>
      </c>
      <c r="B152" t="s">
        <v>3268</v>
      </c>
    </row>
    <row r="153" spans="1:2" x14ac:dyDescent="0.25">
      <c r="A153">
        <v>1161430414</v>
      </c>
      <c r="B153" t="s">
        <v>3268</v>
      </c>
    </row>
    <row r="154" spans="1:2" x14ac:dyDescent="0.25">
      <c r="A154">
        <v>1161428221</v>
      </c>
      <c r="B154" t="s">
        <v>3268</v>
      </c>
    </row>
    <row r="155" spans="1:2" x14ac:dyDescent="0.25">
      <c r="A155">
        <v>1160492987</v>
      </c>
      <c r="B155" t="s">
        <v>3268</v>
      </c>
    </row>
    <row r="156" spans="1:2" x14ac:dyDescent="0.25">
      <c r="A156">
        <v>1160375684</v>
      </c>
      <c r="B156" t="s">
        <v>3268</v>
      </c>
    </row>
    <row r="157" spans="1:2" x14ac:dyDescent="0.25">
      <c r="A157">
        <v>1159585056</v>
      </c>
      <c r="B157" t="s">
        <v>3268</v>
      </c>
    </row>
    <row r="158" spans="1:2" x14ac:dyDescent="0.25">
      <c r="A158">
        <v>1155724905</v>
      </c>
      <c r="B158" t="s">
        <v>3268</v>
      </c>
    </row>
    <row r="159" spans="1:2" x14ac:dyDescent="0.25">
      <c r="A159">
        <v>1155721974</v>
      </c>
      <c r="B159" t="s">
        <v>3268</v>
      </c>
    </row>
    <row r="160" spans="1:2" x14ac:dyDescent="0.25">
      <c r="A160">
        <v>1155116994</v>
      </c>
      <c r="B160" t="s">
        <v>3268</v>
      </c>
    </row>
    <row r="161" spans="1:2" x14ac:dyDescent="0.25">
      <c r="A161">
        <v>1155114202</v>
      </c>
      <c r="B161" t="s">
        <v>3268</v>
      </c>
    </row>
    <row r="162" spans="1:2" x14ac:dyDescent="0.25">
      <c r="A162">
        <v>1155112620</v>
      </c>
      <c r="B162" t="s">
        <v>3268</v>
      </c>
    </row>
    <row r="163" spans="1:2" x14ac:dyDescent="0.25">
      <c r="A163">
        <v>1155111282</v>
      </c>
      <c r="B163" t="s">
        <v>3268</v>
      </c>
    </row>
    <row r="164" spans="1:2" x14ac:dyDescent="0.25">
      <c r="A164">
        <v>1153333588</v>
      </c>
      <c r="B164" t="s">
        <v>3268</v>
      </c>
    </row>
    <row r="165" spans="1:2" x14ac:dyDescent="0.25">
      <c r="A165">
        <v>1151434808</v>
      </c>
      <c r="B165" t="s">
        <v>3268</v>
      </c>
    </row>
    <row r="166" spans="1:2" x14ac:dyDescent="0.25">
      <c r="A166">
        <v>1151430328</v>
      </c>
      <c r="B166" t="s">
        <v>3268</v>
      </c>
    </row>
    <row r="167" spans="1:2" x14ac:dyDescent="0.25">
      <c r="A167">
        <v>1146939856</v>
      </c>
      <c r="B167" t="s">
        <v>3268</v>
      </c>
    </row>
    <row r="168" spans="1:2" x14ac:dyDescent="0.25">
      <c r="A168">
        <v>1144145516</v>
      </c>
      <c r="B168" t="s">
        <v>3268</v>
      </c>
    </row>
    <row r="169" spans="1:2" x14ac:dyDescent="0.25">
      <c r="A169">
        <v>1143329958</v>
      </c>
      <c r="B169" t="s">
        <v>3268</v>
      </c>
    </row>
    <row r="170" spans="1:2" x14ac:dyDescent="0.25">
      <c r="A170">
        <v>1143308952</v>
      </c>
      <c r="B170" t="s">
        <v>3268</v>
      </c>
    </row>
    <row r="171" spans="1:2" x14ac:dyDescent="0.25">
      <c r="A171">
        <v>1143303600</v>
      </c>
      <c r="B171" t="s">
        <v>3268</v>
      </c>
    </row>
    <row r="172" spans="1:2" x14ac:dyDescent="0.25">
      <c r="A172">
        <v>1136959821</v>
      </c>
      <c r="B172" t="s">
        <v>3268</v>
      </c>
    </row>
    <row r="173" spans="1:2" x14ac:dyDescent="0.25">
      <c r="A173">
        <v>1136208581</v>
      </c>
      <c r="B173" t="s">
        <v>3268</v>
      </c>
    </row>
    <row r="174" spans="1:2" x14ac:dyDescent="0.25">
      <c r="A174">
        <v>1132957042</v>
      </c>
      <c r="B174" t="s">
        <v>3268</v>
      </c>
    </row>
    <row r="175" spans="1:2" x14ac:dyDescent="0.25">
      <c r="A175">
        <v>1132951733</v>
      </c>
      <c r="B175" t="s">
        <v>3268</v>
      </c>
    </row>
    <row r="176" spans="1:2" x14ac:dyDescent="0.25">
      <c r="A176">
        <v>1132947759</v>
      </c>
      <c r="B176" t="s">
        <v>3268</v>
      </c>
    </row>
    <row r="177" spans="1:2" x14ac:dyDescent="0.25">
      <c r="A177">
        <v>1131827251</v>
      </c>
      <c r="B177" t="s">
        <v>3268</v>
      </c>
    </row>
    <row r="178" spans="1:2" x14ac:dyDescent="0.25">
      <c r="A178">
        <v>1130181115</v>
      </c>
      <c r="B178" t="s">
        <v>3268</v>
      </c>
    </row>
    <row r="179" spans="1:2" x14ac:dyDescent="0.25">
      <c r="A179">
        <v>1129740783</v>
      </c>
      <c r="B179" t="s">
        <v>3268</v>
      </c>
    </row>
    <row r="180" spans="1:2" x14ac:dyDescent="0.25">
      <c r="A180">
        <v>1129392587</v>
      </c>
      <c r="B180" t="s">
        <v>3268</v>
      </c>
    </row>
    <row r="181" spans="1:2" x14ac:dyDescent="0.25">
      <c r="A181">
        <v>1127619413</v>
      </c>
      <c r="B181" t="s">
        <v>3268</v>
      </c>
    </row>
    <row r="182" spans="1:2" x14ac:dyDescent="0.25">
      <c r="A182">
        <v>1118756836</v>
      </c>
      <c r="B182" t="s">
        <v>3268</v>
      </c>
    </row>
    <row r="183" spans="1:2" x14ac:dyDescent="0.25">
      <c r="A183">
        <v>1118580547</v>
      </c>
      <c r="B183" t="s">
        <v>3268</v>
      </c>
    </row>
    <row r="184" spans="1:2" x14ac:dyDescent="0.25">
      <c r="A184">
        <v>1118579424</v>
      </c>
      <c r="B184" t="s">
        <v>3268</v>
      </c>
    </row>
    <row r="185" spans="1:2" x14ac:dyDescent="0.25">
      <c r="A185">
        <v>1118417354</v>
      </c>
      <c r="B185" t="s">
        <v>3268</v>
      </c>
    </row>
    <row r="186" spans="1:2" x14ac:dyDescent="0.25">
      <c r="A186">
        <v>1118415593</v>
      </c>
      <c r="B186" t="s">
        <v>3268</v>
      </c>
    </row>
    <row r="187" spans="1:2" x14ac:dyDescent="0.25">
      <c r="A187">
        <v>1118225136</v>
      </c>
      <c r="B187" t="s">
        <v>3268</v>
      </c>
    </row>
    <row r="188" spans="1:2" x14ac:dyDescent="0.25">
      <c r="A188">
        <v>1118127251</v>
      </c>
      <c r="B188" t="s">
        <v>3268</v>
      </c>
    </row>
    <row r="189" spans="1:2" x14ac:dyDescent="0.25">
      <c r="A189">
        <v>1117777896</v>
      </c>
      <c r="B189" t="s">
        <v>3268</v>
      </c>
    </row>
    <row r="190" spans="1:2" x14ac:dyDescent="0.25">
      <c r="A190">
        <v>1117459884</v>
      </c>
      <c r="B190" t="s">
        <v>3268</v>
      </c>
    </row>
    <row r="191" spans="1:2" x14ac:dyDescent="0.25">
      <c r="A191">
        <v>1117014537</v>
      </c>
      <c r="B191" t="s">
        <v>3268</v>
      </c>
    </row>
    <row r="192" spans="1:2" x14ac:dyDescent="0.25">
      <c r="A192">
        <v>1111589723</v>
      </c>
      <c r="B192" t="s">
        <v>3268</v>
      </c>
    </row>
    <row r="193" spans="1:2" x14ac:dyDescent="0.25">
      <c r="A193">
        <v>1109544832</v>
      </c>
      <c r="B193" t="s">
        <v>3268</v>
      </c>
    </row>
    <row r="194" spans="1:2" x14ac:dyDescent="0.25">
      <c r="A194">
        <v>1108665424</v>
      </c>
      <c r="B194" t="s">
        <v>3268</v>
      </c>
    </row>
    <row r="195" spans="1:2" x14ac:dyDescent="0.25">
      <c r="A195">
        <v>1107805255</v>
      </c>
      <c r="B195" t="s">
        <v>3268</v>
      </c>
    </row>
    <row r="196" spans="1:2" x14ac:dyDescent="0.25">
      <c r="A196">
        <v>1103481279</v>
      </c>
      <c r="B196" t="s">
        <v>3268</v>
      </c>
    </row>
    <row r="197" spans="1:2" x14ac:dyDescent="0.25">
      <c r="A197">
        <v>1103438019</v>
      </c>
      <c r="B197" t="s">
        <v>3268</v>
      </c>
    </row>
    <row r="198" spans="1:2" x14ac:dyDescent="0.25">
      <c r="A198">
        <v>1101260276</v>
      </c>
      <c r="B198" t="s">
        <v>3268</v>
      </c>
    </row>
    <row r="199" spans="1:2" x14ac:dyDescent="0.25">
      <c r="A199">
        <v>1097829395</v>
      </c>
      <c r="B199" t="s">
        <v>3268</v>
      </c>
    </row>
    <row r="200" spans="1:2" x14ac:dyDescent="0.25">
      <c r="A200">
        <v>1097676292</v>
      </c>
      <c r="B200" t="s">
        <v>3268</v>
      </c>
    </row>
    <row r="201" spans="1:2" x14ac:dyDescent="0.25">
      <c r="A201">
        <v>1096992098</v>
      </c>
      <c r="B201" t="s">
        <v>3268</v>
      </c>
    </row>
    <row r="202" spans="1:2" x14ac:dyDescent="0.25">
      <c r="A202">
        <v>1096048448</v>
      </c>
      <c r="B202" t="s">
        <v>3268</v>
      </c>
    </row>
    <row r="203" spans="1:2" x14ac:dyDescent="0.25">
      <c r="A203">
        <v>1095233208</v>
      </c>
      <c r="B203" t="s">
        <v>3268</v>
      </c>
    </row>
    <row r="204" spans="1:2" x14ac:dyDescent="0.25">
      <c r="A204">
        <v>1092415506</v>
      </c>
      <c r="B204" t="s">
        <v>3268</v>
      </c>
    </row>
    <row r="205" spans="1:2" x14ac:dyDescent="0.25">
      <c r="A205">
        <v>1084648180</v>
      </c>
      <c r="B205" t="s">
        <v>3268</v>
      </c>
    </row>
    <row r="206" spans="1:2" x14ac:dyDescent="0.25">
      <c r="A206">
        <v>1081866990</v>
      </c>
      <c r="B206" t="s">
        <v>3268</v>
      </c>
    </row>
    <row r="207" spans="1:2" x14ac:dyDescent="0.25">
      <c r="A207">
        <v>1078907560</v>
      </c>
      <c r="B207" t="s">
        <v>3268</v>
      </c>
    </row>
    <row r="208" spans="1:2" x14ac:dyDescent="0.25">
      <c r="A208">
        <v>1078014225</v>
      </c>
      <c r="B208" t="s">
        <v>3268</v>
      </c>
    </row>
    <row r="209" spans="1:2" x14ac:dyDescent="0.25">
      <c r="A209">
        <v>1076906615</v>
      </c>
      <c r="B209" t="s">
        <v>3268</v>
      </c>
    </row>
    <row r="210" spans="1:2" x14ac:dyDescent="0.25">
      <c r="A210">
        <v>1072954243</v>
      </c>
      <c r="B210" t="s">
        <v>3268</v>
      </c>
    </row>
    <row r="211" spans="1:2" x14ac:dyDescent="0.25">
      <c r="A211">
        <v>1072949949</v>
      </c>
      <c r="B211" t="s">
        <v>3268</v>
      </c>
    </row>
    <row r="212" spans="1:2" x14ac:dyDescent="0.25">
      <c r="A212">
        <v>1072257434</v>
      </c>
      <c r="B212" t="s">
        <v>3268</v>
      </c>
    </row>
    <row r="213" spans="1:2" x14ac:dyDescent="0.25">
      <c r="A213">
        <v>1071996730</v>
      </c>
      <c r="B213" t="s">
        <v>3268</v>
      </c>
    </row>
    <row r="214" spans="1:2" x14ac:dyDescent="0.25">
      <c r="A214">
        <v>1067293099</v>
      </c>
      <c r="B214" t="s">
        <v>3268</v>
      </c>
    </row>
    <row r="215" spans="1:2" x14ac:dyDescent="0.25">
      <c r="A215">
        <v>1064458370</v>
      </c>
      <c r="B215" t="s">
        <v>3268</v>
      </c>
    </row>
    <row r="216" spans="1:2" x14ac:dyDescent="0.25">
      <c r="A216">
        <v>1061098745</v>
      </c>
      <c r="B216" t="s">
        <v>3268</v>
      </c>
    </row>
    <row r="217" spans="1:2" x14ac:dyDescent="0.25">
      <c r="A217">
        <v>1057143262</v>
      </c>
      <c r="B217" t="s">
        <v>3268</v>
      </c>
    </row>
    <row r="218" spans="1:2" x14ac:dyDescent="0.25">
      <c r="A218">
        <v>1054740385</v>
      </c>
      <c r="B218" t="s">
        <v>3268</v>
      </c>
    </row>
    <row r="219" spans="1:2" x14ac:dyDescent="0.25">
      <c r="A219">
        <v>1054129185</v>
      </c>
      <c r="B219" t="s">
        <v>3268</v>
      </c>
    </row>
    <row r="220" spans="1:2" x14ac:dyDescent="0.25">
      <c r="A220">
        <v>1053590559</v>
      </c>
      <c r="B220" t="s">
        <v>3268</v>
      </c>
    </row>
    <row r="221" spans="1:2" x14ac:dyDescent="0.25">
      <c r="A221">
        <v>1047752236</v>
      </c>
      <c r="B221" t="s">
        <v>3268</v>
      </c>
    </row>
    <row r="222" spans="1:2" x14ac:dyDescent="0.25">
      <c r="A222">
        <v>1047747323</v>
      </c>
      <c r="B222" t="s">
        <v>3268</v>
      </c>
    </row>
    <row r="223" spans="1:2" x14ac:dyDescent="0.25">
      <c r="A223">
        <v>1047742760</v>
      </c>
      <c r="B223" t="s">
        <v>3268</v>
      </c>
    </row>
    <row r="224" spans="1:2" x14ac:dyDescent="0.25">
      <c r="A224">
        <v>1047734676</v>
      </c>
      <c r="B224" t="s">
        <v>3268</v>
      </c>
    </row>
    <row r="225" spans="1:2" x14ac:dyDescent="0.25">
      <c r="A225">
        <v>1047729558</v>
      </c>
      <c r="B225" t="s">
        <v>3268</v>
      </c>
    </row>
    <row r="226" spans="1:2" x14ac:dyDescent="0.25">
      <c r="A226">
        <v>1047719810</v>
      </c>
      <c r="B226" t="s">
        <v>3268</v>
      </c>
    </row>
    <row r="227" spans="1:2" x14ac:dyDescent="0.25">
      <c r="A227">
        <v>1047713523</v>
      </c>
      <c r="B227" t="s">
        <v>3268</v>
      </c>
    </row>
    <row r="228" spans="1:2" x14ac:dyDescent="0.25">
      <c r="A228">
        <v>1047702765</v>
      </c>
      <c r="B228" t="s">
        <v>3268</v>
      </c>
    </row>
    <row r="229" spans="1:2" x14ac:dyDescent="0.25">
      <c r="A229">
        <v>1047690923</v>
      </c>
      <c r="B229" t="s">
        <v>3268</v>
      </c>
    </row>
    <row r="230" spans="1:2" x14ac:dyDescent="0.25">
      <c r="A230">
        <v>1047227075</v>
      </c>
      <c r="B230" t="s">
        <v>3268</v>
      </c>
    </row>
    <row r="231" spans="1:2" x14ac:dyDescent="0.25">
      <c r="A231">
        <v>1044345441</v>
      </c>
      <c r="B231" t="s">
        <v>3268</v>
      </c>
    </row>
    <row r="232" spans="1:2" x14ac:dyDescent="0.25">
      <c r="A232">
        <v>1043242411</v>
      </c>
      <c r="B232" t="s">
        <v>3268</v>
      </c>
    </row>
    <row r="233" spans="1:2" x14ac:dyDescent="0.25">
      <c r="A233">
        <v>1041871305</v>
      </c>
      <c r="B233" t="s">
        <v>3268</v>
      </c>
    </row>
    <row r="234" spans="1:2" x14ac:dyDescent="0.25">
      <c r="A234">
        <v>1041682692</v>
      </c>
      <c r="B234" t="s">
        <v>3268</v>
      </c>
    </row>
    <row r="235" spans="1:2" x14ac:dyDescent="0.25">
      <c r="A235">
        <v>1041279019</v>
      </c>
      <c r="B235" t="s">
        <v>3268</v>
      </c>
    </row>
    <row r="236" spans="1:2" x14ac:dyDescent="0.25">
      <c r="A236">
        <v>1040462951</v>
      </c>
      <c r="B236" t="s">
        <v>3268</v>
      </c>
    </row>
    <row r="237" spans="1:2" x14ac:dyDescent="0.25">
      <c r="A237">
        <v>1034801562</v>
      </c>
      <c r="B237" t="s">
        <v>3268</v>
      </c>
    </row>
    <row r="238" spans="1:2" x14ac:dyDescent="0.25">
      <c r="A238">
        <v>1033021379</v>
      </c>
      <c r="B238" t="s">
        <v>3268</v>
      </c>
    </row>
    <row r="239" spans="1:2" x14ac:dyDescent="0.25">
      <c r="A239">
        <v>1031862459</v>
      </c>
      <c r="B239" t="s">
        <v>3268</v>
      </c>
    </row>
    <row r="240" spans="1:2" x14ac:dyDescent="0.25">
      <c r="A240">
        <v>1031752330</v>
      </c>
      <c r="B240" t="s">
        <v>3268</v>
      </c>
    </row>
    <row r="241" spans="1:2" x14ac:dyDescent="0.25">
      <c r="A241">
        <v>1030839988</v>
      </c>
      <c r="B241" t="s">
        <v>3268</v>
      </c>
    </row>
    <row r="242" spans="1:2" x14ac:dyDescent="0.25">
      <c r="A242">
        <v>1029584926</v>
      </c>
      <c r="B242" t="s">
        <v>3268</v>
      </c>
    </row>
    <row r="243" spans="1:2" x14ac:dyDescent="0.25">
      <c r="A243">
        <v>1028922980</v>
      </c>
      <c r="B243" t="s">
        <v>3268</v>
      </c>
    </row>
    <row r="244" spans="1:2" x14ac:dyDescent="0.25">
      <c r="A244">
        <v>1028900464</v>
      </c>
      <c r="B244" t="s">
        <v>3268</v>
      </c>
    </row>
    <row r="245" spans="1:2" x14ac:dyDescent="0.25">
      <c r="A245">
        <v>1028467272</v>
      </c>
      <c r="B245" t="s">
        <v>3268</v>
      </c>
    </row>
    <row r="246" spans="1:2" x14ac:dyDescent="0.25">
      <c r="A246">
        <v>1028440202</v>
      </c>
      <c r="B246" t="s">
        <v>3268</v>
      </c>
    </row>
    <row r="247" spans="1:2" x14ac:dyDescent="0.25">
      <c r="A247">
        <v>1027964950</v>
      </c>
      <c r="B247" t="s">
        <v>3268</v>
      </c>
    </row>
    <row r="248" spans="1:2" x14ac:dyDescent="0.25">
      <c r="A248">
        <v>1027148711</v>
      </c>
      <c r="B248" t="s">
        <v>3268</v>
      </c>
    </row>
    <row r="249" spans="1:2" x14ac:dyDescent="0.25">
      <c r="A249">
        <v>1027144419</v>
      </c>
      <c r="B249" t="s">
        <v>3268</v>
      </c>
    </row>
    <row r="250" spans="1:2" x14ac:dyDescent="0.25">
      <c r="A250">
        <v>1026613706</v>
      </c>
      <c r="B250" t="s">
        <v>3268</v>
      </c>
    </row>
    <row r="251" spans="1:2" x14ac:dyDescent="0.25">
      <c r="A251">
        <v>1026334168</v>
      </c>
      <c r="B251" t="s">
        <v>3268</v>
      </c>
    </row>
    <row r="252" spans="1:2" x14ac:dyDescent="0.25">
      <c r="A252">
        <v>1026123379</v>
      </c>
      <c r="B252" t="s">
        <v>3268</v>
      </c>
    </row>
    <row r="253" spans="1:2" x14ac:dyDescent="0.25">
      <c r="A253">
        <v>1023921377</v>
      </c>
      <c r="B253" t="s">
        <v>3268</v>
      </c>
    </row>
    <row r="254" spans="1:2" x14ac:dyDescent="0.25">
      <c r="A254">
        <v>1021734893</v>
      </c>
      <c r="B254" t="s">
        <v>3268</v>
      </c>
    </row>
    <row r="255" spans="1:2" x14ac:dyDescent="0.25">
      <c r="A255">
        <v>1019765484</v>
      </c>
      <c r="B255" t="s">
        <v>3268</v>
      </c>
    </row>
    <row r="256" spans="1:2" x14ac:dyDescent="0.25">
      <c r="A256">
        <v>1019762277</v>
      </c>
      <c r="B256" t="s">
        <v>3268</v>
      </c>
    </row>
    <row r="257" spans="1:2" x14ac:dyDescent="0.25">
      <c r="A257">
        <v>1019093019</v>
      </c>
      <c r="B257" t="s">
        <v>3268</v>
      </c>
    </row>
    <row r="258" spans="1:2" x14ac:dyDescent="0.25">
      <c r="A258">
        <v>1012490510</v>
      </c>
      <c r="B258" t="s">
        <v>3268</v>
      </c>
    </row>
    <row r="259" spans="1:2" x14ac:dyDescent="0.25">
      <c r="A259">
        <v>1012292289</v>
      </c>
      <c r="B259" t="s">
        <v>3268</v>
      </c>
    </row>
    <row r="260" spans="1:2" x14ac:dyDescent="0.25">
      <c r="A260">
        <v>1012280655</v>
      </c>
      <c r="B260" t="s">
        <v>3268</v>
      </c>
    </row>
    <row r="261" spans="1:2" x14ac:dyDescent="0.25">
      <c r="A261">
        <v>1005244524</v>
      </c>
      <c r="B261" t="s">
        <v>3268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4ECD-6FA5-47A6-9A69-A15B440589BB}">
  <dimension ref="A1:EX261"/>
  <sheetViews>
    <sheetView topLeftCell="O1" workbookViewId="0">
      <selection activeCell="S1" sqref="S1"/>
    </sheetView>
  </sheetViews>
  <sheetFormatPr defaultRowHeight="15" x14ac:dyDescent="0.25"/>
  <cols>
    <col min="1" max="1" width="15.5703125" bestFit="1" customWidth="1"/>
    <col min="2" max="2" width="12.7109375" bestFit="1" customWidth="1"/>
    <col min="3" max="3" width="33.7109375" bestFit="1" customWidth="1"/>
    <col min="4" max="4" width="33.42578125" bestFit="1" customWidth="1"/>
    <col min="5" max="5" width="13.7109375" bestFit="1" customWidth="1"/>
    <col min="6" max="6" width="38" bestFit="1" customWidth="1"/>
    <col min="7" max="7" width="47.7109375" bestFit="1" customWidth="1"/>
    <col min="8" max="8" width="33" bestFit="1" customWidth="1"/>
    <col min="9" max="9" width="61.140625" bestFit="1" customWidth="1"/>
    <col min="10" max="10" width="20.28515625" bestFit="1" customWidth="1"/>
    <col min="11" max="11" width="23.85546875" bestFit="1" customWidth="1"/>
    <col min="12" max="12" width="42.140625" bestFit="1" customWidth="1"/>
    <col min="13" max="13" width="73.42578125" bestFit="1" customWidth="1"/>
    <col min="14" max="14" width="54.85546875" bestFit="1" customWidth="1"/>
    <col min="15" max="15" width="37.7109375" bestFit="1" customWidth="1"/>
    <col min="16" max="16" width="37.42578125" bestFit="1" customWidth="1"/>
    <col min="17" max="17" width="22" bestFit="1" customWidth="1"/>
    <col min="18" max="18" width="35.85546875" bestFit="1" customWidth="1"/>
    <col min="19" max="19" width="32.42578125" bestFit="1" customWidth="1"/>
    <col min="20" max="20" width="71.28515625" bestFit="1" customWidth="1"/>
    <col min="21" max="21" width="27" bestFit="1" customWidth="1"/>
    <col min="22" max="22" width="28.140625" bestFit="1" customWidth="1"/>
    <col min="23" max="23" width="23.28515625" bestFit="1" customWidth="1"/>
    <col min="24" max="24" width="24.42578125" bestFit="1" customWidth="1"/>
    <col min="25" max="25" width="22.28515625" bestFit="1" customWidth="1"/>
    <col min="26" max="26" width="81.140625" bestFit="1" customWidth="1"/>
    <col min="27" max="27" width="62.85546875" bestFit="1" customWidth="1"/>
    <col min="28" max="28" width="52.42578125" bestFit="1" customWidth="1"/>
    <col min="29" max="29" width="47.7109375" bestFit="1" customWidth="1"/>
    <col min="30" max="30" width="48.85546875" bestFit="1" customWidth="1"/>
    <col min="31" max="31" width="46.7109375" bestFit="1" customWidth="1"/>
    <col min="32" max="32" width="24.140625" bestFit="1" customWidth="1"/>
    <col min="33" max="33" width="41.42578125" bestFit="1" customWidth="1"/>
    <col min="34" max="34" width="55.5703125" bestFit="1" customWidth="1"/>
    <col min="35" max="35" width="42.140625" bestFit="1" customWidth="1"/>
    <col min="36" max="36" width="81.140625" bestFit="1" customWidth="1"/>
    <col min="37" max="37" width="57" bestFit="1" customWidth="1"/>
    <col min="38" max="39" width="81.140625" bestFit="1" customWidth="1"/>
    <col min="40" max="40" width="33.7109375" bestFit="1" customWidth="1"/>
    <col min="41" max="41" width="58.28515625" bestFit="1" customWidth="1"/>
    <col min="42" max="42" width="58.140625" bestFit="1" customWidth="1"/>
    <col min="43" max="43" width="58.28515625" bestFit="1" customWidth="1"/>
    <col min="44" max="44" width="63.5703125" bestFit="1" customWidth="1"/>
    <col min="45" max="45" width="30.140625" bestFit="1" customWidth="1"/>
    <col min="46" max="46" width="28.140625" bestFit="1" customWidth="1"/>
    <col min="47" max="47" width="27.85546875" bestFit="1" customWidth="1"/>
    <col min="48" max="48" width="81.140625" bestFit="1" customWidth="1"/>
    <col min="49" max="51" width="58.28515625" bestFit="1" customWidth="1"/>
    <col min="52" max="52" width="81.140625" bestFit="1" customWidth="1"/>
    <col min="53" max="53" width="51.42578125" bestFit="1" customWidth="1"/>
    <col min="54" max="54" width="15.85546875" bestFit="1" customWidth="1"/>
    <col min="55" max="57" width="81.140625" bestFit="1" customWidth="1"/>
    <col min="58" max="58" width="33.28515625" bestFit="1" customWidth="1"/>
    <col min="59" max="59" width="81.140625" bestFit="1" customWidth="1"/>
    <col min="60" max="60" width="19.28515625" bestFit="1" customWidth="1"/>
    <col min="61" max="61" width="69.28515625" bestFit="1" customWidth="1"/>
    <col min="62" max="62" width="35.42578125" bestFit="1" customWidth="1"/>
    <col min="63" max="63" width="37.28515625" bestFit="1" customWidth="1"/>
    <col min="64" max="64" width="39.5703125" bestFit="1" customWidth="1"/>
    <col min="65" max="65" width="39.28515625" bestFit="1" customWidth="1"/>
    <col min="66" max="66" width="17.85546875" bestFit="1" customWidth="1"/>
    <col min="67" max="67" width="35.85546875" bestFit="1" customWidth="1"/>
    <col min="68" max="68" width="28.5703125" bestFit="1" customWidth="1"/>
    <col min="69" max="69" width="45.5703125" bestFit="1" customWidth="1"/>
    <col min="70" max="70" width="53.42578125" bestFit="1" customWidth="1"/>
    <col min="71" max="71" width="55.42578125" bestFit="1" customWidth="1"/>
    <col min="72" max="72" width="50.7109375" bestFit="1" customWidth="1"/>
    <col min="73" max="73" width="51.7109375" bestFit="1" customWidth="1"/>
    <col min="74" max="74" width="49.7109375" bestFit="1" customWidth="1"/>
    <col min="75" max="75" width="51.42578125" bestFit="1" customWidth="1"/>
    <col min="76" max="76" width="39" bestFit="1" customWidth="1"/>
    <col min="77" max="77" width="40" bestFit="1" customWidth="1"/>
    <col min="78" max="78" width="35.28515625" bestFit="1" customWidth="1"/>
    <col min="79" max="79" width="36.42578125" bestFit="1" customWidth="1"/>
    <col min="80" max="80" width="34.28515625" bestFit="1" customWidth="1"/>
    <col min="81" max="81" width="39" bestFit="1" customWidth="1"/>
    <col min="82" max="82" width="64.28515625" bestFit="1" customWidth="1"/>
    <col min="83" max="83" width="27" bestFit="1" customWidth="1"/>
    <col min="84" max="84" width="33.42578125" bestFit="1" customWidth="1"/>
    <col min="85" max="85" width="35.85546875" bestFit="1" customWidth="1"/>
    <col min="86" max="86" width="45.140625" bestFit="1" customWidth="1"/>
    <col min="87" max="87" width="33.85546875" bestFit="1" customWidth="1"/>
    <col min="88" max="88" width="59.85546875" bestFit="1" customWidth="1"/>
    <col min="89" max="89" width="31.42578125" bestFit="1" customWidth="1"/>
    <col min="90" max="90" width="44.140625" bestFit="1" customWidth="1"/>
    <col min="91" max="91" width="81.140625" bestFit="1" customWidth="1"/>
    <col min="92" max="92" width="38.28515625" bestFit="1" customWidth="1"/>
    <col min="93" max="93" width="32" bestFit="1" customWidth="1"/>
    <col min="94" max="94" width="61.28515625" bestFit="1" customWidth="1"/>
    <col min="95" max="95" width="35.42578125" bestFit="1" customWidth="1"/>
    <col min="96" max="96" width="42.85546875" bestFit="1" customWidth="1"/>
    <col min="97" max="97" width="33" bestFit="1" customWidth="1"/>
    <col min="98" max="98" width="44.42578125" bestFit="1" customWidth="1"/>
    <col min="99" max="99" width="18.5703125" bestFit="1" customWidth="1"/>
    <col min="100" max="100" width="51.140625" bestFit="1" customWidth="1"/>
    <col min="101" max="101" width="15.7109375" bestFit="1" customWidth="1"/>
    <col min="102" max="102" width="31.7109375" bestFit="1" customWidth="1"/>
    <col min="103" max="103" width="20.28515625" bestFit="1" customWidth="1"/>
    <col min="104" max="104" width="23" bestFit="1" customWidth="1"/>
    <col min="105" max="105" width="39" bestFit="1" customWidth="1"/>
    <col min="106" max="106" width="29.140625" bestFit="1" customWidth="1"/>
    <col min="107" max="107" width="29" bestFit="1" customWidth="1"/>
    <col min="108" max="108" width="51.7109375" bestFit="1" customWidth="1"/>
    <col min="109" max="109" width="52.85546875" bestFit="1" customWidth="1"/>
    <col min="110" max="110" width="48" bestFit="1" customWidth="1"/>
    <col min="111" max="111" width="49.140625" bestFit="1" customWidth="1"/>
    <col min="112" max="112" width="47" bestFit="1" customWidth="1"/>
    <col min="113" max="113" width="46.28515625" bestFit="1" customWidth="1"/>
    <col min="114" max="114" width="47.28515625" bestFit="1" customWidth="1"/>
    <col min="115" max="115" width="42.5703125" bestFit="1" customWidth="1"/>
    <col min="116" max="116" width="43.5703125" bestFit="1" customWidth="1"/>
    <col min="117" max="117" width="41.5703125" bestFit="1" customWidth="1"/>
    <col min="118" max="118" width="29.85546875" bestFit="1" customWidth="1"/>
    <col min="119" max="119" width="29.5703125" bestFit="1" customWidth="1"/>
    <col min="120" max="120" width="81.140625" bestFit="1" customWidth="1"/>
    <col min="121" max="123" width="58.28515625" bestFit="1" customWidth="1"/>
    <col min="124" max="124" width="54.140625" bestFit="1" customWidth="1"/>
    <col min="125" max="125" width="81.140625" bestFit="1" customWidth="1"/>
    <col min="126" max="126" width="72.28515625" bestFit="1" customWidth="1"/>
    <col min="127" max="127" width="21.42578125" bestFit="1" customWidth="1"/>
    <col min="128" max="128" width="25.140625" bestFit="1" customWidth="1"/>
    <col min="129" max="129" width="81.140625" bestFit="1" customWidth="1"/>
    <col min="130" max="130" width="46.42578125" bestFit="1" customWidth="1"/>
    <col min="131" max="131" width="32.85546875" bestFit="1" customWidth="1"/>
    <col min="132" max="132" width="32.5703125" bestFit="1" customWidth="1"/>
    <col min="133" max="133" width="35.5703125" bestFit="1" customWidth="1"/>
    <col min="134" max="134" width="36.7109375" bestFit="1" customWidth="1"/>
    <col min="135" max="135" width="32" bestFit="1" customWidth="1"/>
    <col min="136" max="136" width="33" bestFit="1" customWidth="1"/>
    <col min="137" max="137" width="30.85546875" bestFit="1" customWidth="1"/>
    <col min="138" max="138" width="49.28515625" bestFit="1" customWidth="1"/>
    <col min="139" max="139" width="50.28515625" bestFit="1" customWidth="1"/>
    <col min="140" max="140" width="45.5703125" bestFit="1" customWidth="1"/>
    <col min="141" max="141" width="46.5703125" bestFit="1" customWidth="1"/>
    <col min="142" max="142" width="44.5703125" bestFit="1" customWidth="1"/>
    <col min="143" max="143" width="26.7109375" bestFit="1" customWidth="1"/>
    <col min="144" max="144" width="16.140625" bestFit="1" customWidth="1"/>
    <col min="145" max="145" width="14.85546875" bestFit="1" customWidth="1"/>
    <col min="146" max="146" width="28.42578125" bestFit="1" customWidth="1"/>
    <col min="147" max="147" width="36.5703125" bestFit="1" customWidth="1"/>
    <col min="148" max="148" width="33.7109375" bestFit="1" customWidth="1"/>
    <col min="149" max="149" width="30.42578125" bestFit="1" customWidth="1"/>
    <col min="150" max="150" width="81.140625" bestFit="1" customWidth="1"/>
    <col min="151" max="151" width="31.7109375" bestFit="1" customWidth="1"/>
    <col min="152" max="152" width="14.85546875" bestFit="1" customWidth="1"/>
    <col min="153" max="153" width="12.140625" bestFit="1" customWidth="1"/>
    <col min="154" max="154" width="17" bestFit="1" customWidth="1"/>
  </cols>
  <sheetData>
    <row r="1" spans="1:154" x14ac:dyDescent="0.25">
      <c r="A1" t="s">
        <v>2</v>
      </c>
      <c r="B1" t="s">
        <v>3</v>
      </c>
      <c r="C1" t="s">
        <v>4</v>
      </c>
      <c r="D1" t="s">
        <v>5</v>
      </c>
      <c r="E1" t="s">
        <v>0</v>
      </c>
      <c r="F1" t="s">
        <v>6</v>
      </c>
      <c r="G1" t="s">
        <v>7</v>
      </c>
      <c r="H1" t="s">
        <v>1</v>
      </c>
      <c r="I1" t="s">
        <v>8</v>
      </c>
      <c r="J1" t="s">
        <v>9</v>
      </c>
      <c r="K1" t="s">
        <v>10</v>
      </c>
      <c r="L1" t="s">
        <v>11</v>
      </c>
      <c r="M1" t="s">
        <v>12</v>
      </c>
      <c r="N1" t="s">
        <v>13</v>
      </c>
      <c r="O1" t="s">
        <v>14</v>
      </c>
      <c r="P1" t="s">
        <v>15</v>
      </c>
      <c r="Q1" t="s">
        <v>16</v>
      </c>
      <c r="R1" t="s">
        <v>17</v>
      </c>
      <c r="S1" t="s">
        <v>3267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row>
    <row r="2" spans="1:154" x14ac:dyDescent="0.25">
      <c r="A2" s="3">
        <v>44806.67046296296</v>
      </c>
      <c r="B2" s="4" t="s">
        <v>153</v>
      </c>
      <c r="C2" s="4" t="s">
        <v>154</v>
      </c>
      <c r="D2" s="4" t="s">
        <v>155</v>
      </c>
      <c r="E2" s="4" t="s">
        <v>156</v>
      </c>
      <c r="F2" s="4" t="s">
        <v>157</v>
      </c>
      <c r="G2" s="4" t="s">
        <v>158</v>
      </c>
      <c r="H2" s="4" t="s">
        <v>159</v>
      </c>
      <c r="I2" s="4" t="s">
        <v>153</v>
      </c>
      <c r="J2" s="4" t="s">
        <v>153</v>
      </c>
      <c r="K2" s="5"/>
      <c r="L2" s="4" t="s">
        <v>153</v>
      </c>
      <c r="M2" s="4" t="s">
        <v>153</v>
      </c>
      <c r="N2" s="4" t="s">
        <v>153</v>
      </c>
      <c r="O2" s="4" t="s">
        <v>153</v>
      </c>
      <c r="P2" s="4" t="s">
        <v>153</v>
      </c>
      <c r="Q2" s="4" t="s">
        <v>153</v>
      </c>
      <c r="R2" s="4" t="s">
        <v>153</v>
      </c>
      <c r="S2" s="4" t="s">
        <v>153</v>
      </c>
      <c r="T2" s="4" t="s">
        <v>153</v>
      </c>
      <c r="U2" s="4" t="s">
        <v>153</v>
      </c>
      <c r="V2" s="4" t="s">
        <v>153</v>
      </c>
      <c r="W2" s="4" t="s">
        <v>153</v>
      </c>
      <c r="X2" s="4" t="s">
        <v>153</v>
      </c>
      <c r="Y2" s="4" t="s">
        <v>153</v>
      </c>
      <c r="Z2" s="4" t="s">
        <v>153</v>
      </c>
      <c r="AA2" s="4" t="s">
        <v>153</v>
      </c>
      <c r="AB2" s="4" t="s">
        <v>153</v>
      </c>
      <c r="AC2" s="4" t="s">
        <v>153</v>
      </c>
      <c r="AD2" s="4" t="s">
        <v>153</v>
      </c>
      <c r="AE2" s="4" t="s">
        <v>153</v>
      </c>
      <c r="AF2" s="4" t="s">
        <v>153</v>
      </c>
      <c r="AG2" s="4" t="s">
        <v>153</v>
      </c>
      <c r="AH2" s="4" t="s">
        <v>153</v>
      </c>
      <c r="AI2" s="5"/>
      <c r="AJ2" t="s">
        <v>153</v>
      </c>
      <c r="AK2" s="4"/>
      <c r="AL2" t="s">
        <v>153</v>
      </c>
      <c r="AM2" t="s">
        <v>153</v>
      </c>
      <c r="AO2" t="s">
        <v>153</v>
      </c>
      <c r="AP2" s="4"/>
      <c r="AQ2" t="s">
        <v>153</v>
      </c>
      <c r="AR2" s="5"/>
      <c r="AT2" s="4" t="s">
        <v>153</v>
      </c>
      <c r="AU2" s="4" t="s">
        <v>153</v>
      </c>
      <c r="AV2" s="4" t="s">
        <v>153</v>
      </c>
      <c r="AW2" t="s">
        <v>153</v>
      </c>
      <c r="AX2" t="s">
        <v>153</v>
      </c>
      <c r="AY2" t="s">
        <v>153</v>
      </c>
      <c r="AZ2" t="s">
        <v>153</v>
      </c>
      <c r="BA2" t="s">
        <v>153</v>
      </c>
      <c r="BB2" t="s">
        <v>153</v>
      </c>
      <c r="BC2" t="s">
        <v>153</v>
      </c>
      <c r="BD2" s="4" t="s">
        <v>153</v>
      </c>
      <c r="BE2" s="4" t="s">
        <v>153</v>
      </c>
      <c r="BF2" t="s">
        <v>153</v>
      </c>
      <c r="BG2" s="4" t="s">
        <v>153</v>
      </c>
      <c r="BH2" t="s">
        <v>153</v>
      </c>
      <c r="BI2" s="4" t="s">
        <v>153</v>
      </c>
      <c r="BJ2" t="s">
        <v>153</v>
      </c>
      <c r="BK2" s="4" t="s">
        <v>153</v>
      </c>
      <c r="BL2" t="s">
        <v>153</v>
      </c>
      <c r="BM2" t="s">
        <v>153</v>
      </c>
      <c r="BN2" s="4" t="s">
        <v>153</v>
      </c>
      <c r="BO2" s="4" t="s">
        <v>153</v>
      </c>
      <c r="BP2" s="4" t="s">
        <v>153</v>
      </c>
      <c r="BQ2" s="4" t="s">
        <v>153</v>
      </c>
      <c r="BR2" s="4" t="s">
        <v>153</v>
      </c>
      <c r="BS2" s="4" t="s">
        <v>153</v>
      </c>
      <c r="BT2" s="4" t="s">
        <v>153</v>
      </c>
      <c r="BU2" s="4" t="s">
        <v>153</v>
      </c>
      <c r="BV2" s="4"/>
      <c r="BW2" s="4" t="s">
        <v>153</v>
      </c>
      <c r="BX2" s="4" t="s">
        <v>153</v>
      </c>
      <c r="BY2" s="4" t="s">
        <v>153</v>
      </c>
      <c r="BZ2" s="4" t="s">
        <v>153</v>
      </c>
      <c r="CA2" s="4" t="s">
        <v>153</v>
      </c>
      <c r="CB2" s="4"/>
      <c r="CC2" s="4" t="s">
        <v>153</v>
      </c>
      <c r="CD2" t="s">
        <v>153</v>
      </c>
      <c r="CE2" s="4" t="s">
        <v>153</v>
      </c>
      <c r="CF2" s="4" t="s">
        <v>153</v>
      </c>
      <c r="CG2" s="4" t="s">
        <v>153</v>
      </c>
      <c r="CH2" s="5"/>
      <c r="CI2" t="s">
        <v>153</v>
      </c>
      <c r="CJ2" s="4"/>
      <c r="CK2" t="s">
        <v>153</v>
      </c>
      <c r="CL2" t="s">
        <v>153</v>
      </c>
      <c r="CM2" t="s">
        <v>153</v>
      </c>
      <c r="CN2" t="s">
        <v>160</v>
      </c>
      <c r="CO2" s="5">
        <v>44540</v>
      </c>
      <c r="CP2" s="4" t="s">
        <v>161</v>
      </c>
      <c r="CQ2" s="4" t="s">
        <v>162</v>
      </c>
      <c r="CR2" t="s">
        <v>163</v>
      </c>
      <c r="CS2" t="s">
        <v>164</v>
      </c>
      <c r="CT2" t="s">
        <v>153</v>
      </c>
      <c r="CU2" t="s">
        <v>153</v>
      </c>
      <c r="CV2" t="s">
        <v>153</v>
      </c>
      <c r="CW2" t="s">
        <v>153</v>
      </c>
      <c r="CX2" t="s">
        <v>153</v>
      </c>
      <c r="CY2" t="s">
        <v>153</v>
      </c>
      <c r="CZ2" t="s">
        <v>153</v>
      </c>
      <c r="DA2" t="s">
        <v>153</v>
      </c>
      <c r="DB2" t="s">
        <v>153</v>
      </c>
      <c r="DC2" t="s">
        <v>153</v>
      </c>
      <c r="DD2" t="s">
        <v>165</v>
      </c>
      <c r="DE2" t="s">
        <v>153</v>
      </c>
      <c r="DF2" t="s">
        <v>166</v>
      </c>
      <c r="DG2" t="s">
        <v>167</v>
      </c>
      <c r="DH2">
        <v>98274</v>
      </c>
      <c r="DI2" t="s">
        <v>168</v>
      </c>
      <c r="DJ2" t="s">
        <v>153</v>
      </c>
      <c r="DK2" t="s">
        <v>166</v>
      </c>
      <c r="DL2" t="s">
        <v>167</v>
      </c>
      <c r="DM2">
        <v>98273</v>
      </c>
      <c r="DN2" t="s">
        <v>169</v>
      </c>
      <c r="DO2" t="s">
        <v>170</v>
      </c>
      <c r="DP2" t="s">
        <v>171</v>
      </c>
      <c r="DQ2" t="s">
        <v>172</v>
      </c>
      <c r="DR2" t="s">
        <v>173</v>
      </c>
      <c r="DS2" t="s">
        <v>174</v>
      </c>
      <c r="DT2" t="s">
        <v>153</v>
      </c>
      <c r="DU2" t="s">
        <v>175</v>
      </c>
      <c r="DV2" t="s">
        <v>153</v>
      </c>
      <c r="DW2" t="s">
        <v>153</v>
      </c>
      <c r="DX2" s="2"/>
      <c r="DY2" t="s">
        <v>153</v>
      </c>
      <c r="DZ2" t="s">
        <v>153</v>
      </c>
      <c r="EA2" t="s">
        <v>153</v>
      </c>
      <c r="EB2" t="s">
        <v>153</v>
      </c>
      <c r="EC2" t="s">
        <v>153</v>
      </c>
      <c r="ED2" t="s">
        <v>153</v>
      </c>
      <c r="EE2" t="s">
        <v>153</v>
      </c>
      <c r="EF2" t="s">
        <v>153</v>
      </c>
      <c r="EH2" t="s">
        <v>153</v>
      </c>
      <c r="EI2" t="s">
        <v>153</v>
      </c>
      <c r="EJ2" t="s">
        <v>153</v>
      </c>
      <c r="EK2" t="s">
        <v>153</v>
      </c>
      <c r="EM2" t="s">
        <v>153</v>
      </c>
      <c r="EN2" t="s">
        <v>153</v>
      </c>
      <c r="EP2" s="4" t="s">
        <v>153</v>
      </c>
      <c r="EQ2" s="4" t="s">
        <v>153</v>
      </c>
      <c r="ER2" s="4" t="s">
        <v>176</v>
      </c>
      <c r="ES2" s="4" t="s">
        <v>153</v>
      </c>
      <c r="ET2" t="s">
        <v>177</v>
      </c>
      <c r="EU2" t="s">
        <v>178</v>
      </c>
      <c r="EV2" t="s">
        <v>179</v>
      </c>
      <c r="EW2">
        <v>1005244524</v>
      </c>
      <c r="EX2" t="s">
        <v>180</v>
      </c>
    </row>
    <row r="3" spans="1:154" x14ac:dyDescent="0.25">
      <c r="A3" s="3">
        <v>44825.410451388889</v>
      </c>
      <c r="B3" s="4" t="s">
        <v>153</v>
      </c>
      <c r="C3" s="4" t="s">
        <v>181</v>
      </c>
      <c r="D3" s="4" t="s">
        <v>182</v>
      </c>
      <c r="E3" s="4" t="s">
        <v>183</v>
      </c>
      <c r="F3" s="4" t="s">
        <v>184</v>
      </c>
      <c r="G3" s="4" t="s">
        <v>185</v>
      </c>
      <c r="H3" s="4" t="s">
        <v>186</v>
      </c>
      <c r="I3" s="4" t="s">
        <v>153</v>
      </c>
      <c r="J3" s="4" t="s">
        <v>153</v>
      </c>
      <c r="K3" s="5"/>
      <c r="L3" s="4" t="s">
        <v>153</v>
      </c>
      <c r="M3" s="4" t="s">
        <v>187</v>
      </c>
      <c r="N3" s="4" t="s">
        <v>153</v>
      </c>
      <c r="O3" s="4" t="s">
        <v>188</v>
      </c>
      <c r="P3" s="4" t="s">
        <v>189</v>
      </c>
      <c r="Q3" s="4" t="s">
        <v>190</v>
      </c>
      <c r="R3" s="4" t="s">
        <v>191</v>
      </c>
      <c r="S3" s="4" t="s">
        <v>192</v>
      </c>
      <c r="T3" s="4" t="s">
        <v>153</v>
      </c>
      <c r="U3" s="4" t="s">
        <v>193</v>
      </c>
      <c r="V3" s="4" t="s">
        <v>153</v>
      </c>
      <c r="W3" s="4" t="s">
        <v>194</v>
      </c>
      <c r="X3" s="4" t="s">
        <v>195</v>
      </c>
      <c r="Y3" s="4" t="s">
        <v>196</v>
      </c>
      <c r="Z3" s="4" t="s">
        <v>197</v>
      </c>
      <c r="AA3" s="4" t="s">
        <v>198</v>
      </c>
      <c r="AB3" s="4" t="s">
        <v>153</v>
      </c>
      <c r="AC3" s="4" t="s">
        <v>199</v>
      </c>
      <c r="AD3" s="4" t="s">
        <v>195</v>
      </c>
      <c r="AE3" s="4" t="s">
        <v>200</v>
      </c>
      <c r="AF3" s="4" t="s">
        <v>201</v>
      </c>
      <c r="AG3" s="4" t="s">
        <v>202</v>
      </c>
      <c r="AH3" s="4" t="s">
        <v>203</v>
      </c>
      <c r="AI3" s="5">
        <v>44010</v>
      </c>
      <c r="AJ3" t="s">
        <v>204</v>
      </c>
      <c r="AK3" s="4">
        <v>3</v>
      </c>
      <c r="AL3" t="s">
        <v>153</v>
      </c>
      <c r="AM3" t="s">
        <v>153</v>
      </c>
      <c r="AO3" t="s">
        <v>153</v>
      </c>
      <c r="AP3" s="4"/>
      <c r="AQ3" t="s">
        <v>153</v>
      </c>
      <c r="AR3" s="5"/>
      <c r="AT3" s="4" t="s">
        <v>153</v>
      </c>
      <c r="AU3" s="4" t="s">
        <v>153</v>
      </c>
      <c r="AV3" s="4" t="s">
        <v>153</v>
      </c>
      <c r="AW3" t="s">
        <v>153</v>
      </c>
      <c r="AX3" t="s">
        <v>153</v>
      </c>
      <c r="AY3" t="s">
        <v>153</v>
      </c>
      <c r="AZ3" t="s">
        <v>153</v>
      </c>
      <c r="BA3" t="s">
        <v>153</v>
      </c>
      <c r="BB3" t="s">
        <v>153</v>
      </c>
      <c r="BC3" t="s">
        <v>153</v>
      </c>
      <c r="BD3" s="4" t="s">
        <v>153</v>
      </c>
      <c r="BE3" s="4" t="s">
        <v>153</v>
      </c>
      <c r="BF3" t="s">
        <v>153</v>
      </c>
      <c r="BG3" s="4" t="s">
        <v>153</v>
      </c>
      <c r="BH3" t="s">
        <v>153</v>
      </c>
      <c r="BI3" s="4" t="s">
        <v>153</v>
      </c>
      <c r="BJ3" t="s">
        <v>153</v>
      </c>
      <c r="BK3" s="4" t="s">
        <v>153</v>
      </c>
      <c r="BL3" t="s">
        <v>153</v>
      </c>
      <c r="BM3" t="s">
        <v>153</v>
      </c>
      <c r="BN3" s="4" t="s">
        <v>153</v>
      </c>
      <c r="BO3" s="4" t="s">
        <v>153</v>
      </c>
      <c r="BP3" s="4" t="s">
        <v>153</v>
      </c>
      <c r="BQ3" s="4" t="s">
        <v>153</v>
      </c>
      <c r="BR3" s="4" t="s">
        <v>153</v>
      </c>
      <c r="BS3" s="4" t="s">
        <v>153</v>
      </c>
      <c r="BT3" s="4" t="s">
        <v>153</v>
      </c>
      <c r="BU3" s="4" t="s">
        <v>153</v>
      </c>
      <c r="BV3" s="4"/>
      <c r="BW3" s="4" t="s">
        <v>153</v>
      </c>
      <c r="BX3" s="4" t="s">
        <v>153</v>
      </c>
      <c r="BY3" s="4" t="s">
        <v>153</v>
      </c>
      <c r="BZ3" s="4" t="s">
        <v>153</v>
      </c>
      <c r="CA3" s="4" t="s">
        <v>153</v>
      </c>
      <c r="CB3" s="4"/>
      <c r="CC3" s="4" t="s">
        <v>153</v>
      </c>
      <c r="CD3" t="s">
        <v>153</v>
      </c>
      <c r="CE3" s="4" t="s">
        <v>153</v>
      </c>
      <c r="CF3" s="4" t="s">
        <v>153</v>
      </c>
      <c r="CG3" s="4" t="s">
        <v>153</v>
      </c>
      <c r="CH3" s="5"/>
      <c r="CI3" t="s">
        <v>153</v>
      </c>
      <c r="CJ3" s="4"/>
      <c r="CK3" t="s">
        <v>153</v>
      </c>
      <c r="CL3" t="s">
        <v>153</v>
      </c>
      <c r="CM3" t="s">
        <v>153</v>
      </c>
      <c r="CN3" t="s">
        <v>153</v>
      </c>
      <c r="CO3" s="5"/>
      <c r="CP3" s="4" t="s">
        <v>153</v>
      </c>
      <c r="CQ3" s="4" t="s">
        <v>153</v>
      </c>
      <c r="CR3" t="s">
        <v>153</v>
      </c>
      <c r="CS3" t="s">
        <v>153</v>
      </c>
      <c r="CT3" t="s">
        <v>153</v>
      </c>
      <c r="CU3" t="s">
        <v>153</v>
      </c>
      <c r="CV3" t="s">
        <v>153</v>
      </c>
      <c r="CW3" t="s">
        <v>153</v>
      </c>
      <c r="CX3" t="s">
        <v>153</v>
      </c>
      <c r="CY3" t="s">
        <v>153</v>
      </c>
      <c r="CZ3" t="s">
        <v>153</v>
      </c>
      <c r="DA3" t="s">
        <v>153</v>
      </c>
      <c r="DB3" t="s">
        <v>153</v>
      </c>
      <c r="DC3" t="s">
        <v>153</v>
      </c>
      <c r="DD3" t="s">
        <v>153</v>
      </c>
      <c r="DE3" t="s">
        <v>153</v>
      </c>
      <c r="DF3" t="s">
        <v>153</v>
      </c>
      <c r="DG3" t="s">
        <v>153</v>
      </c>
      <c r="DI3" t="s">
        <v>153</v>
      </c>
      <c r="DJ3" t="s">
        <v>153</v>
      </c>
      <c r="DK3" t="s">
        <v>153</v>
      </c>
      <c r="DL3" t="s">
        <v>153</v>
      </c>
      <c r="DN3" t="s">
        <v>153</v>
      </c>
      <c r="DO3" t="s">
        <v>153</v>
      </c>
      <c r="DP3" t="s">
        <v>153</v>
      </c>
      <c r="DQ3" t="s">
        <v>153</v>
      </c>
      <c r="DR3" t="s">
        <v>153</v>
      </c>
      <c r="DS3" t="s">
        <v>153</v>
      </c>
      <c r="DT3" t="s">
        <v>153</v>
      </c>
      <c r="DU3" t="s">
        <v>153</v>
      </c>
      <c r="DV3" t="s">
        <v>153</v>
      </c>
      <c r="DW3" t="s">
        <v>153</v>
      </c>
      <c r="DX3" s="2"/>
      <c r="DY3" t="s">
        <v>153</v>
      </c>
      <c r="DZ3" t="s">
        <v>153</v>
      </c>
      <c r="EA3" t="s">
        <v>153</v>
      </c>
      <c r="EB3" t="s">
        <v>153</v>
      </c>
      <c r="EC3" t="s">
        <v>153</v>
      </c>
      <c r="ED3" t="s">
        <v>153</v>
      </c>
      <c r="EE3" t="s">
        <v>153</v>
      </c>
      <c r="EF3" t="s">
        <v>153</v>
      </c>
      <c r="EH3" t="s">
        <v>153</v>
      </c>
      <c r="EI3" t="s">
        <v>153</v>
      </c>
      <c r="EJ3" t="s">
        <v>153</v>
      </c>
      <c r="EK3" t="s">
        <v>153</v>
      </c>
      <c r="EM3" t="s">
        <v>153</v>
      </c>
      <c r="EN3" t="s">
        <v>153</v>
      </c>
      <c r="EP3" s="4" t="s">
        <v>205</v>
      </c>
      <c r="EQ3" s="4" t="s">
        <v>153</v>
      </c>
      <c r="ER3" s="4" t="s">
        <v>191</v>
      </c>
      <c r="ES3" s="4" t="s">
        <v>153</v>
      </c>
      <c r="ET3" t="s">
        <v>206</v>
      </c>
      <c r="EU3" t="s">
        <v>207</v>
      </c>
      <c r="EV3" t="s">
        <v>208</v>
      </c>
      <c r="EW3">
        <v>1012280655</v>
      </c>
      <c r="EX3" t="s">
        <v>209</v>
      </c>
    </row>
    <row r="4" spans="1:154" x14ac:dyDescent="0.25">
      <c r="A4" s="3">
        <v>44825.427430555559</v>
      </c>
      <c r="B4" s="4" t="s">
        <v>153</v>
      </c>
      <c r="C4" s="4" t="s">
        <v>181</v>
      </c>
      <c r="D4" s="4" t="s">
        <v>182</v>
      </c>
      <c r="E4" s="4" t="s">
        <v>183</v>
      </c>
      <c r="F4" s="4" t="s">
        <v>184</v>
      </c>
      <c r="G4" s="4" t="s">
        <v>185</v>
      </c>
      <c r="H4" s="4" t="s">
        <v>186</v>
      </c>
      <c r="I4" s="4" t="s">
        <v>153</v>
      </c>
      <c r="J4" s="4" t="s">
        <v>153</v>
      </c>
      <c r="K4" s="5"/>
      <c r="L4" s="4" t="s">
        <v>153</v>
      </c>
      <c r="M4" s="4" t="s">
        <v>210</v>
      </c>
      <c r="N4" s="4" t="s">
        <v>153</v>
      </c>
      <c r="O4" s="4" t="s">
        <v>211</v>
      </c>
      <c r="P4" s="4" t="s">
        <v>212</v>
      </c>
      <c r="Q4" s="4" t="s">
        <v>190</v>
      </c>
      <c r="R4" s="4" t="s">
        <v>191</v>
      </c>
      <c r="S4" s="4" t="s">
        <v>213</v>
      </c>
      <c r="T4" s="4" t="s">
        <v>153</v>
      </c>
      <c r="U4" s="4" t="s">
        <v>214</v>
      </c>
      <c r="V4" s="4" t="s">
        <v>153</v>
      </c>
      <c r="W4" s="4" t="s">
        <v>215</v>
      </c>
      <c r="X4" s="4" t="s">
        <v>195</v>
      </c>
      <c r="Y4" s="4" t="s">
        <v>216</v>
      </c>
      <c r="Z4" s="4" t="s">
        <v>197</v>
      </c>
      <c r="AA4" s="4" t="s">
        <v>217</v>
      </c>
      <c r="AB4" s="4" t="s">
        <v>153</v>
      </c>
      <c r="AC4" s="4" t="s">
        <v>215</v>
      </c>
      <c r="AD4" s="4" t="s">
        <v>195</v>
      </c>
      <c r="AE4" s="4" t="s">
        <v>218</v>
      </c>
      <c r="AF4" s="4" t="s">
        <v>219</v>
      </c>
      <c r="AG4" s="4" t="s">
        <v>220</v>
      </c>
      <c r="AH4" s="4" t="s">
        <v>203</v>
      </c>
      <c r="AI4" s="5">
        <v>44010</v>
      </c>
      <c r="AJ4" t="s">
        <v>204</v>
      </c>
      <c r="AK4" s="4">
        <v>3</v>
      </c>
      <c r="AL4" t="s">
        <v>153</v>
      </c>
      <c r="AM4" t="s">
        <v>153</v>
      </c>
      <c r="AO4" t="s">
        <v>153</v>
      </c>
      <c r="AP4" s="4"/>
      <c r="AQ4" t="s">
        <v>153</v>
      </c>
      <c r="AR4" s="5"/>
      <c r="AT4" s="4" t="s">
        <v>153</v>
      </c>
      <c r="AU4" s="4" t="s">
        <v>153</v>
      </c>
      <c r="AV4" s="4" t="s">
        <v>153</v>
      </c>
      <c r="AW4" t="s">
        <v>153</v>
      </c>
      <c r="AX4" t="s">
        <v>153</v>
      </c>
      <c r="AY4" t="s">
        <v>153</v>
      </c>
      <c r="AZ4" t="s">
        <v>153</v>
      </c>
      <c r="BA4" t="s">
        <v>153</v>
      </c>
      <c r="BB4" t="s">
        <v>153</v>
      </c>
      <c r="BC4" t="s">
        <v>153</v>
      </c>
      <c r="BD4" s="4" t="s">
        <v>153</v>
      </c>
      <c r="BE4" s="4" t="s">
        <v>153</v>
      </c>
      <c r="BF4" t="s">
        <v>153</v>
      </c>
      <c r="BG4" s="4" t="s">
        <v>153</v>
      </c>
      <c r="BH4" t="s">
        <v>153</v>
      </c>
      <c r="BI4" s="4" t="s">
        <v>153</v>
      </c>
      <c r="BJ4" t="s">
        <v>153</v>
      </c>
      <c r="BK4" s="4" t="s">
        <v>153</v>
      </c>
      <c r="BL4" t="s">
        <v>153</v>
      </c>
      <c r="BM4" t="s">
        <v>153</v>
      </c>
      <c r="BN4" s="4" t="s">
        <v>153</v>
      </c>
      <c r="BO4" s="4" t="s">
        <v>153</v>
      </c>
      <c r="BP4" s="4" t="s">
        <v>153</v>
      </c>
      <c r="BQ4" s="4" t="s">
        <v>153</v>
      </c>
      <c r="BR4" s="4" t="s">
        <v>153</v>
      </c>
      <c r="BS4" s="4" t="s">
        <v>153</v>
      </c>
      <c r="BT4" s="4" t="s">
        <v>153</v>
      </c>
      <c r="BU4" s="4" t="s">
        <v>153</v>
      </c>
      <c r="BV4" s="4"/>
      <c r="BW4" s="4" t="s">
        <v>153</v>
      </c>
      <c r="BX4" s="4" t="s">
        <v>153</v>
      </c>
      <c r="BY4" s="4" t="s">
        <v>153</v>
      </c>
      <c r="BZ4" s="4" t="s">
        <v>153</v>
      </c>
      <c r="CA4" s="4" t="s">
        <v>153</v>
      </c>
      <c r="CB4" s="4"/>
      <c r="CC4" s="4" t="s">
        <v>153</v>
      </c>
      <c r="CD4" t="s">
        <v>153</v>
      </c>
      <c r="CE4" s="4" t="s">
        <v>153</v>
      </c>
      <c r="CF4" s="4" t="s">
        <v>153</v>
      </c>
      <c r="CG4" s="4" t="s">
        <v>153</v>
      </c>
      <c r="CH4" s="5"/>
      <c r="CI4" t="s">
        <v>153</v>
      </c>
      <c r="CJ4" s="4"/>
      <c r="CK4" t="s">
        <v>153</v>
      </c>
      <c r="CL4" t="s">
        <v>153</v>
      </c>
      <c r="CM4" t="s">
        <v>153</v>
      </c>
      <c r="CN4" t="s">
        <v>153</v>
      </c>
      <c r="CO4" s="5"/>
      <c r="CP4" s="4" t="s">
        <v>153</v>
      </c>
      <c r="CQ4" s="4" t="s">
        <v>153</v>
      </c>
      <c r="CR4" t="s">
        <v>153</v>
      </c>
      <c r="CS4" t="s">
        <v>153</v>
      </c>
      <c r="CT4" t="s">
        <v>153</v>
      </c>
      <c r="CU4" t="s">
        <v>153</v>
      </c>
      <c r="CV4" t="s">
        <v>153</v>
      </c>
      <c r="CW4" t="s">
        <v>153</v>
      </c>
      <c r="CX4" t="s">
        <v>153</v>
      </c>
      <c r="CY4" t="s">
        <v>153</v>
      </c>
      <c r="CZ4" t="s">
        <v>153</v>
      </c>
      <c r="DA4" t="s">
        <v>153</v>
      </c>
      <c r="DB4" t="s">
        <v>153</v>
      </c>
      <c r="DC4" t="s">
        <v>153</v>
      </c>
      <c r="DD4" t="s">
        <v>153</v>
      </c>
      <c r="DE4" t="s">
        <v>153</v>
      </c>
      <c r="DF4" t="s">
        <v>153</v>
      </c>
      <c r="DG4" t="s">
        <v>153</v>
      </c>
      <c r="DI4" t="s">
        <v>153</v>
      </c>
      <c r="DJ4" t="s">
        <v>153</v>
      </c>
      <c r="DK4" t="s">
        <v>153</v>
      </c>
      <c r="DL4" t="s">
        <v>153</v>
      </c>
      <c r="DN4" t="s">
        <v>153</v>
      </c>
      <c r="DO4" t="s">
        <v>153</v>
      </c>
      <c r="DP4" t="s">
        <v>153</v>
      </c>
      <c r="DQ4" t="s">
        <v>153</v>
      </c>
      <c r="DR4" t="s">
        <v>153</v>
      </c>
      <c r="DS4" t="s">
        <v>153</v>
      </c>
      <c r="DT4" t="s">
        <v>153</v>
      </c>
      <c r="DU4" t="s">
        <v>153</v>
      </c>
      <c r="DV4" t="s">
        <v>153</v>
      </c>
      <c r="DW4" t="s">
        <v>153</v>
      </c>
      <c r="DX4" s="2"/>
      <c r="DY4" t="s">
        <v>153</v>
      </c>
      <c r="DZ4" t="s">
        <v>153</v>
      </c>
      <c r="EA4" t="s">
        <v>153</v>
      </c>
      <c r="EB4" t="s">
        <v>153</v>
      </c>
      <c r="EC4" t="s">
        <v>153</v>
      </c>
      <c r="ED4" t="s">
        <v>153</v>
      </c>
      <c r="EE4" t="s">
        <v>153</v>
      </c>
      <c r="EF4" t="s">
        <v>153</v>
      </c>
      <c r="EH4" t="s">
        <v>153</v>
      </c>
      <c r="EI4" t="s">
        <v>153</v>
      </c>
      <c r="EJ4" t="s">
        <v>153</v>
      </c>
      <c r="EK4" t="s">
        <v>153</v>
      </c>
      <c r="EM4" t="s">
        <v>153</v>
      </c>
      <c r="EN4" t="s">
        <v>153</v>
      </c>
      <c r="EP4" s="4" t="s">
        <v>205</v>
      </c>
      <c r="EQ4" s="4" t="s">
        <v>153</v>
      </c>
      <c r="ER4" s="4" t="s">
        <v>191</v>
      </c>
      <c r="ES4" s="4" t="s">
        <v>153</v>
      </c>
      <c r="ET4" t="s">
        <v>221</v>
      </c>
      <c r="EU4" t="s">
        <v>207</v>
      </c>
      <c r="EV4" t="s">
        <v>208</v>
      </c>
      <c r="EW4">
        <v>1012292289</v>
      </c>
      <c r="EX4" t="s">
        <v>209</v>
      </c>
    </row>
    <row r="5" spans="1:154" x14ac:dyDescent="0.25">
      <c r="A5" s="3">
        <v>44825.704675925925</v>
      </c>
      <c r="B5" s="4" t="s">
        <v>3</v>
      </c>
      <c r="C5" s="4" t="s">
        <v>222</v>
      </c>
      <c r="D5" s="4" t="s">
        <v>223</v>
      </c>
      <c r="E5" s="4" t="s">
        <v>224</v>
      </c>
      <c r="F5" s="4" t="s">
        <v>225</v>
      </c>
      <c r="G5" s="4" t="s">
        <v>185</v>
      </c>
      <c r="H5" s="4" t="s">
        <v>226</v>
      </c>
      <c r="I5" s="4" t="s">
        <v>153</v>
      </c>
      <c r="J5" s="4" t="s">
        <v>153</v>
      </c>
      <c r="K5" s="5"/>
      <c r="L5" s="4" t="s">
        <v>153</v>
      </c>
      <c r="M5" s="4" t="s">
        <v>227</v>
      </c>
      <c r="N5" s="4" t="s">
        <v>228</v>
      </c>
      <c r="O5" s="4" t="s">
        <v>229</v>
      </c>
      <c r="P5" s="4" t="s">
        <v>230</v>
      </c>
      <c r="Q5" s="4" t="s">
        <v>190</v>
      </c>
      <c r="R5" s="4" t="s">
        <v>191</v>
      </c>
      <c r="S5" s="4" t="s">
        <v>231</v>
      </c>
      <c r="T5" s="4" t="s">
        <v>232</v>
      </c>
      <c r="U5" s="4" t="s">
        <v>233</v>
      </c>
      <c r="V5" s="4" t="s">
        <v>153</v>
      </c>
      <c r="W5" s="4" t="s">
        <v>234</v>
      </c>
      <c r="X5" s="4" t="s">
        <v>235</v>
      </c>
      <c r="Y5" s="4" t="s">
        <v>236</v>
      </c>
      <c r="Z5" s="4" t="s">
        <v>237</v>
      </c>
      <c r="AA5" s="4" t="s">
        <v>233</v>
      </c>
      <c r="AB5" s="4" t="s">
        <v>153</v>
      </c>
      <c r="AC5" s="4" t="s">
        <v>234</v>
      </c>
      <c r="AD5" s="4" t="s">
        <v>235</v>
      </c>
      <c r="AE5" s="4" t="s">
        <v>236</v>
      </c>
      <c r="AF5" s="4" t="s">
        <v>238</v>
      </c>
      <c r="AG5" s="4" t="s">
        <v>239</v>
      </c>
      <c r="AH5" s="4" t="s">
        <v>153</v>
      </c>
      <c r="AI5" s="5">
        <v>44822</v>
      </c>
      <c r="AJ5" t="s">
        <v>240</v>
      </c>
      <c r="AK5" s="4">
        <v>1</v>
      </c>
      <c r="AL5" t="s">
        <v>241</v>
      </c>
      <c r="AM5" t="s">
        <v>153</v>
      </c>
      <c r="AO5" t="s">
        <v>153</v>
      </c>
      <c r="AP5" s="4"/>
      <c r="AQ5" t="s">
        <v>153</v>
      </c>
      <c r="AR5" s="5"/>
      <c r="AT5" s="4" t="s">
        <v>153</v>
      </c>
      <c r="AU5" s="4" t="s">
        <v>153</v>
      </c>
      <c r="AV5" s="4" t="s">
        <v>153</v>
      </c>
      <c r="AW5" t="s">
        <v>153</v>
      </c>
      <c r="AX5" t="s">
        <v>153</v>
      </c>
      <c r="AY5" t="s">
        <v>153</v>
      </c>
      <c r="AZ5" t="s">
        <v>153</v>
      </c>
      <c r="BA5" t="s">
        <v>153</v>
      </c>
      <c r="BB5" t="s">
        <v>153</v>
      </c>
      <c r="BC5" t="s">
        <v>153</v>
      </c>
      <c r="BD5" s="4" t="s">
        <v>153</v>
      </c>
      <c r="BE5" s="4" t="s">
        <v>153</v>
      </c>
      <c r="BF5" t="s">
        <v>153</v>
      </c>
      <c r="BG5" s="4" t="s">
        <v>153</v>
      </c>
      <c r="BH5" t="s">
        <v>153</v>
      </c>
      <c r="BI5" s="4" t="s">
        <v>153</v>
      </c>
      <c r="BJ5" t="s">
        <v>153</v>
      </c>
      <c r="BK5" s="4" t="s">
        <v>153</v>
      </c>
      <c r="BL5" t="s">
        <v>153</v>
      </c>
      <c r="BM5" t="s">
        <v>153</v>
      </c>
      <c r="BN5" s="4" t="s">
        <v>153</v>
      </c>
      <c r="BO5" s="4" t="s">
        <v>153</v>
      </c>
      <c r="BP5" s="4" t="s">
        <v>153</v>
      </c>
      <c r="BQ5" s="4" t="s">
        <v>153</v>
      </c>
      <c r="BR5" s="4" t="s">
        <v>153</v>
      </c>
      <c r="BS5" s="4" t="s">
        <v>153</v>
      </c>
      <c r="BT5" s="4" t="s">
        <v>153</v>
      </c>
      <c r="BU5" s="4" t="s">
        <v>153</v>
      </c>
      <c r="BV5" s="4"/>
      <c r="BW5" s="4" t="s">
        <v>153</v>
      </c>
      <c r="BX5" s="4" t="s">
        <v>153</v>
      </c>
      <c r="BY5" s="4" t="s">
        <v>153</v>
      </c>
      <c r="BZ5" s="4" t="s">
        <v>153</v>
      </c>
      <c r="CA5" s="4" t="s">
        <v>153</v>
      </c>
      <c r="CB5" s="4"/>
      <c r="CC5" s="4" t="s">
        <v>153</v>
      </c>
      <c r="CD5" t="s">
        <v>153</v>
      </c>
      <c r="CE5" s="4" t="s">
        <v>153</v>
      </c>
      <c r="CF5" s="4" t="s">
        <v>153</v>
      </c>
      <c r="CG5" s="4" t="s">
        <v>153</v>
      </c>
      <c r="CH5" s="5"/>
      <c r="CI5" t="s">
        <v>153</v>
      </c>
      <c r="CJ5" s="4"/>
      <c r="CK5" t="s">
        <v>153</v>
      </c>
      <c r="CL5" t="s">
        <v>153</v>
      </c>
      <c r="CM5" t="s">
        <v>153</v>
      </c>
      <c r="CN5" t="s">
        <v>153</v>
      </c>
      <c r="CO5" s="5"/>
      <c r="CP5" s="4" t="s">
        <v>153</v>
      </c>
      <c r="CQ5" s="4" t="s">
        <v>153</v>
      </c>
      <c r="CR5" t="s">
        <v>153</v>
      </c>
      <c r="CS5" t="s">
        <v>153</v>
      </c>
      <c r="CT5" t="s">
        <v>153</v>
      </c>
      <c r="CU5" t="s">
        <v>153</v>
      </c>
      <c r="CV5" t="s">
        <v>153</v>
      </c>
      <c r="CW5" t="s">
        <v>153</v>
      </c>
      <c r="CX5" t="s">
        <v>153</v>
      </c>
      <c r="CY5" t="s">
        <v>153</v>
      </c>
      <c r="CZ5" t="s">
        <v>153</v>
      </c>
      <c r="DA5" t="s">
        <v>153</v>
      </c>
      <c r="DB5" t="s">
        <v>153</v>
      </c>
      <c r="DC5" t="s">
        <v>153</v>
      </c>
      <c r="DD5" t="s">
        <v>153</v>
      </c>
      <c r="DE5" t="s">
        <v>153</v>
      </c>
      <c r="DF5" t="s">
        <v>153</v>
      </c>
      <c r="DG5" t="s">
        <v>153</v>
      </c>
      <c r="DI5" t="s">
        <v>153</v>
      </c>
      <c r="DJ5" t="s">
        <v>153</v>
      </c>
      <c r="DK5" t="s">
        <v>153</v>
      </c>
      <c r="DL5" t="s">
        <v>153</v>
      </c>
      <c r="DN5" t="s">
        <v>153</v>
      </c>
      <c r="DO5" t="s">
        <v>153</v>
      </c>
      <c r="DP5" t="s">
        <v>153</v>
      </c>
      <c r="DQ5" t="s">
        <v>153</v>
      </c>
      <c r="DR5" t="s">
        <v>153</v>
      </c>
      <c r="DS5" t="s">
        <v>153</v>
      </c>
      <c r="DT5" t="s">
        <v>153</v>
      </c>
      <c r="DU5" t="s">
        <v>153</v>
      </c>
      <c r="DV5" t="s">
        <v>153</v>
      </c>
      <c r="DW5" t="s">
        <v>153</v>
      </c>
      <c r="DX5" s="2"/>
      <c r="DY5" t="s">
        <v>153</v>
      </c>
      <c r="DZ5" t="s">
        <v>153</v>
      </c>
      <c r="EA5" t="s">
        <v>153</v>
      </c>
      <c r="EB5" t="s">
        <v>153</v>
      </c>
      <c r="EC5" t="s">
        <v>153</v>
      </c>
      <c r="ED5" t="s">
        <v>153</v>
      </c>
      <c r="EE5" t="s">
        <v>153</v>
      </c>
      <c r="EF5" t="s">
        <v>153</v>
      </c>
      <c r="EH5" t="s">
        <v>153</v>
      </c>
      <c r="EI5" t="s">
        <v>153</v>
      </c>
      <c r="EJ5" t="s">
        <v>153</v>
      </c>
      <c r="EK5" t="s">
        <v>153</v>
      </c>
      <c r="EM5" t="s">
        <v>153</v>
      </c>
      <c r="EN5" t="s">
        <v>153</v>
      </c>
      <c r="EP5" s="4" t="s">
        <v>242</v>
      </c>
      <c r="EQ5" s="4" t="s">
        <v>153</v>
      </c>
      <c r="ER5" s="4" t="s">
        <v>243</v>
      </c>
      <c r="ES5" s="4" t="s">
        <v>244</v>
      </c>
      <c r="ET5" t="s">
        <v>153</v>
      </c>
      <c r="EU5" t="s">
        <v>245</v>
      </c>
      <c r="EV5" t="s">
        <v>246</v>
      </c>
      <c r="EW5">
        <v>1012490510</v>
      </c>
      <c r="EX5" t="s">
        <v>247</v>
      </c>
    </row>
    <row r="6" spans="1:154" x14ac:dyDescent="0.25">
      <c r="A6" s="3">
        <v>44841.695520833331</v>
      </c>
      <c r="B6" s="4" t="s">
        <v>153</v>
      </c>
      <c r="C6" s="4" t="s">
        <v>248</v>
      </c>
      <c r="D6" s="4" t="s">
        <v>249</v>
      </c>
      <c r="E6" s="4" t="s">
        <v>250</v>
      </c>
      <c r="F6" s="4" t="s">
        <v>251</v>
      </c>
      <c r="G6" s="4" t="s">
        <v>252</v>
      </c>
      <c r="H6" s="4" t="s">
        <v>253</v>
      </c>
      <c r="I6" s="4" t="s">
        <v>153</v>
      </c>
      <c r="J6" s="4" t="s">
        <v>153</v>
      </c>
      <c r="K6" s="5"/>
      <c r="L6" s="4" t="s">
        <v>153</v>
      </c>
      <c r="M6" s="4" t="s">
        <v>153</v>
      </c>
      <c r="N6" s="4" t="s">
        <v>153</v>
      </c>
      <c r="O6" s="4" t="s">
        <v>153</v>
      </c>
      <c r="P6" s="4" t="s">
        <v>153</v>
      </c>
      <c r="Q6" s="4" t="s">
        <v>153</v>
      </c>
      <c r="R6" s="4" t="s">
        <v>153</v>
      </c>
      <c r="S6" s="4" t="s">
        <v>153</v>
      </c>
      <c r="T6" s="4" t="s">
        <v>153</v>
      </c>
      <c r="U6" s="4" t="s">
        <v>153</v>
      </c>
      <c r="V6" s="4" t="s">
        <v>153</v>
      </c>
      <c r="W6" s="4" t="s">
        <v>153</v>
      </c>
      <c r="X6" s="4" t="s">
        <v>153</v>
      </c>
      <c r="Y6" s="4" t="s">
        <v>153</v>
      </c>
      <c r="Z6" s="4" t="s">
        <v>153</v>
      </c>
      <c r="AA6" s="4" t="s">
        <v>153</v>
      </c>
      <c r="AB6" s="4" t="s">
        <v>153</v>
      </c>
      <c r="AC6" s="4" t="s">
        <v>153</v>
      </c>
      <c r="AD6" s="4" t="s">
        <v>153</v>
      </c>
      <c r="AE6" s="4" t="s">
        <v>153</v>
      </c>
      <c r="AF6" s="4" t="s">
        <v>153</v>
      </c>
      <c r="AG6" s="4" t="s">
        <v>153</v>
      </c>
      <c r="AH6" s="4" t="s">
        <v>153</v>
      </c>
      <c r="AI6" s="5"/>
      <c r="AJ6" t="s">
        <v>153</v>
      </c>
      <c r="AK6" s="4"/>
      <c r="AL6" t="s">
        <v>153</v>
      </c>
      <c r="AM6" t="s">
        <v>153</v>
      </c>
      <c r="AO6" t="s">
        <v>153</v>
      </c>
      <c r="AP6" s="4"/>
      <c r="AQ6" t="s">
        <v>153</v>
      </c>
      <c r="AR6" s="5">
        <v>44562</v>
      </c>
      <c r="AS6">
        <v>1</v>
      </c>
      <c r="AT6" s="4" t="s">
        <v>254</v>
      </c>
      <c r="AU6" s="4" t="s">
        <v>255</v>
      </c>
      <c r="AV6" s="4" t="s">
        <v>256</v>
      </c>
      <c r="AW6" t="s">
        <v>153</v>
      </c>
      <c r="AX6" t="s">
        <v>153</v>
      </c>
      <c r="AY6" t="s">
        <v>153</v>
      </c>
      <c r="AZ6" t="s">
        <v>257</v>
      </c>
      <c r="BA6" t="s">
        <v>153</v>
      </c>
      <c r="BB6" t="s">
        <v>153</v>
      </c>
      <c r="BC6" t="s">
        <v>153</v>
      </c>
      <c r="BD6" s="4" t="s">
        <v>258</v>
      </c>
      <c r="BE6" s="4" t="s">
        <v>259</v>
      </c>
      <c r="BF6" t="s">
        <v>243</v>
      </c>
      <c r="BG6" s="4" t="s">
        <v>153</v>
      </c>
      <c r="BH6" t="s">
        <v>153</v>
      </c>
      <c r="BI6" s="4" t="s">
        <v>153</v>
      </c>
      <c r="BJ6" t="s">
        <v>153</v>
      </c>
      <c r="BK6" s="4" t="s">
        <v>153</v>
      </c>
      <c r="BL6" t="s">
        <v>153</v>
      </c>
      <c r="BM6" t="s">
        <v>153</v>
      </c>
      <c r="BN6" s="4" t="s">
        <v>153</v>
      </c>
      <c r="BO6" s="4" t="s">
        <v>153</v>
      </c>
      <c r="BP6" s="4" t="s">
        <v>153</v>
      </c>
      <c r="BQ6" s="4" t="s">
        <v>153</v>
      </c>
      <c r="BR6" s="4" t="s">
        <v>153</v>
      </c>
      <c r="BS6" s="4" t="s">
        <v>153</v>
      </c>
      <c r="BT6" s="4" t="s">
        <v>153</v>
      </c>
      <c r="BU6" s="4" t="s">
        <v>153</v>
      </c>
      <c r="BV6" s="4"/>
      <c r="BW6" s="4" t="s">
        <v>153</v>
      </c>
      <c r="BX6" s="4" t="s">
        <v>153</v>
      </c>
      <c r="BY6" s="4" t="s">
        <v>153</v>
      </c>
      <c r="BZ6" s="4" t="s">
        <v>153</v>
      </c>
      <c r="CA6" s="4" t="s">
        <v>153</v>
      </c>
      <c r="CB6" s="4"/>
      <c r="CC6" s="4" t="s">
        <v>153</v>
      </c>
      <c r="CD6" t="s">
        <v>153</v>
      </c>
      <c r="CE6" s="4" t="s">
        <v>153</v>
      </c>
      <c r="CF6" s="4" t="s">
        <v>153</v>
      </c>
      <c r="CG6" s="4" t="s">
        <v>153</v>
      </c>
      <c r="CH6" s="5"/>
      <c r="CI6" t="s">
        <v>153</v>
      </c>
      <c r="CJ6" s="4"/>
      <c r="CK6" t="s">
        <v>153</v>
      </c>
      <c r="CL6" t="s">
        <v>153</v>
      </c>
      <c r="CM6" t="s">
        <v>153</v>
      </c>
      <c r="CN6" t="s">
        <v>153</v>
      </c>
      <c r="CO6" s="5"/>
      <c r="CP6" s="4" t="s">
        <v>153</v>
      </c>
      <c r="CQ6" s="4" t="s">
        <v>153</v>
      </c>
      <c r="CR6" t="s">
        <v>153</v>
      </c>
      <c r="CS6" t="s">
        <v>153</v>
      </c>
      <c r="CT6" t="s">
        <v>153</v>
      </c>
      <c r="CU6" t="s">
        <v>153</v>
      </c>
      <c r="CV6" t="s">
        <v>153</v>
      </c>
      <c r="CW6" t="s">
        <v>153</v>
      </c>
      <c r="CX6" t="s">
        <v>153</v>
      </c>
      <c r="CY6" t="s">
        <v>153</v>
      </c>
      <c r="CZ6" t="s">
        <v>153</v>
      </c>
      <c r="DA6" t="s">
        <v>153</v>
      </c>
      <c r="DB6" t="s">
        <v>153</v>
      </c>
      <c r="DC6" t="s">
        <v>153</v>
      </c>
      <c r="DD6" t="s">
        <v>153</v>
      </c>
      <c r="DE6" t="s">
        <v>153</v>
      </c>
      <c r="DF6" t="s">
        <v>153</v>
      </c>
      <c r="DG6" t="s">
        <v>153</v>
      </c>
      <c r="DI6" t="s">
        <v>153</v>
      </c>
      <c r="DJ6" t="s">
        <v>153</v>
      </c>
      <c r="DK6" t="s">
        <v>153</v>
      </c>
      <c r="DL6" t="s">
        <v>153</v>
      </c>
      <c r="DN6" t="s">
        <v>153</v>
      </c>
      <c r="DO6" t="s">
        <v>153</v>
      </c>
      <c r="DP6" t="s">
        <v>153</v>
      </c>
      <c r="DQ6" t="s">
        <v>153</v>
      </c>
      <c r="DR6" t="s">
        <v>153</v>
      </c>
      <c r="DS6" t="s">
        <v>153</v>
      </c>
      <c r="DT6" t="s">
        <v>153</v>
      </c>
      <c r="DU6" t="s">
        <v>153</v>
      </c>
      <c r="DV6" t="s">
        <v>153</v>
      </c>
      <c r="DW6" t="s">
        <v>153</v>
      </c>
      <c r="DX6" s="2"/>
      <c r="DY6" t="s">
        <v>153</v>
      </c>
      <c r="DZ6" t="s">
        <v>153</v>
      </c>
      <c r="EA6" t="s">
        <v>153</v>
      </c>
      <c r="EB6" t="s">
        <v>153</v>
      </c>
      <c r="EC6" t="s">
        <v>153</v>
      </c>
      <c r="ED6" t="s">
        <v>153</v>
      </c>
      <c r="EE6" t="s">
        <v>153</v>
      </c>
      <c r="EF6" t="s">
        <v>153</v>
      </c>
      <c r="EH6" t="s">
        <v>153</v>
      </c>
      <c r="EI6" t="s">
        <v>153</v>
      </c>
      <c r="EJ6" t="s">
        <v>153</v>
      </c>
      <c r="EK6" t="s">
        <v>153</v>
      </c>
      <c r="EM6" t="s">
        <v>153</v>
      </c>
      <c r="EN6" t="s">
        <v>153</v>
      </c>
      <c r="EP6" s="4" t="s">
        <v>153</v>
      </c>
      <c r="EQ6" s="4" t="s">
        <v>153</v>
      </c>
      <c r="ER6" s="4" t="s">
        <v>243</v>
      </c>
      <c r="ES6" s="4" t="s">
        <v>244</v>
      </c>
      <c r="ET6" t="s">
        <v>260</v>
      </c>
      <c r="EU6" t="s">
        <v>261</v>
      </c>
      <c r="EV6" t="s">
        <v>262</v>
      </c>
      <c r="EW6">
        <v>1019093019</v>
      </c>
      <c r="EX6" t="s">
        <v>263</v>
      </c>
    </row>
    <row r="7" spans="1:154" x14ac:dyDescent="0.25">
      <c r="A7" s="3">
        <v>44844.450532407405</v>
      </c>
      <c r="B7" s="4" t="s">
        <v>153</v>
      </c>
      <c r="C7" s="4" t="s">
        <v>264</v>
      </c>
      <c r="D7" s="4" t="s">
        <v>265</v>
      </c>
      <c r="E7" s="4" t="s">
        <v>266</v>
      </c>
      <c r="F7" s="4" t="s">
        <v>267</v>
      </c>
      <c r="G7" s="4" t="s">
        <v>252</v>
      </c>
      <c r="H7" s="4" t="s">
        <v>268</v>
      </c>
      <c r="I7" s="4" t="s">
        <v>153</v>
      </c>
      <c r="J7" s="4" t="s">
        <v>153</v>
      </c>
      <c r="K7" s="5"/>
      <c r="L7" s="4" t="s">
        <v>153</v>
      </c>
      <c r="M7" s="4" t="s">
        <v>153</v>
      </c>
      <c r="N7" s="4" t="s">
        <v>153</v>
      </c>
      <c r="O7" s="4" t="s">
        <v>153</v>
      </c>
      <c r="P7" s="4" t="s">
        <v>153</v>
      </c>
      <c r="Q7" s="4" t="s">
        <v>153</v>
      </c>
      <c r="R7" s="4" t="s">
        <v>153</v>
      </c>
      <c r="S7" s="4" t="s">
        <v>153</v>
      </c>
      <c r="T7" s="4" t="s">
        <v>153</v>
      </c>
      <c r="U7" s="4" t="s">
        <v>153</v>
      </c>
      <c r="V7" s="4" t="s">
        <v>153</v>
      </c>
      <c r="W7" s="4" t="s">
        <v>153</v>
      </c>
      <c r="X7" s="4" t="s">
        <v>153</v>
      </c>
      <c r="Y7" s="4" t="s">
        <v>153</v>
      </c>
      <c r="Z7" s="4" t="s">
        <v>153</v>
      </c>
      <c r="AA7" s="4" t="s">
        <v>153</v>
      </c>
      <c r="AB7" s="4" t="s">
        <v>153</v>
      </c>
      <c r="AC7" s="4" t="s">
        <v>153</v>
      </c>
      <c r="AD7" s="4" t="s">
        <v>153</v>
      </c>
      <c r="AE7" s="4" t="s">
        <v>153</v>
      </c>
      <c r="AF7" s="4" t="s">
        <v>153</v>
      </c>
      <c r="AG7" s="4" t="s">
        <v>153</v>
      </c>
      <c r="AH7" s="4" t="s">
        <v>153</v>
      </c>
      <c r="AI7" s="5"/>
      <c r="AJ7" t="s">
        <v>153</v>
      </c>
      <c r="AK7" s="4"/>
      <c r="AL7" t="s">
        <v>153</v>
      </c>
      <c r="AM7" t="s">
        <v>153</v>
      </c>
      <c r="AO7" t="s">
        <v>153</v>
      </c>
      <c r="AP7" s="4"/>
      <c r="AQ7" t="s">
        <v>153</v>
      </c>
      <c r="AR7" s="5">
        <v>44605</v>
      </c>
      <c r="AS7">
        <v>1</v>
      </c>
      <c r="AT7" s="4" t="s">
        <v>269</v>
      </c>
      <c r="AU7" s="4" t="s">
        <v>270</v>
      </c>
      <c r="AV7" s="4" t="s">
        <v>271</v>
      </c>
      <c r="AW7" t="s">
        <v>272</v>
      </c>
      <c r="AX7" t="s">
        <v>153</v>
      </c>
      <c r="AY7" t="s">
        <v>273</v>
      </c>
      <c r="AZ7" t="s">
        <v>274</v>
      </c>
      <c r="BA7" t="s">
        <v>153</v>
      </c>
      <c r="BB7" t="s">
        <v>153</v>
      </c>
      <c r="BC7" t="s">
        <v>153</v>
      </c>
      <c r="BD7" s="4" t="s">
        <v>275</v>
      </c>
      <c r="BE7" s="4" t="s">
        <v>276</v>
      </c>
      <c r="BF7" t="s">
        <v>242</v>
      </c>
      <c r="BG7" s="4" t="s">
        <v>277</v>
      </c>
      <c r="BH7" t="s">
        <v>153</v>
      </c>
      <c r="BI7" s="4" t="s">
        <v>153</v>
      </c>
      <c r="BJ7" t="s">
        <v>153</v>
      </c>
      <c r="BK7" s="4" t="s">
        <v>153</v>
      </c>
      <c r="BL7" t="s">
        <v>153</v>
      </c>
      <c r="BM7" t="s">
        <v>153</v>
      </c>
      <c r="BN7" s="4" t="s">
        <v>153</v>
      </c>
      <c r="BO7" s="4" t="s">
        <v>153</v>
      </c>
      <c r="BP7" s="4" t="s">
        <v>153</v>
      </c>
      <c r="BQ7" s="4" t="s">
        <v>153</v>
      </c>
      <c r="BR7" s="4" t="s">
        <v>153</v>
      </c>
      <c r="BS7" s="4" t="s">
        <v>153</v>
      </c>
      <c r="BT7" s="4" t="s">
        <v>153</v>
      </c>
      <c r="BU7" s="4" t="s">
        <v>153</v>
      </c>
      <c r="BV7" s="4"/>
      <c r="BW7" s="4" t="s">
        <v>153</v>
      </c>
      <c r="BX7" s="4" t="s">
        <v>153</v>
      </c>
      <c r="BY7" s="4" t="s">
        <v>153</v>
      </c>
      <c r="BZ7" s="4" t="s">
        <v>153</v>
      </c>
      <c r="CA7" s="4" t="s">
        <v>153</v>
      </c>
      <c r="CB7" s="4"/>
      <c r="CC7" s="4" t="s">
        <v>153</v>
      </c>
      <c r="CD7" t="s">
        <v>153</v>
      </c>
      <c r="CE7" s="4" t="s">
        <v>153</v>
      </c>
      <c r="CF7" s="4" t="s">
        <v>153</v>
      </c>
      <c r="CG7" s="4" t="s">
        <v>153</v>
      </c>
      <c r="CH7" s="5"/>
      <c r="CI7" t="s">
        <v>153</v>
      </c>
      <c r="CJ7" s="4"/>
      <c r="CK7" t="s">
        <v>153</v>
      </c>
      <c r="CL7" t="s">
        <v>153</v>
      </c>
      <c r="CM7" t="s">
        <v>153</v>
      </c>
      <c r="CN7" t="s">
        <v>153</v>
      </c>
      <c r="CO7" s="5"/>
      <c r="CP7" s="4" t="s">
        <v>153</v>
      </c>
      <c r="CQ7" s="4" t="s">
        <v>153</v>
      </c>
      <c r="CR7" t="s">
        <v>153</v>
      </c>
      <c r="CS7" t="s">
        <v>153</v>
      </c>
      <c r="CT7" t="s">
        <v>153</v>
      </c>
      <c r="CU7" t="s">
        <v>153</v>
      </c>
      <c r="CV7" t="s">
        <v>153</v>
      </c>
      <c r="CW7" t="s">
        <v>153</v>
      </c>
      <c r="CX7" t="s">
        <v>153</v>
      </c>
      <c r="CY7" t="s">
        <v>153</v>
      </c>
      <c r="CZ7" t="s">
        <v>153</v>
      </c>
      <c r="DA7" t="s">
        <v>153</v>
      </c>
      <c r="DB7" t="s">
        <v>153</v>
      </c>
      <c r="DC7" t="s">
        <v>153</v>
      </c>
      <c r="DD7" t="s">
        <v>153</v>
      </c>
      <c r="DE7" t="s">
        <v>153</v>
      </c>
      <c r="DF7" t="s">
        <v>153</v>
      </c>
      <c r="DG7" t="s">
        <v>153</v>
      </c>
      <c r="DI7" t="s">
        <v>153</v>
      </c>
      <c r="DJ7" t="s">
        <v>153</v>
      </c>
      <c r="DK7" t="s">
        <v>153</v>
      </c>
      <c r="DL7" t="s">
        <v>153</v>
      </c>
      <c r="DN7" t="s">
        <v>153</v>
      </c>
      <c r="DO7" t="s">
        <v>153</v>
      </c>
      <c r="DP7" t="s">
        <v>153</v>
      </c>
      <c r="DQ7" t="s">
        <v>153</v>
      </c>
      <c r="DR7" t="s">
        <v>153</v>
      </c>
      <c r="DS7" t="s">
        <v>153</v>
      </c>
      <c r="DT7" t="s">
        <v>153</v>
      </c>
      <c r="DU7" t="s">
        <v>153</v>
      </c>
      <c r="DV7" t="s">
        <v>153</v>
      </c>
      <c r="DW7" t="s">
        <v>153</v>
      </c>
      <c r="DX7" s="2"/>
      <c r="DY7" t="s">
        <v>153</v>
      </c>
      <c r="DZ7" t="s">
        <v>153</v>
      </c>
      <c r="EA7" t="s">
        <v>153</v>
      </c>
      <c r="EB7" t="s">
        <v>153</v>
      </c>
      <c r="EC7" t="s">
        <v>153</v>
      </c>
      <c r="ED7" t="s">
        <v>153</v>
      </c>
      <c r="EE7" t="s">
        <v>153</v>
      </c>
      <c r="EF7" t="s">
        <v>153</v>
      </c>
      <c r="EH7" t="s">
        <v>153</v>
      </c>
      <c r="EI7" t="s">
        <v>153</v>
      </c>
      <c r="EJ7" t="s">
        <v>153</v>
      </c>
      <c r="EK7" t="s">
        <v>153</v>
      </c>
      <c r="EM7" t="s">
        <v>153</v>
      </c>
      <c r="EN7" t="s">
        <v>153</v>
      </c>
      <c r="EP7" s="4" t="s">
        <v>153</v>
      </c>
      <c r="EQ7" s="4" t="s">
        <v>153</v>
      </c>
      <c r="ER7" s="4" t="s">
        <v>191</v>
      </c>
      <c r="ES7" s="4" t="s">
        <v>153</v>
      </c>
      <c r="ET7" t="s">
        <v>153</v>
      </c>
      <c r="EU7" t="s">
        <v>278</v>
      </c>
      <c r="EV7" t="s">
        <v>279</v>
      </c>
      <c r="EW7">
        <v>1019762277</v>
      </c>
      <c r="EX7" t="s">
        <v>280</v>
      </c>
    </row>
    <row r="8" spans="1:154" x14ac:dyDescent="0.25">
      <c r="A8" s="3">
        <v>44844.455694444441</v>
      </c>
      <c r="B8" s="4" t="s">
        <v>153</v>
      </c>
      <c r="C8" s="4" t="s">
        <v>281</v>
      </c>
      <c r="D8" s="4" t="s">
        <v>265</v>
      </c>
      <c r="E8" s="4" t="s">
        <v>266</v>
      </c>
      <c r="F8" s="4" t="s">
        <v>267</v>
      </c>
      <c r="G8" s="4" t="s">
        <v>252</v>
      </c>
      <c r="H8" s="4" t="s">
        <v>268</v>
      </c>
      <c r="I8" s="4" t="s">
        <v>153</v>
      </c>
      <c r="J8" s="4" t="s">
        <v>153</v>
      </c>
      <c r="K8" s="5"/>
      <c r="L8" s="4" t="s">
        <v>153</v>
      </c>
      <c r="M8" s="4" t="s">
        <v>153</v>
      </c>
      <c r="N8" s="4" t="s">
        <v>153</v>
      </c>
      <c r="O8" s="4" t="s">
        <v>153</v>
      </c>
      <c r="P8" s="4" t="s">
        <v>153</v>
      </c>
      <c r="Q8" s="4" t="s">
        <v>153</v>
      </c>
      <c r="R8" s="4" t="s">
        <v>153</v>
      </c>
      <c r="S8" s="4" t="s">
        <v>153</v>
      </c>
      <c r="T8" s="4" t="s">
        <v>153</v>
      </c>
      <c r="U8" s="4" t="s">
        <v>153</v>
      </c>
      <c r="V8" s="4" t="s">
        <v>153</v>
      </c>
      <c r="W8" s="4" t="s">
        <v>153</v>
      </c>
      <c r="X8" s="4" t="s">
        <v>153</v>
      </c>
      <c r="Y8" s="4" t="s">
        <v>153</v>
      </c>
      <c r="Z8" s="4" t="s">
        <v>153</v>
      </c>
      <c r="AA8" s="4" t="s">
        <v>153</v>
      </c>
      <c r="AB8" s="4" t="s">
        <v>153</v>
      </c>
      <c r="AC8" s="4" t="s">
        <v>153</v>
      </c>
      <c r="AD8" s="4" t="s">
        <v>153</v>
      </c>
      <c r="AE8" s="4" t="s">
        <v>153</v>
      </c>
      <c r="AF8" s="4" t="s">
        <v>153</v>
      </c>
      <c r="AG8" s="4" t="s">
        <v>153</v>
      </c>
      <c r="AH8" s="4" t="s">
        <v>153</v>
      </c>
      <c r="AI8" s="5"/>
      <c r="AJ8" t="s">
        <v>153</v>
      </c>
      <c r="AK8" s="4"/>
      <c r="AL8" t="s">
        <v>153</v>
      </c>
      <c r="AM8" t="s">
        <v>153</v>
      </c>
      <c r="AO8" t="s">
        <v>153</v>
      </c>
      <c r="AP8" s="4"/>
      <c r="AQ8" t="s">
        <v>153</v>
      </c>
      <c r="AR8" s="5">
        <v>44504</v>
      </c>
      <c r="AS8">
        <v>0</v>
      </c>
      <c r="AT8" s="4" t="s">
        <v>153</v>
      </c>
      <c r="AU8" s="4" t="s">
        <v>153</v>
      </c>
      <c r="AV8" s="4" t="s">
        <v>256</v>
      </c>
      <c r="AW8" t="s">
        <v>153</v>
      </c>
      <c r="AX8" t="s">
        <v>153</v>
      </c>
      <c r="AY8" t="s">
        <v>282</v>
      </c>
      <c r="AZ8" t="s">
        <v>153</v>
      </c>
      <c r="BA8" t="s">
        <v>153</v>
      </c>
      <c r="BB8" t="s">
        <v>153</v>
      </c>
      <c r="BC8" t="s">
        <v>153</v>
      </c>
      <c r="BD8" s="4" t="s">
        <v>283</v>
      </c>
      <c r="BE8" s="4" t="s">
        <v>284</v>
      </c>
      <c r="BF8" t="s">
        <v>242</v>
      </c>
      <c r="BG8" s="4" t="s">
        <v>277</v>
      </c>
      <c r="BH8" t="s">
        <v>153</v>
      </c>
      <c r="BI8" s="4" t="s">
        <v>153</v>
      </c>
      <c r="BJ8" t="s">
        <v>153</v>
      </c>
      <c r="BK8" s="4" t="s">
        <v>153</v>
      </c>
      <c r="BL8" t="s">
        <v>153</v>
      </c>
      <c r="BM8" t="s">
        <v>153</v>
      </c>
      <c r="BN8" s="4" t="s">
        <v>153</v>
      </c>
      <c r="BO8" s="4" t="s">
        <v>153</v>
      </c>
      <c r="BP8" s="4" t="s">
        <v>153</v>
      </c>
      <c r="BQ8" s="4" t="s">
        <v>153</v>
      </c>
      <c r="BR8" s="4" t="s">
        <v>153</v>
      </c>
      <c r="BS8" s="4" t="s">
        <v>153</v>
      </c>
      <c r="BT8" s="4" t="s">
        <v>153</v>
      </c>
      <c r="BU8" s="4" t="s">
        <v>153</v>
      </c>
      <c r="BV8" s="4"/>
      <c r="BW8" s="4" t="s">
        <v>153</v>
      </c>
      <c r="BX8" s="4" t="s">
        <v>153</v>
      </c>
      <c r="BY8" s="4" t="s">
        <v>153</v>
      </c>
      <c r="BZ8" s="4" t="s">
        <v>153</v>
      </c>
      <c r="CA8" s="4" t="s">
        <v>153</v>
      </c>
      <c r="CB8" s="4"/>
      <c r="CC8" s="4" t="s">
        <v>153</v>
      </c>
      <c r="CD8" t="s">
        <v>153</v>
      </c>
      <c r="CE8" s="4" t="s">
        <v>153</v>
      </c>
      <c r="CF8" s="4" t="s">
        <v>153</v>
      </c>
      <c r="CG8" s="4" t="s">
        <v>153</v>
      </c>
      <c r="CH8" s="5"/>
      <c r="CI8" t="s">
        <v>153</v>
      </c>
      <c r="CJ8" s="4"/>
      <c r="CK8" t="s">
        <v>153</v>
      </c>
      <c r="CL8" t="s">
        <v>153</v>
      </c>
      <c r="CM8" t="s">
        <v>153</v>
      </c>
      <c r="CN8" t="s">
        <v>153</v>
      </c>
      <c r="CO8" s="5"/>
      <c r="CP8" s="4" t="s">
        <v>153</v>
      </c>
      <c r="CQ8" s="4" t="s">
        <v>153</v>
      </c>
      <c r="CR8" t="s">
        <v>153</v>
      </c>
      <c r="CS8" t="s">
        <v>153</v>
      </c>
      <c r="CT8" t="s">
        <v>153</v>
      </c>
      <c r="CU8" t="s">
        <v>153</v>
      </c>
      <c r="CV8" t="s">
        <v>153</v>
      </c>
      <c r="CW8" t="s">
        <v>153</v>
      </c>
      <c r="CX8" t="s">
        <v>153</v>
      </c>
      <c r="CY8" t="s">
        <v>153</v>
      </c>
      <c r="CZ8" t="s">
        <v>153</v>
      </c>
      <c r="DA8" t="s">
        <v>153</v>
      </c>
      <c r="DB8" t="s">
        <v>153</v>
      </c>
      <c r="DC8" t="s">
        <v>153</v>
      </c>
      <c r="DD8" t="s">
        <v>153</v>
      </c>
      <c r="DE8" t="s">
        <v>153</v>
      </c>
      <c r="DF8" t="s">
        <v>153</v>
      </c>
      <c r="DG8" t="s">
        <v>153</v>
      </c>
      <c r="DI8" t="s">
        <v>153</v>
      </c>
      <c r="DJ8" t="s">
        <v>153</v>
      </c>
      <c r="DK8" t="s">
        <v>153</v>
      </c>
      <c r="DL8" t="s">
        <v>153</v>
      </c>
      <c r="DN8" t="s">
        <v>153</v>
      </c>
      <c r="DO8" t="s">
        <v>153</v>
      </c>
      <c r="DP8" t="s">
        <v>153</v>
      </c>
      <c r="DQ8" t="s">
        <v>153</v>
      </c>
      <c r="DR8" t="s">
        <v>153</v>
      </c>
      <c r="DS8" t="s">
        <v>153</v>
      </c>
      <c r="DT8" t="s">
        <v>153</v>
      </c>
      <c r="DU8" t="s">
        <v>153</v>
      </c>
      <c r="DV8" t="s">
        <v>153</v>
      </c>
      <c r="DW8" t="s">
        <v>153</v>
      </c>
      <c r="DX8" s="2"/>
      <c r="DY8" t="s">
        <v>153</v>
      </c>
      <c r="DZ8" t="s">
        <v>153</v>
      </c>
      <c r="EA8" t="s">
        <v>153</v>
      </c>
      <c r="EB8" t="s">
        <v>153</v>
      </c>
      <c r="EC8" t="s">
        <v>153</v>
      </c>
      <c r="ED8" t="s">
        <v>153</v>
      </c>
      <c r="EE8" t="s">
        <v>153</v>
      </c>
      <c r="EF8" t="s">
        <v>153</v>
      </c>
      <c r="EH8" t="s">
        <v>153</v>
      </c>
      <c r="EI8" t="s">
        <v>153</v>
      </c>
      <c r="EJ8" t="s">
        <v>153</v>
      </c>
      <c r="EK8" t="s">
        <v>153</v>
      </c>
      <c r="EM8" t="s">
        <v>153</v>
      </c>
      <c r="EN8" t="s">
        <v>153</v>
      </c>
      <c r="EP8" s="4" t="s">
        <v>153</v>
      </c>
      <c r="EQ8" s="4" t="s">
        <v>153</v>
      </c>
      <c r="ER8" s="4" t="s">
        <v>191</v>
      </c>
      <c r="ES8" s="4" t="s">
        <v>153</v>
      </c>
      <c r="ET8" t="s">
        <v>153</v>
      </c>
      <c r="EU8" t="s">
        <v>278</v>
      </c>
      <c r="EV8" t="s">
        <v>279</v>
      </c>
      <c r="EW8">
        <v>1019765484</v>
      </c>
      <c r="EX8" t="s">
        <v>280</v>
      </c>
    </row>
    <row r="9" spans="1:154" x14ac:dyDescent="0.25">
      <c r="A9" s="3">
        <v>44848.593888888892</v>
      </c>
      <c r="B9" s="4" t="s">
        <v>153</v>
      </c>
      <c r="C9" s="4" t="s">
        <v>285</v>
      </c>
      <c r="D9" s="4" t="s">
        <v>286</v>
      </c>
      <c r="E9" s="4" t="s">
        <v>287</v>
      </c>
      <c r="F9" s="4" t="s">
        <v>288</v>
      </c>
      <c r="G9" s="4" t="s">
        <v>185</v>
      </c>
      <c r="H9" s="4" t="s">
        <v>289</v>
      </c>
      <c r="I9" s="4" t="s">
        <v>153</v>
      </c>
      <c r="J9" s="4" t="s">
        <v>153</v>
      </c>
      <c r="K9" s="5"/>
      <c r="L9" s="4" t="s">
        <v>153</v>
      </c>
      <c r="M9" s="4" t="s">
        <v>290</v>
      </c>
      <c r="N9" s="4" t="s">
        <v>291</v>
      </c>
      <c r="O9" s="4" t="s">
        <v>292</v>
      </c>
      <c r="P9" s="4" t="s">
        <v>293</v>
      </c>
      <c r="Q9" s="4" t="s">
        <v>294</v>
      </c>
      <c r="R9" s="4" t="s">
        <v>191</v>
      </c>
      <c r="S9" s="4" t="s">
        <v>153</v>
      </c>
      <c r="T9" s="4" t="s">
        <v>153</v>
      </c>
      <c r="U9" s="4" t="s">
        <v>295</v>
      </c>
      <c r="V9" s="4" t="s">
        <v>153</v>
      </c>
      <c r="W9" s="4" t="s">
        <v>296</v>
      </c>
      <c r="X9" s="4" t="s">
        <v>297</v>
      </c>
      <c r="Y9" s="4" t="s">
        <v>298</v>
      </c>
      <c r="Z9" s="4" t="s">
        <v>237</v>
      </c>
      <c r="AA9" s="4" t="s">
        <v>299</v>
      </c>
      <c r="AB9" s="4" t="s">
        <v>153</v>
      </c>
      <c r="AC9" s="4" t="s">
        <v>296</v>
      </c>
      <c r="AD9" s="4" t="s">
        <v>297</v>
      </c>
      <c r="AE9" s="4" t="s">
        <v>298</v>
      </c>
      <c r="AF9" s="4" t="s">
        <v>300</v>
      </c>
      <c r="AG9" s="4" t="s">
        <v>301</v>
      </c>
      <c r="AH9" s="4" t="s">
        <v>153</v>
      </c>
      <c r="AI9" s="5">
        <v>44632</v>
      </c>
      <c r="AJ9" t="s">
        <v>240</v>
      </c>
      <c r="AK9" s="4"/>
      <c r="AL9" t="s">
        <v>153</v>
      </c>
      <c r="AM9" t="s">
        <v>153</v>
      </c>
      <c r="AO9" t="s">
        <v>153</v>
      </c>
      <c r="AP9" s="4"/>
      <c r="AQ9" t="s">
        <v>153</v>
      </c>
      <c r="AR9" s="5"/>
      <c r="AT9" s="4" t="s">
        <v>153</v>
      </c>
      <c r="AU9" s="4" t="s">
        <v>153</v>
      </c>
      <c r="AV9" s="4" t="s">
        <v>153</v>
      </c>
      <c r="AW9" t="s">
        <v>153</v>
      </c>
      <c r="AX9" t="s">
        <v>153</v>
      </c>
      <c r="AY9" t="s">
        <v>153</v>
      </c>
      <c r="AZ9" t="s">
        <v>153</v>
      </c>
      <c r="BA9" t="s">
        <v>153</v>
      </c>
      <c r="BB9" t="s">
        <v>153</v>
      </c>
      <c r="BC9" t="s">
        <v>153</v>
      </c>
      <c r="BD9" s="4" t="s">
        <v>153</v>
      </c>
      <c r="BE9" s="4" t="s">
        <v>153</v>
      </c>
      <c r="BF9" t="s">
        <v>153</v>
      </c>
      <c r="BG9" s="4" t="s">
        <v>153</v>
      </c>
      <c r="BH9" t="s">
        <v>153</v>
      </c>
      <c r="BI9" s="4" t="s">
        <v>153</v>
      </c>
      <c r="BJ9" t="s">
        <v>153</v>
      </c>
      <c r="BK9" s="4" t="s">
        <v>153</v>
      </c>
      <c r="BL9" t="s">
        <v>153</v>
      </c>
      <c r="BM9" t="s">
        <v>153</v>
      </c>
      <c r="BN9" s="4" t="s">
        <v>153</v>
      </c>
      <c r="BO9" s="4" t="s">
        <v>153</v>
      </c>
      <c r="BP9" s="4" t="s">
        <v>153</v>
      </c>
      <c r="BQ9" s="4" t="s">
        <v>153</v>
      </c>
      <c r="BR9" s="4" t="s">
        <v>153</v>
      </c>
      <c r="BS9" s="4" t="s">
        <v>153</v>
      </c>
      <c r="BT9" s="4" t="s">
        <v>153</v>
      </c>
      <c r="BU9" s="4" t="s">
        <v>153</v>
      </c>
      <c r="BV9" s="4"/>
      <c r="BW9" s="4" t="s">
        <v>153</v>
      </c>
      <c r="BX9" s="4" t="s">
        <v>153</v>
      </c>
      <c r="BY9" s="4" t="s">
        <v>153</v>
      </c>
      <c r="BZ9" s="4" t="s">
        <v>153</v>
      </c>
      <c r="CA9" s="4" t="s">
        <v>153</v>
      </c>
      <c r="CB9" s="4"/>
      <c r="CC9" s="4" t="s">
        <v>153</v>
      </c>
      <c r="CD9" t="s">
        <v>153</v>
      </c>
      <c r="CE9" s="4" t="s">
        <v>153</v>
      </c>
      <c r="CF9" s="4" t="s">
        <v>153</v>
      </c>
      <c r="CG9" s="4" t="s">
        <v>153</v>
      </c>
      <c r="CH9" s="5"/>
      <c r="CI9" t="s">
        <v>153</v>
      </c>
      <c r="CJ9" s="4"/>
      <c r="CK9" t="s">
        <v>153</v>
      </c>
      <c r="CL9" t="s">
        <v>153</v>
      </c>
      <c r="CM9" t="s">
        <v>153</v>
      </c>
      <c r="CN9" t="s">
        <v>153</v>
      </c>
      <c r="CO9" s="5"/>
      <c r="CP9" s="4" t="s">
        <v>153</v>
      </c>
      <c r="CQ9" s="4" t="s">
        <v>153</v>
      </c>
      <c r="CR9" t="s">
        <v>153</v>
      </c>
      <c r="CS9" t="s">
        <v>153</v>
      </c>
      <c r="CT9" t="s">
        <v>153</v>
      </c>
      <c r="CU9" t="s">
        <v>153</v>
      </c>
      <c r="CV9" t="s">
        <v>153</v>
      </c>
      <c r="CW9" t="s">
        <v>153</v>
      </c>
      <c r="CX9" t="s">
        <v>153</v>
      </c>
      <c r="CY9" t="s">
        <v>153</v>
      </c>
      <c r="CZ9" t="s">
        <v>153</v>
      </c>
      <c r="DA9" t="s">
        <v>153</v>
      </c>
      <c r="DB9" t="s">
        <v>153</v>
      </c>
      <c r="DC9" t="s">
        <v>153</v>
      </c>
      <c r="DD9" t="s">
        <v>153</v>
      </c>
      <c r="DE9" t="s">
        <v>153</v>
      </c>
      <c r="DF9" t="s">
        <v>153</v>
      </c>
      <c r="DG9" t="s">
        <v>153</v>
      </c>
      <c r="DI9" t="s">
        <v>153</v>
      </c>
      <c r="DJ9" t="s">
        <v>153</v>
      </c>
      <c r="DK9" t="s">
        <v>153</v>
      </c>
      <c r="DL9" t="s">
        <v>153</v>
      </c>
      <c r="DN9" t="s">
        <v>153</v>
      </c>
      <c r="DO9" t="s">
        <v>153</v>
      </c>
      <c r="DP9" t="s">
        <v>153</v>
      </c>
      <c r="DQ9" t="s">
        <v>153</v>
      </c>
      <c r="DR9" t="s">
        <v>153</v>
      </c>
      <c r="DS9" t="s">
        <v>153</v>
      </c>
      <c r="DT9" t="s">
        <v>153</v>
      </c>
      <c r="DU9" t="s">
        <v>153</v>
      </c>
      <c r="DV9" t="s">
        <v>153</v>
      </c>
      <c r="DW9" t="s">
        <v>153</v>
      </c>
      <c r="DX9" s="2"/>
      <c r="DY9" t="s">
        <v>153</v>
      </c>
      <c r="DZ9" t="s">
        <v>153</v>
      </c>
      <c r="EA9" t="s">
        <v>153</v>
      </c>
      <c r="EB9" t="s">
        <v>153</v>
      </c>
      <c r="EC9" t="s">
        <v>153</v>
      </c>
      <c r="ED9" t="s">
        <v>153</v>
      </c>
      <c r="EE9" t="s">
        <v>153</v>
      </c>
      <c r="EF9" t="s">
        <v>153</v>
      </c>
      <c r="EH9" t="s">
        <v>153</v>
      </c>
      <c r="EI9" t="s">
        <v>153</v>
      </c>
      <c r="EJ9" t="s">
        <v>153</v>
      </c>
      <c r="EK9" t="s">
        <v>153</v>
      </c>
      <c r="EM9" t="s">
        <v>153</v>
      </c>
      <c r="EN9" t="s">
        <v>153</v>
      </c>
      <c r="EP9" s="4" t="s">
        <v>242</v>
      </c>
      <c r="EQ9" s="4" t="s">
        <v>153</v>
      </c>
      <c r="ER9" s="4" t="s">
        <v>191</v>
      </c>
      <c r="ES9" s="4" t="s">
        <v>153</v>
      </c>
      <c r="ET9" t="s">
        <v>153</v>
      </c>
      <c r="EU9" t="s">
        <v>302</v>
      </c>
      <c r="EV9" t="s">
        <v>303</v>
      </c>
      <c r="EW9">
        <v>1021734893</v>
      </c>
      <c r="EX9" t="s">
        <v>304</v>
      </c>
    </row>
    <row r="10" spans="1:154" x14ac:dyDescent="0.25">
      <c r="A10" s="3">
        <v>44854.398055555554</v>
      </c>
      <c r="B10" s="4" t="s">
        <v>153</v>
      </c>
      <c r="C10" s="4" t="s">
        <v>285</v>
      </c>
      <c r="D10" s="4" t="s">
        <v>286</v>
      </c>
      <c r="E10" s="4" t="s">
        <v>287</v>
      </c>
      <c r="F10" s="4" t="s">
        <v>288</v>
      </c>
      <c r="G10" s="4" t="s">
        <v>185</v>
      </c>
      <c r="H10" s="4" t="s">
        <v>289</v>
      </c>
      <c r="I10" s="4" t="s">
        <v>153</v>
      </c>
      <c r="J10" s="4" t="s">
        <v>153</v>
      </c>
      <c r="K10" s="5"/>
      <c r="L10" s="4" t="s">
        <v>153</v>
      </c>
      <c r="M10" s="4" t="s">
        <v>305</v>
      </c>
      <c r="N10" s="4" t="s">
        <v>153</v>
      </c>
      <c r="O10" s="4" t="s">
        <v>306</v>
      </c>
      <c r="P10" s="4" t="s">
        <v>307</v>
      </c>
      <c r="Q10" s="4" t="s">
        <v>190</v>
      </c>
      <c r="R10" s="4" t="s">
        <v>308</v>
      </c>
      <c r="S10" s="4" t="s">
        <v>153</v>
      </c>
      <c r="T10" s="4" t="s">
        <v>309</v>
      </c>
      <c r="U10" s="4" t="s">
        <v>310</v>
      </c>
      <c r="V10" s="4" t="s">
        <v>153</v>
      </c>
      <c r="W10" s="4" t="s">
        <v>311</v>
      </c>
      <c r="X10" s="4" t="s">
        <v>297</v>
      </c>
      <c r="Y10" s="4" t="s">
        <v>312</v>
      </c>
      <c r="Z10" s="4" t="s">
        <v>197</v>
      </c>
      <c r="AA10" s="4" t="s">
        <v>313</v>
      </c>
      <c r="AB10" s="4" t="s">
        <v>153</v>
      </c>
      <c r="AC10" s="4" t="s">
        <v>314</v>
      </c>
      <c r="AD10" s="4" t="s">
        <v>195</v>
      </c>
      <c r="AE10" s="4" t="s">
        <v>315</v>
      </c>
      <c r="AF10" s="4" t="s">
        <v>316</v>
      </c>
      <c r="AG10" s="4" t="s">
        <v>317</v>
      </c>
      <c r="AH10" s="4" t="s">
        <v>153</v>
      </c>
      <c r="AI10" s="5">
        <v>44570</v>
      </c>
      <c r="AJ10" t="s">
        <v>318</v>
      </c>
      <c r="AK10" s="4"/>
      <c r="AL10" t="s">
        <v>153</v>
      </c>
      <c r="AM10" t="s">
        <v>153</v>
      </c>
      <c r="AO10" t="s">
        <v>153</v>
      </c>
      <c r="AP10" s="4"/>
      <c r="AQ10" t="s">
        <v>153</v>
      </c>
      <c r="AR10" s="5"/>
      <c r="AT10" s="4" t="s">
        <v>153</v>
      </c>
      <c r="AU10" s="4" t="s">
        <v>153</v>
      </c>
      <c r="AV10" s="4" t="s">
        <v>153</v>
      </c>
      <c r="AW10" t="s">
        <v>153</v>
      </c>
      <c r="AX10" t="s">
        <v>153</v>
      </c>
      <c r="AY10" t="s">
        <v>153</v>
      </c>
      <c r="AZ10" t="s">
        <v>153</v>
      </c>
      <c r="BA10" t="s">
        <v>153</v>
      </c>
      <c r="BB10" t="s">
        <v>153</v>
      </c>
      <c r="BC10" t="s">
        <v>153</v>
      </c>
      <c r="BD10" s="4" t="s">
        <v>153</v>
      </c>
      <c r="BE10" s="4" t="s">
        <v>153</v>
      </c>
      <c r="BF10" t="s">
        <v>153</v>
      </c>
      <c r="BG10" s="4" t="s">
        <v>153</v>
      </c>
      <c r="BH10" t="s">
        <v>153</v>
      </c>
      <c r="BI10" s="4" t="s">
        <v>153</v>
      </c>
      <c r="BJ10" t="s">
        <v>153</v>
      </c>
      <c r="BK10" s="4" t="s">
        <v>153</v>
      </c>
      <c r="BL10" t="s">
        <v>153</v>
      </c>
      <c r="BM10" t="s">
        <v>153</v>
      </c>
      <c r="BN10" s="4" t="s">
        <v>153</v>
      </c>
      <c r="BO10" s="4" t="s">
        <v>153</v>
      </c>
      <c r="BP10" s="4" t="s">
        <v>153</v>
      </c>
      <c r="BQ10" s="4" t="s">
        <v>153</v>
      </c>
      <c r="BR10" s="4" t="s">
        <v>153</v>
      </c>
      <c r="BS10" s="4" t="s">
        <v>153</v>
      </c>
      <c r="BT10" s="4" t="s">
        <v>153</v>
      </c>
      <c r="BU10" s="4" t="s">
        <v>153</v>
      </c>
      <c r="BV10" s="4"/>
      <c r="BW10" s="4" t="s">
        <v>153</v>
      </c>
      <c r="BX10" s="4" t="s">
        <v>153</v>
      </c>
      <c r="BY10" s="4" t="s">
        <v>153</v>
      </c>
      <c r="BZ10" s="4" t="s">
        <v>153</v>
      </c>
      <c r="CA10" s="4" t="s">
        <v>153</v>
      </c>
      <c r="CB10" s="4"/>
      <c r="CC10" s="4" t="s">
        <v>153</v>
      </c>
      <c r="CD10" t="s">
        <v>153</v>
      </c>
      <c r="CE10" s="4" t="s">
        <v>153</v>
      </c>
      <c r="CF10" s="4" t="s">
        <v>153</v>
      </c>
      <c r="CG10" s="4" t="s">
        <v>153</v>
      </c>
      <c r="CH10" s="5"/>
      <c r="CI10" t="s">
        <v>153</v>
      </c>
      <c r="CJ10" s="4"/>
      <c r="CK10" t="s">
        <v>153</v>
      </c>
      <c r="CL10" t="s">
        <v>153</v>
      </c>
      <c r="CM10" t="s">
        <v>153</v>
      </c>
      <c r="CN10" t="s">
        <v>153</v>
      </c>
      <c r="CO10" s="5"/>
      <c r="CP10" s="4" t="s">
        <v>153</v>
      </c>
      <c r="CQ10" s="4" t="s">
        <v>153</v>
      </c>
      <c r="CR10" t="s">
        <v>153</v>
      </c>
      <c r="CS10" t="s">
        <v>153</v>
      </c>
      <c r="CT10" t="s">
        <v>153</v>
      </c>
      <c r="CU10" t="s">
        <v>153</v>
      </c>
      <c r="CV10" t="s">
        <v>153</v>
      </c>
      <c r="CW10" t="s">
        <v>153</v>
      </c>
      <c r="CX10" t="s">
        <v>153</v>
      </c>
      <c r="CY10" t="s">
        <v>153</v>
      </c>
      <c r="CZ10" t="s">
        <v>153</v>
      </c>
      <c r="DA10" t="s">
        <v>153</v>
      </c>
      <c r="DB10" t="s">
        <v>153</v>
      </c>
      <c r="DC10" t="s">
        <v>153</v>
      </c>
      <c r="DD10" t="s">
        <v>153</v>
      </c>
      <c r="DE10" t="s">
        <v>153</v>
      </c>
      <c r="DF10" t="s">
        <v>153</v>
      </c>
      <c r="DG10" t="s">
        <v>153</v>
      </c>
      <c r="DI10" t="s">
        <v>153</v>
      </c>
      <c r="DJ10" t="s">
        <v>153</v>
      </c>
      <c r="DK10" t="s">
        <v>153</v>
      </c>
      <c r="DL10" t="s">
        <v>153</v>
      </c>
      <c r="DN10" t="s">
        <v>153</v>
      </c>
      <c r="DO10" t="s">
        <v>153</v>
      </c>
      <c r="DP10" t="s">
        <v>153</v>
      </c>
      <c r="DQ10" t="s">
        <v>153</v>
      </c>
      <c r="DR10" t="s">
        <v>153</v>
      </c>
      <c r="DS10" t="s">
        <v>153</v>
      </c>
      <c r="DT10" t="s">
        <v>153</v>
      </c>
      <c r="DU10" t="s">
        <v>153</v>
      </c>
      <c r="DV10" t="s">
        <v>153</v>
      </c>
      <c r="DW10" t="s">
        <v>153</v>
      </c>
      <c r="DX10" s="2"/>
      <c r="DY10" t="s">
        <v>153</v>
      </c>
      <c r="DZ10" t="s">
        <v>153</v>
      </c>
      <c r="EA10" t="s">
        <v>153</v>
      </c>
      <c r="EB10" t="s">
        <v>153</v>
      </c>
      <c r="EC10" t="s">
        <v>153</v>
      </c>
      <c r="ED10" t="s">
        <v>153</v>
      </c>
      <c r="EE10" t="s">
        <v>153</v>
      </c>
      <c r="EF10" t="s">
        <v>153</v>
      </c>
      <c r="EH10" t="s">
        <v>153</v>
      </c>
      <c r="EI10" t="s">
        <v>153</v>
      </c>
      <c r="EJ10" t="s">
        <v>153</v>
      </c>
      <c r="EK10" t="s">
        <v>153</v>
      </c>
      <c r="EM10" t="s">
        <v>153</v>
      </c>
      <c r="EN10" t="s">
        <v>153</v>
      </c>
      <c r="EP10" s="4" t="s">
        <v>153</v>
      </c>
      <c r="EQ10" s="4" t="s">
        <v>153</v>
      </c>
      <c r="ER10" s="4" t="s">
        <v>176</v>
      </c>
      <c r="ES10" s="4" t="s">
        <v>153</v>
      </c>
      <c r="ET10" t="s">
        <v>153</v>
      </c>
      <c r="EU10" t="s">
        <v>302</v>
      </c>
      <c r="EV10" t="s">
        <v>303</v>
      </c>
      <c r="EW10">
        <v>1023921377</v>
      </c>
      <c r="EX10" t="s">
        <v>304</v>
      </c>
    </row>
    <row r="11" spans="1:154" x14ac:dyDescent="0.25">
      <c r="A11" s="3">
        <v>44860.429571759261</v>
      </c>
      <c r="B11" s="4" t="s">
        <v>3</v>
      </c>
      <c r="C11" s="4" t="s">
        <v>319</v>
      </c>
      <c r="D11" s="4" t="s">
        <v>320</v>
      </c>
      <c r="E11" s="4" t="s">
        <v>321</v>
      </c>
      <c r="F11" s="4" t="s">
        <v>322</v>
      </c>
      <c r="G11" s="4" t="s">
        <v>185</v>
      </c>
      <c r="H11" s="4" t="s">
        <v>323</v>
      </c>
      <c r="I11" s="4" t="s">
        <v>153</v>
      </c>
      <c r="J11" s="4" t="s">
        <v>153</v>
      </c>
      <c r="K11" s="5"/>
      <c r="L11" s="4" t="s">
        <v>153</v>
      </c>
      <c r="M11" s="4" t="s">
        <v>324</v>
      </c>
      <c r="N11" s="4" t="s">
        <v>153</v>
      </c>
      <c r="O11" s="4" t="s">
        <v>325</v>
      </c>
      <c r="P11" s="4" t="s">
        <v>326</v>
      </c>
      <c r="Q11" s="4" t="s">
        <v>327</v>
      </c>
      <c r="R11" s="4" t="s">
        <v>191</v>
      </c>
      <c r="S11" s="4" t="s">
        <v>328</v>
      </c>
      <c r="T11" s="4" t="s">
        <v>153</v>
      </c>
      <c r="U11" s="4" t="s">
        <v>329</v>
      </c>
      <c r="V11" s="4" t="s">
        <v>153</v>
      </c>
      <c r="W11" s="4" t="s">
        <v>330</v>
      </c>
      <c r="X11" s="4" t="s">
        <v>331</v>
      </c>
      <c r="Y11" s="4" t="s">
        <v>332</v>
      </c>
      <c r="Z11" s="4" t="s">
        <v>237</v>
      </c>
      <c r="AA11" s="4" t="s">
        <v>329</v>
      </c>
      <c r="AB11" s="4" t="s">
        <v>153</v>
      </c>
      <c r="AC11" s="4" t="s">
        <v>330</v>
      </c>
      <c r="AD11" s="4" t="s">
        <v>331</v>
      </c>
      <c r="AE11" s="4" t="s">
        <v>332</v>
      </c>
      <c r="AF11" s="4" t="s">
        <v>333</v>
      </c>
      <c r="AG11" s="4" t="s">
        <v>334</v>
      </c>
      <c r="AH11" s="4" t="s">
        <v>335</v>
      </c>
      <c r="AI11" s="5">
        <v>44409</v>
      </c>
      <c r="AJ11" t="s">
        <v>336</v>
      </c>
      <c r="AK11" s="4">
        <v>50</v>
      </c>
      <c r="AL11" t="s">
        <v>337</v>
      </c>
      <c r="AM11" t="s">
        <v>153</v>
      </c>
      <c r="AO11" t="s">
        <v>153</v>
      </c>
      <c r="AP11" s="4"/>
      <c r="AQ11" t="s">
        <v>153</v>
      </c>
      <c r="AR11" s="5"/>
      <c r="AT11" s="4" t="s">
        <v>153</v>
      </c>
      <c r="AU11" s="4" t="s">
        <v>153</v>
      </c>
      <c r="AV11" s="4" t="s">
        <v>153</v>
      </c>
      <c r="AW11" t="s">
        <v>153</v>
      </c>
      <c r="AX11" t="s">
        <v>153</v>
      </c>
      <c r="AY11" t="s">
        <v>153</v>
      </c>
      <c r="AZ11" t="s">
        <v>153</v>
      </c>
      <c r="BA11" t="s">
        <v>153</v>
      </c>
      <c r="BB11" t="s">
        <v>153</v>
      </c>
      <c r="BC11" t="s">
        <v>153</v>
      </c>
      <c r="BD11" s="4" t="s">
        <v>153</v>
      </c>
      <c r="BE11" s="4" t="s">
        <v>153</v>
      </c>
      <c r="BF11" t="s">
        <v>153</v>
      </c>
      <c r="BG11" s="4" t="s">
        <v>153</v>
      </c>
      <c r="BH11" t="s">
        <v>153</v>
      </c>
      <c r="BI11" s="4" t="s">
        <v>153</v>
      </c>
      <c r="BJ11" t="s">
        <v>153</v>
      </c>
      <c r="BK11" s="4" t="s">
        <v>153</v>
      </c>
      <c r="BL11" t="s">
        <v>153</v>
      </c>
      <c r="BM11" t="s">
        <v>153</v>
      </c>
      <c r="BN11" s="4" t="s">
        <v>153</v>
      </c>
      <c r="BO11" s="4" t="s">
        <v>153</v>
      </c>
      <c r="BP11" s="4" t="s">
        <v>153</v>
      </c>
      <c r="BQ11" s="4" t="s">
        <v>153</v>
      </c>
      <c r="BR11" s="4" t="s">
        <v>153</v>
      </c>
      <c r="BS11" s="4" t="s">
        <v>153</v>
      </c>
      <c r="BT11" s="4" t="s">
        <v>153</v>
      </c>
      <c r="BU11" s="4" t="s">
        <v>153</v>
      </c>
      <c r="BV11" s="4"/>
      <c r="BW11" s="4" t="s">
        <v>153</v>
      </c>
      <c r="BX11" s="4" t="s">
        <v>153</v>
      </c>
      <c r="BY11" s="4" t="s">
        <v>153</v>
      </c>
      <c r="BZ11" s="4" t="s">
        <v>153</v>
      </c>
      <c r="CA11" s="4" t="s">
        <v>153</v>
      </c>
      <c r="CB11" s="4"/>
      <c r="CC11" s="4" t="s">
        <v>153</v>
      </c>
      <c r="CD11" t="s">
        <v>153</v>
      </c>
      <c r="CE11" s="4" t="s">
        <v>153</v>
      </c>
      <c r="CF11" s="4" t="s">
        <v>153</v>
      </c>
      <c r="CG11" s="4" t="s">
        <v>153</v>
      </c>
      <c r="CH11" s="5"/>
      <c r="CI11" t="s">
        <v>153</v>
      </c>
      <c r="CJ11" s="4"/>
      <c r="CK11" t="s">
        <v>153</v>
      </c>
      <c r="CL11" t="s">
        <v>153</v>
      </c>
      <c r="CM11" t="s">
        <v>153</v>
      </c>
      <c r="CN11" t="s">
        <v>153</v>
      </c>
      <c r="CO11" s="5"/>
      <c r="CP11" s="4" t="s">
        <v>153</v>
      </c>
      <c r="CQ11" s="4" t="s">
        <v>153</v>
      </c>
      <c r="CR11" t="s">
        <v>153</v>
      </c>
      <c r="CS11" t="s">
        <v>153</v>
      </c>
      <c r="CT11" t="s">
        <v>153</v>
      </c>
      <c r="CU11" t="s">
        <v>153</v>
      </c>
      <c r="CV11" t="s">
        <v>153</v>
      </c>
      <c r="CW11" t="s">
        <v>153</v>
      </c>
      <c r="CX11" t="s">
        <v>153</v>
      </c>
      <c r="CY11" t="s">
        <v>153</v>
      </c>
      <c r="CZ11" t="s">
        <v>153</v>
      </c>
      <c r="DA11" t="s">
        <v>153</v>
      </c>
      <c r="DB11" t="s">
        <v>153</v>
      </c>
      <c r="DC11" t="s">
        <v>153</v>
      </c>
      <c r="DD11" t="s">
        <v>153</v>
      </c>
      <c r="DE11" t="s">
        <v>153</v>
      </c>
      <c r="DF11" t="s">
        <v>153</v>
      </c>
      <c r="DG11" t="s">
        <v>153</v>
      </c>
      <c r="DI11" t="s">
        <v>153</v>
      </c>
      <c r="DJ11" t="s">
        <v>153</v>
      </c>
      <c r="DK11" t="s">
        <v>153</v>
      </c>
      <c r="DL11" t="s">
        <v>153</v>
      </c>
      <c r="DN11" t="s">
        <v>153</v>
      </c>
      <c r="DO11" t="s">
        <v>153</v>
      </c>
      <c r="DP11" t="s">
        <v>153</v>
      </c>
      <c r="DQ11" t="s">
        <v>153</v>
      </c>
      <c r="DR11" t="s">
        <v>153</v>
      </c>
      <c r="DS11" t="s">
        <v>153</v>
      </c>
      <c r="DT11" t="s">
        <v>153</v>
      </c>
      <c r="DU11" t="s">
        <v>153</v>
      </c>
      <c r="DV11" t="s">
        <v>153</v>
      </c>
      <c r="DW11" t="s">
        <v>153</v>
      </c>
      <c r="DX11" s="2"/>
      <c r="DY11" t="s">
        <v>153</v>
      </c>
      <c r="DZ11" t="s">
        <v>153</v>
      </c>
      <c r="EA11" t="s">
        <v>153</v>
      </c>
      <c r="EB11" t="s">
        <v>153</v>
      </c>
      <c r="EC11" t="s">
        <v>153</v>
      </c>
      <c r="ED11" t="s">
        <v>153</v>
      </c>
      <c r="EE11" t="s">
        <v>153</v>
      </c>
      <c r="EF11" t="s">
        <v>153</v>
      </c>
      <c r="EH11" t="s">
        <v>153</v>
      </c>
      <c r="EI11" t="s">
        <v>153</v>
      </c>
      <c r="EJ11" t="s">
        <v>153</v>
      </c>
      <c r="EK11" t="s">
        <v>153</v>
      </c>
      <c r="EM11" t="s">
        <v>153</v>
      </c>
      <c r="EN11" t="s">
        <v>153</v>
      </c>
      <c r="EP11" s="4" t="s">
        <v>242</v>
      </c>
      <c r="EQ11" s="4" t="s">
        <v>153</v>
      </c>
      <c r="ER11" s="4" t="s">
        <v>191</v>
      </c>
      <c r="ES11" s="4" t="s">
        <v>153</v>
      </c>
      <c r="ET11" t="s">
        <v>153</v>
      </c>
      <c r="EU11" t="s">
        <v>338</v>
      </c>
      <c r="EV11" t="s">
        <v>339</v>
      </c>
      <c r="EW11">
        <v>1026123379</v>
      </c>
      <c r="EX11" t="s">
        <v>340</v>
      </c>
    </row>
    <row r="12" spans="1:154" x14ac:dyDescent="0.25">
      <c r="A12" s="3">
        <v>44860.7497337963</v>
      </c>
      <c r="B12" s="4" t="s">
        <v>3</v>
      </c>
      <c r="C12" s="4" t="s">
        <v>248</v>
      </c>
      <c r="D12" s="4" t="s">
        <v>249</v>
      </c>
      <c r="E12" s="4" t="s">
        <v>250</v>
      </c>
      <c r="F12" s="4" t="s">
        <v>251</v>
      </c>
      <c r="G12" s="4" t="s">
        <v>185</v>
      </c>
      <c r="H12" s="4" t="s">
        <v>253</v>
      </c>
      <c r="I12" s="4" t="s">
        <v>153</v>
      </c>
      <c r="J12" s="4" t="s">
        <v>153</v>
      </c>
      <c r="K12" s="5"/>
      <c r="L12" s="4" t="s">
        <v>153</v>
      </c>
      <c r="M12" s="4" t="s">
        <v>341</v>
      </c>
      <c r="N12" s="4" t="s">
        <v>341</v>
      </c>
      <c r="O12" s="4" t="s">
        <v>342</v>
      </c>
      <c r="P12" s="4" t="s">
        <v>343</v>
      </c>
      <c r="Q12" s="4" t="s">
        <v>205</v>
      </c>
      <c r="R12" s="4" t="s">
        <v>205</v>
      </c>
      <c r="S12" s="4" t="s">
        <v>153</v>
      </c>
      <c r="T12" s="4" t="s">
        <v>344</v>
      </c>
      <c r="U12" s="4" t="s">
        <v>345</v>
      </c>
      <c r="V12" s="4" t="s">
        <v>153</v>
      </c>
      <c r="W12" s="4" t="s">
        <v>346</v>
      </c>
      <c r="X12" s="4" t="s">
        <v>347</v>
      </c>
      <c r="Y12" s="4" t="s">
        <v>348</v>
      </c>
      <c r="Z12" s="4" t="s">
        <v>197</v>
      </c>
      <c r="AA12" s="4" t="s">
        <v>349</v>
      </c>
      <c r="AB12" s="4" t="s">
        <v>153</v>
      </c>
      <c r="AC12" s="4" t="s">
        <v>350</v>
      </c>
      <c r="AD12" s="4" t="s">
        <v>347</v>
      </c>
      <c r="AE12" s="4" t="s">
        <v>351</v>
      </c>
      <c r="AF12" s="4" t="s">
        <v>352</v>
      </c>
      <c r="AG12" s="4" t="s">
        <v>353</v>
      </c>
      <c r="AH12" s="4" t="s">
        <v>354</v>
      </c>
      <c r="AI12" s="5">
        <v>44753</v>
      </c>
      <c r="AJ12" t="s">
        <v>318</v>
      </c>
      <c r="AK12" s="4">
        <v>15</v>
      </c>
      <c r="AL12" t="s">
        <v>355</v>
      </c>
      <c r="AM12" t="s">
        <v>153</v>
      </c>
      <c r="AO12" t="s">
        <v>153</v>
      </c>
      <c r="AP12" s="4"/>
      <c r="AQ12" t="s">
        <v>153</v>
      </c>
      <c r="AR12" s="5"/>
      <c r="AT12" s="4" t="s">
        <v>153</v>
      </c>
      <c r="AU12" s="4" t="s">
        <v>153</v>
      </c>
      <c r="AV12" s="4" t="s">
        <v>153</v>
      </c>
      <c r="AW12" t="s">
        <v>153</v>
      </c>
      <c r="AX12" t="s">
        <v>153</v>
      </c>
      <c r="AY12" t="s">
        <v>153</v>
      </c>
      <c r="AZ12" t="s">
        <v>153</v>
      </c>
      <c r="BA12" t="s">
        <v>153</v>
      </c>
      <c r="BB12" t="s">
        <v>153</v>
      </c>
      <c r="BC12" t="s">
        <v>153</v>
      </c>
      <c r="BD12" s="4" t="s">
        <v>153</v>
      </c>
      <c r="BE12" s="4" t="s">
        <v>153</v>
      </c>
      <c r="BF12" t="s">
        <v>153</v>
      </c>
      <c r="BG12" s="4" t="s">
        <v>153</v>
      </c>
      <c r="BH12" t="s">
        <v>153</v>
      </c>
      <c r="BI12" s="4" t="s">
        <v>153</v>
      </c>
      <c r="BJ12" t="s">
        <v>153</v>
      </c>
      <c r="BK12" s="4" t="s">
        <v>153</v>
      </c>
      <c r="BL12" t="s">
        <v>153</v>
      </c>
      <c r="BM12" t="s">
        <v>153</v>
      </c>
      <c r="BN12" s="4" t="s">
        <v>153</v>
      </c>
      <c r="BO12" s="4" t="s">
        <v>153</v>
      </c>
      <c r="BP12" s="4" t="s">
        <v>153</v>
      </c>
      <c r="BQ12" s="4" t="s">
        <v>153</v>
      </c>
      <c r="BR12" s="4" t="s">
        <v>153</v>
      </c>
      <c r="BS12" s="4" t="s">
        <v>153</v>
      </c>
      <c r="BT12" s="4" t="s">
        <v>153</v>
      </c>
      <c r="BU12" s="4" t="s">
        <v>153</v>
      </c>
      <c r="BV12" s="4"/>
      <c r="BW12" s="4" t="s">
        <v>153</v>
      </c>
      <c r="BX12" s="4" t="s">
        <v>153</v>
      </c>
      <c r="BY12" s="4" t="s">
        <v>153</v>
      </c>
      <c r="BZ12" s="4" t="s">
        <v>153</v>
      </c>
      <c r="CA12" s="4" t="s">
        <v>153</v>
      </c>
      <c r="CB12" s="4"/>
      <c r="CC12" s="4" t="s">
        <v>153</v>
      </c>
      <c r="CD12" t="s">
        <v>153</v>
      </c>
      <c r="CE12" s="4" t="s">
        <v>153</v>
      </c>
      <c r="CF12" s="4" t="s">
        <v>153</v>
      </c>
      <c r="CG12" s="4" t="s">
        <v>153</v>
      </c>
      <c r="CH12" s="5"/>
      <c r="CI12" t="s">
        <v>153</v>
      </c>
      <c r="CJ12" s="4"/>
      <c r="CK12" t="s">
        <v>153</v>
      </c>
      <c r="CL12" t="s">
        <v>153</v>
      </c>
      <c r="CM12" t="s">
        <v>153</v>
      </c>
      <c r="CN12" t="s">
        <v>153</v>
      </c>
      <c r="CO12" s="5"/>
      <c r="CP12" s="4" t="s">
        <v>153</v>
      </c>
      <c r="CQ12" s="4" t="s">
        <v>153</v>
      </c>
      <c r="CR12" t="s">
        <v>153</v>
      </c>
      <c r="CS12" t="s">
        <v>153</v>
      </c>
      <c r="CT12" t="s">
        <v>153</v>
      </c>
      <c r="CU12" t="s">
        <v>153</v>
      </c>
      <c r="CV12" t="s">
        <v>153</v>
      </c>
      <c r="CW12" t="s">
        <v>153</v>
      </c>
      <c r="CX12" t="s">
        <v>153</v>
      </c>
      <c r="CY12" t="s">
        <v>153</v>
      </c>
      <c r="CZ12" t="s">
        <v>153</v>
      </c>
      <c r="DA12" t="s">
        <v>153</v>
      </c>
      <c r="DB12" t="s">
        <v>153</v>
      </c>
      <c r="DC12" t="s">
        <v>153</v>
      </c>
      <c r="DD12" t="s">
        <v>153</v>
      </c>
      <c r="DE12" t="s">
        <v>153</v>
      </c>
      <c r="DF12" t="s">
        <v>153</v>
      </c>
      <c r="DG12" t="s">
        <v>153</v>
      </c>
      <c r="DI12" t="s">
        <v>153</v>
      </c>
      <c r="DJ12" t="s">
        <v>153</v>
      </c>
      <c r="DK12" t="s">
        <v>153</v>
      </c>
      <c r="DL12" t="s">
        <v>153</v>
      </c>
      <c r="DN12" t="s">
        <v>153</v>
      </c>
      <c r="DO12" t="s">
        <v>153</v>
      </c>
      <c r="DP12" t="s">
        <v>153</v>
      </c>
      <c r="DQ12" t="s">
        <v>153</v>
      </c>
      <c r="DR12" t="s">
        <v>153</v>
      </c>
      <c r="DS12" t="s">
        <v>153</v>
      </c>
      <c r="DT12" t="s">
        <v>153</v>
      </c>
      <c r="DU12" t="s">
        <v>153</v>
      </c>
      <c r="DV12" t="s">
        <v>153</v>
      </c>
      <c r="DW12" t="s">
        <v>153</v>
      </c>
      <c r="DX12" s="2"/>
      <c r="DY12" t="s">
        <v>153</v>
      </c>
      <c r="DZ12" t="s">
        <v>153</v>
      </c>
      <c r="EA12" t="s">
        <v>153</v>
      </c>
      <c r="EB12" t="s">
        <v>153</v>
      </c>
      <c r="EC12" t="s">
        <v>153</v>
      </c>
      <c r="ED12" t="s">
        <v>153</v>
      </c>
      <c r="EE12" t="s">
        <v>153</v>
      </c>
      <c r="EF12" t="s">
        <v>153</v>
      </c>
      <c r="EH12" t="s">
        <v>153</v>
      </c>
      <c r="EI12" t="s">
        <v>153</v>
      </c>
      <c r="EJ12" t="s">
        <v>153</v>
      </c>
      <c r="EK12" t="s">
        <v>153</v>
      </c>
      <c r="EM12" t="s">
        <v>153</v>
      </c>
      <c r="EN12" t="s">
        <v>153</v>
      </c>
      <c r="EP12" s="4" t="s">
        <v>153</v>
      </c>
      <c r="EQ12" s="4" t="s">
        <v>153</v>
      </c>
      <c r="ER12" s="4" t="s">
        <v>243</v>
      </c>
      <c r="ES12" s="4" t="s">
        <v>356</v>
      </c>
      <c r="ET12" t="s">
        <v>153</v>
      </c>
      <c r="EU12" t="s">
        <v>357</v>
      </c>
      <c r="EV12" t="s">
        <v>262</v>
      </c>
      <c r="EW12">
        <v>1026334168</v>
      </c>
      <c r="EX12" t="s">
        <v>263</v>
      </c>
    </row>
    <row r="13" spans="1:154" x14ac:dyDescent="0.25">
      <c r="A13" s="3">
        <v>44861.519594907404</v>
      </c>
      <c r="B13" s="4" t="s">
        <v>3</v>
      </c>
      <c r="C13" s="4" t="s">
        <v>358</v>
      </c>
      <c r="D13" s="4" t="s">
        <v>286</v>
      </c>
      <c r="E13" s="4" t="s">
        <v>287</v>
      </c>
      <c r="F13" s="4" t="s">
        <v>288</v>
      </c>
      <c r="G13" s="4" t="s">
        <v>252</v>
      </c>
      <c r="H13" s="4" t="s">
        <v>289</v>
      </c>
      <c r="I13" s="4" t="s">
        <v>153</v>
      </c>
      <c r="J13" s="4" t="s">
        <v>153</v>
      </c>
      <c r="K13" s="5"/>
      <c r="L13" s="4" t="s">
        <v>153</v>
      </c>
      <c r="M13" s="4" t="s">
        <v>153</v>
      </c>
      <c r="N13" s="4" t="s">
        <v>153</v>
      </c>
      <c r="O13" s="4" t="s">
        <v>153</v>
      </c>
      <c r="P13" s="4" t="s">
        <v>153</v>
      </c>
      <c r="Q13" s="4" t="s">
        <v>153</v>
      </c>
      <c r="R13" s="4" t="s">
        <v>153</v>
      </c>
      <c r="S13" s="4" t="s">
        <v>153</v>
      </c>
      <c r="T13" s="4" t="s">
        <v>153</v>
      </c>
      <c r="U13" s="4" t="s">
        <v>153</v>
      </c>
      <c r="V13" s="4" t="s">
        <v>153</v>
      </c>
      <c r="W13" s="4" t="s">
        <v>153</v>
      </c>
      <c r="X13" s="4" t="s">
        <v>153</v>
      </c>
      <c r="Y13" s="4" t="s">
        <v>153</v>
      </c>
      <c r="Z13" s="4" t="s">
        <v>153</v>
      </c>
      <c r="AA13" s="4" t="s">
        <v>153</v>
      </c>
      <c r="AB13" s="4" t="s">
        <v>153</v>
      </c>
      <c r="AC13" s="4" t="s">
        <v>153</v>
      </c>
      <c r="AD13" s="4" t="s">
        <v>153</v>
      </c>
      <c r="AE13" s="4" t="s">
        <v>153</v>
      </c>
      <c r="AF13" s="4" t="s">
        <v>153</v>
      </c>
      <c r="AG13" s="4" t="s">
        <v>153</v>
      </c>
      <c r="AH13" s="4" t="s">
        <v>153</v>
      </c>
      <c r="AI13" s="5"/>
      <c r="AJ13" t="s">
        <v>153</v>
      </c>
      <c r="AK13" s="4"/>
      <c r="AL13" t="s">
        <v>153</v>
      </c>
      <c r="AM13" t="s">
        <v>153</v>
      </c>
      <c r="AO13" t="s">
        <v>153</v>
      </c>
      <c r="AP13" s="4"/>
      <c r="AQ13" t="s">
        <v>153</v>
      </c>
      <c r="AR13" s="5">
        <v>42968</v>
      </c>
      <c r="AS13">
        <v>0</v>
      </c>
      <c r="AT13" s="4" t="s">
        <v>153</v>
      </c>
      <c r="AU13" s="4" t="s">
        <v>153</v>
      </c>
      <c r="AV13" s="4" t="s">
        <v>359</v>
      </c>
      <c r="AW13" t="s">
        <v>153</v>
      </c>
      <c r="AX13" t="s">
        <v>153</v>
      </c>
      <c r="AY13" t="s">
        <v>153</v>
      </c>
      <c r="AZ13" t="s">
        <v>153</v>
      </c>
      <c r="BA13" t="s">
        <v>153</v>
      </c>
      <c r="BB13" t="s">
        <v>153</v>
      </c>
      <c r="BC13" t="s">
        <v>153</v>
      </c>
      <c r="BD13" s="4" t="s">
        <v>360</v>
      </c>
      <c r="BE13" s="4" t="s">
        <v>361</v>
      </c>
      <c r="BF13" t="s">
        <v>242</v>
      </c>
      <c r="BG13" s="4" t="s">
        <v>362</v>
      </c>
      <c r="BH13" t="s">
        <v>153</v>
      </c>
      <c r="BI13" s="4" t="s">
        <v>153</v>
      </c>
      <c r="BJ13" t="s">
        <v>153</v>
      </c>
      <c r="BK13" s="4" t="s">
        <v>153</v>
      </c>
      <c r="BL13" t="s">
        <v>153</v>
      </c>
      <c r="BM13" t="s">
        <v>153</v>
      </c>
      <c r="BN13" s="4" t="s">
        <v>153</v>
      </c>
      <c r="BO13" s="4" t="s">
        <v>153</v>
      </c>
      <c r="BP13" s="4" t="s">
        <v>153</v>
      </c>
      <c r="BQ13" s="4" t="s">
        <v>153</v>
      </c>
      <c r="BR13" s="4" t="s">
        <v>153</v>
      </c>
      <c r="BS13" s="4" t="s">
        <v>153</v>
      </c>
      <c r="BT13" s="4" t="s">
        <v>153</v>
      </c>
      <c r="BU13" s="4" t="s">
        <v>153</v>
      </c>
      <c r="BV13" s="4"/>
      <c r="BW13" s="4" t="s">
        <v>153</v>
      </c>
      <c r="BX13" s="4" t="s">
        <v>153</v>
      </c>
      <c r="BY13" s="4" t="s">
        <v>153</v>
      </c>
      <c r="BZ13" s="4" t="s">
        <v>153</v>
      </c>
      <c r="CA13" s="4" t="s">
        <v>153</v>
      </c>
      <c r="CB13" s="4"/>
      <c r="CC13" s="4" t="s">
        <v>153</v>
      </c>
      <c r="CD13" t="s">
        <v>153</v>
      </c>
      <c r="CE13" s="4" t="s">
        <v>153</v>
      </c>
      <c r="CF13" s="4" t="s">
        <v>153</v>
      </c>
      <c r="CG13" s="4" t="s">
        <v>153</v>
      </c>
      <c r="CH13" s="5"/>
      <c r="CI13" t="s">
        <v>153</v>
      </c>
      <c r="CJ13" s="4"/>
      <c r="CK13" t="s">
        <v>153</v>
      </c>
      <c r="CL13" t="s">
        <v>153</v>
      </c>
      <c r="CM13" t="s">
        <v>153</v>
      </c>
      <c r="CN13" t="s">
        <v>153</v>
      </c>
      <c r="CO13" s="5"/>
      <c r="CP13" s="4" t="s">
        <v>153</v>
      </c>
      <c r="CQ13" s="4" t="s">
        <v>153</v>
      </c>
      <c r="CR13" t="s">
        <v>153</v>
      </c>
      <c r="CS13" t="s">
        <v>153</v>
      </c>
      <c r="CT13" t="s">
        <v>153</v>
      </c>
      <c r="CU13" t="s">
        <v>153</v>
      </c>
      <c r="CV13" t="s">
        <v>153</v>
      </c>
      <c r="CW13" t="s">
        <v>153</v>
      </c>
      <c r="CX13" t="s">
        <v>153</v>
      </c>
      <c r="CY13" t="s">
        <v>153</v>
      </c>
      <c r="CZ13" t="s">
        <v>153</v>
      </c>
      <c r="DA13" t="s">
        <v>153</v>
      </c>
      <c r="DB13" t="s">
        <v>153</v>
      </c>
      <c r="DC13" t="s">
        <v>153</v>
      </c>
      <c r="DD13" t="s">
        <v>153</v>
      </c>
      <c r="DE13" t="s">
        <v>153</v>
      </c>
      <c r="DF13" t="s">
        <v>153</v>
      </c>
      <c r="DG13" t="s">
        <v>153</v>
      </c>
      <c r="DI13" t="s">
        <v>153</v>
      </c>
      <c r="DJ13" t="s">
        <v>153</v>
      </c>
      <c r="DK13" t="s">
        <v>153</v>
      </c>
      <c r="DL13" t="s">
        <v>153</v>
      </c>
      <c r="DN13" t="s">
        <v>153</v>
      </c>
      <c r="DO13" t="s">
        <v>153</v>
      </c>
      <c r="DP13" t="s">
        <v>153</v>
      </c>
      <c r="DQ13" t="s">
        <v>153</v>
      </c>
      <c r="DR13" t="s">
        <v>153</v>
      </c>
      <c r="DS13" t="s">
        <v>153</v>
      </c>
      <c r="DT13" t="s">
        <v>153</v>
      </c>
      <c r="DU13" t="s">
        <v>153</v>
      </c>
      <c r="DV13" t="s">
        <v>153</v>
      </c>
      <c r="DW13" t="s">
        <v>153</v>
      </c>
      <c r="DX13" s="2"/>
      <c r="DY13" t="s">
        <v>153</v>
      </c>
      <c r="DZ13" t="s">
        <v>153</v>
      </c>
      <c r="EA13" t="s">
        <v>153</v>
      </c>
      <c r="EB13" t="s">
        <v>153</v>
      </c>
      <c r="EC13" t="s">
        <v>153</v>
      </c>
      <c r="ED13" t="s">
        <v>153</v>
      </c>
      <c r="EE13" t="s">
        <v>153</v>
      </c>
      <c r="EF13" t="s">
        <v>153</v>
      </c>
      <c r="EH13" t="s">
        <v>153</v>
      </c>
      <c r="EI13" t="s">
        <v>153</v>
      </c>
      <c r="EJ13" t="s">
        <v>153</v>
      </c>
      <c r="EK13" t="s">
        <v>153</v>
      </c>
      <c r="EM13" t="s">
        <v>153</v>
      </c>
      <c r="EN13" t="s">
        <v>153</v>
      </c>
      <c r="EP13" s="4" t="s">
        <v>153</v>
      </c>
      <c r="EQ13" s="4" t="s">
        <v>153</v>
      </c>
      <c r="ER13" s="4" t="s">
        <v>243</v>
      </c>
      <c r="ES13" s="4" t="s">
        <v>205</v>
      </c>
      <c r="ET13" t="s">
        <v>363</v>
      </c>
      <c r="EU13" t="s">
        <v>364</v>
      </c>
      <c r="EV13" t="s">
        <v>365</v>
      </c>
      <c r="EW13">
        <v>1026613706</v>
      </c>
      <c r="EX13" t="s">
        <v>366</v>
      </c>
    </row>
    <row r="14" spans="1:154" x14ac:dyDescent="0.25">
      <c r="A14" s="3">
        <v>44862.685393518521</v>
      </c>
      <c r="B14" s="4" t="s">
        <v>3</v>
      </c>
      <c r="C14" s="4" t="s">
        <v>248</v>
      </c>
      <c r="D14" s="4" t="s">
        <v>249</v>
      </c>
      <c r="E14" s="4" t="s">
        <v>250</v>
      </c>
      <c r="F14" s="4" t="s">
        <v>251</v>
      </c>
      <c r="G14" s="4" t="s">
        <v>185</v>
      </c>
      <c r="H14" s="4" t="s">
        <v>253</v>
      </c>
      <c r="I14" s="4" t="s">
        <v>153</v>
      </c>
      <c r="J14" s="4" t="s">
        <v>153</v>
      </c>
      <c r="K14" s="5"/>
      <c r="L14" s="4" t="s">
        <v>153</v>
      </c>
      <c r="M14" s="4" t="s">
        <v>367</v>
      </c>
      <c r="N14" s="4" t="s">
        <v>367</v>
      </c>
      <c r="O14" s="4" t="s">
        <v>368</v>
      </c>
      <c r="P14" s="4" t="s">
        <v>369</v>
      </c>
      <c r="Q14" s="4" t="s">
        <v>190</v>
      </c>
      <c r="R14" s="4" t="s">
        <v>308</v>
      </c>
      <c r="S14" s="4" t="s">
        <v>153</v>
      </c>
      <c r="T14" s="4" t="s">
        <v>370</v>
      </c>
      <c r="U14" s="4" t="s">
        <v>371</v>
      </c>
      <c r="V14" s="4" t="s">
        <v>153</v>
      </c>
      <c r="W14" s="4" t="s">
        <v>372</v>
      </c>
      <c r="X14" s="4" t="s">
        <v>347</v>
      </c>
      <c r="Y14" s="4" t="s">
        <v>373</v>
      </c>
      <c r="Z14" s="4" t="s">
        <v>197</v>
      </c>
      <c r="AA14" s="4" t="s">
        <v>374</v>
      </c>
      <c r="AB14" s="4" t="s">
        <v>153</v>
      </c>
      <c r="AC14" s="4" t="s">
        <v>375</v>
      </c>
      <c r="AD14" s="4" t="s">
        <v>347</v>
      </c>
      <c r="AE14" s="4" t="s">
        <v>376</v>
      </c>
      <c r="AF14" s="4" t="s">
        <v>377</v>
      </c>
      <c r="AG14" s="4" t="s">
        <v>378</v>
      </c>
      <c r="AH14" s="4" t="s">
        <v>379</v>
      </c>
      <c r="AI14" s="5">
        <v>44753</v>
      </c>
      <c r="AJ14" t="s">
        <v>380</v>
      </c>
      <c r="AK14" s="4">
        <v>20</v>
      </c>
      <c r="AL14" t="s">
        <v>381</v>
      </c>
      <c r="AM14" t="s">
        <v>153</v>
      </c>
      <c r="AO14" t="s">
        <v>153</v>
      </c>
      <c r="AP14" s="4"/>
      <c r="AQ14" t="s">
        <v>153</v>
      </c>
      <c r="AR14" s="5"/>
      <c r="AT14" s="4" t="s">
        <v>153</v>
      </c>
      <c r="AU14" s="4" t="s">
        <v>153</v>
      </c>
      <c r="AV14" s="4" t="s">
        <v>153</v>
      </c>
      <c r="AW14" t="s">
        <v>153</v>
      </c>
      <c r="AX14" t="s">
        <v>153</v>
      </c>
      <c r="AY14" t="s">
        <v>153</v>
      </c>
      <c r="AZ14" t="s">
        <v>153</v>
      </c>
      <c r="BA14" t="s">
        <v>153</v>
      </c>
      <c r="BB14" t="s">
        <v>153</v>
      </c>
      <c r="BC14" t="s">
        <v>153</v>
      </c>
      <c r="BD14" s="4" t="s">
        <v>153</v>
      </c>
      <c r="BE14" s="4" t="s">
        <v>153</v>
      </c>
      <c r="BF14" t="s">
        <v>153</v>
      </c>
      <c r="BG14" s="4" t="s">
        <v>153</v>
      </c>
      <c r="BH14" t="s">
        <v>153</v>
      </c>
      <c r="BI14" s="4" t="s">
        <v>153</v>
      </c>
      <c r="BJ14" t="s">
        <v>153</v>
      </c>
      <c r="BK14" s="4" t="s">
        <v>153</v>
      </c>
      <c r="BL14" t="s">
        <v>153</v>
      </c>
      <c r="BM14" t="s">
        <v>153</v>
      </c>
      <c r="BN14" s="4" t="s">
        <v>153</v>
      </c>
      <c r="BO14" s="4" t="s">
        <v>153</v>
      </c>
      <c r="BP14" s="4" t="s">
        <v>153</v>
      </c>
      <c r="BQ14" s="4" t="s">
        <v>153</v>
      </c>
      <c r="BR14" s="4" t="s">
        <v>153</v>
      </c>
      <c r="BS14" s="4" t="s">
        <v>153</v>
      </c>
      <c r="BT14" s="4" t="s">
        <v>153</v>
      </c>
      <c r="BU14" s="4" t="s">
        <v>153</v>
      </c>
      <c r="BV14" s="4"/>
      <c r="BW14" s="4" t="s">
        <v>153</v>
      </c>
      <c r="BX14" s="4" t="s">
        <v>153</v>
      </c>
      <c r="BY14" s="4" t="s">
        <v>153</v>
      </c>
      <c r="BZ14" s="4" t="s">
        <v>153</v>
      </c>
      <c r="CA14" s="4" t="s">
        <v>153</v>
      </c>
      <c r="CB14" s="4"/>
      <c r="CC14" s="4" t="s">
        <v>153</v>
      </c>
      <c r="CD14" t="s">
        <v>153</v>
      </c>
      <c r="CE14" s="4" t="s">
        <v>153</v>
      </c>
      <c r="CF14" s="4" t="s">
        <v>153</v>
      </c>
      <c r="CG14" s="4" t="s">
        <v>153</v>
      </c>
      <c r="CH14" s="5"/>
      <c r="CI14" t="s">
        <v>153</v>
      </c>
      <c r="CJ14" s="4"/>
      <c r="CK14" t="s">
        <v>153</v>
      </c>
      <c r="CL14" t="s">
        <v>153</v>
      </c>
      <c r="CM14" t="s">
        <v>153</v>
      </c>
      <c r="CN14" t="s">
        <v>153</v>
      </c>
      <c r="CO14" s="5"/>
      <c r="CP14" s="4" t="s">
        <v>153</v>
      </c>
      <c r="CQ14" s="4" t="s">
        <v>153</v>
      </c>
      <c r="CR14" t="s">
        <v>153</v>
      </c>
      <c r="CS14" t="s">
        <v>153</v>
      </c>
      <c r="CT14" t="s">
        <v>153</v>
      </c>
      <c r="CU14" t="s">
        <v>153</v>
      </c>
      <c r="CV14" t="s">
        <v>153</v>
      </c>
      <c r="CW14" t="s">
        <v>153</v>
      </c>
      <c r="CX14" t="s">
        <v>153</v>
      </c>
      <c r="CY14" t="s">
        <v>153</v>
      </c>
      <c r="CZ14" t="s">
        <v>153</v>
      </c>
      <c r="DA14" t="s">
        <v>153</v>
      </c>
      <c r="DB14" t="s">
        <v>153</v>
      </c>
      <c r="DC14" t="s">
        <v>153</v>
      </c>
      <c r="DD14" t="s">
        <v>153</v>
      </c>
      <c r="DE14" t="s">
        <v>153</v>
      </c>
      <c r="DF14" t="s">
        <v>153</v>
      </c>
      <c r="DG14" t="s">
        <v>153</v>
      </c>
      <c r="DI14" t="s">
        <v>153</v>
      </c>
      <c r="DJ14" t="s">
        <v>153</v>
      </c>
      <c r="DK14" t="s">
        <v>153</v>
      </c>
      <c r="DL14" t="s">
        <v>153</v>
      </c>
      <c r="DN14" t="s">
        <v>153</v>
      </c>
      <c r="DO14" t="s">
        <v>153</v>
      </c>
      <c r="DP14" t="s">
        <v>153</v>
      </c>
      <c r="DQ14" t="s">
        <v>153</v>
      </c>
      <c r="DR14" t="s">
        <v>153</v>
      </c>
      <c r="DS14" t="s">
        <v>153</v>
      </c>
      <c r="DT14" t="s">
        <v>153</v>
      </c>
      <c r="DU14" t="s">
        <v>153</v>
      </c>
      <c r="DV14" t="s">
        <v>153</v>
      </c>
      <c r="DW14" t="s">
        <v>153</v>
      </c>
      <c r="DX14" s="2"/>
      <c r="DY14" t="s">
        <v>153</v>
      </c>
      <c r="DZ14" t="s">
        <v>153</v>
      </c>
      <c r="EA14" t="s">
        <v>153</v>
      </c>
      <c r="EB14" t="s">
        <v>153</v>
      </c>
      <c r="EC14" t="s">
        <v>153</v>
      </c>
      <c r="ED14" t="s">
        <v>153</v>
      </c>
      <c r="EE14" t="s">
        <v>153</v>
      </c>
      <c r="EF14" t="s">
        <v>153</v>
      </c>
      <c r="EH14" t="s">
        <v>153</v>
      </c>
      <c r="EI14" t="s">
        <v>153</v>
      </c>
      <c r="EJ14" t="s">
        <v>153</v>
      </c>
      <c r="EK14" t="s">
        <v>153</v>
      </c>
      <c r="EM14" t="s">
        <v>153</v>
      </c>
      <c r="EN14" t="s">
        <v>153</v>
      </c>
      <c r="EP14" s="4" t="s">
        <v>153</v>
      </c>
      <c r="EQ14" s="4" t="s">
        <v>153</v>
      </c>
      <c r="ER14" s="4" t="s">
        <v>176</v>
      </c>
      <c r="ES14" s="4" t="s">
        <v>153</v>
      </c>
      <c r="ET14" t="s">
        <v>153</v>
      </c>
      <c r="EU14" t="s">
        <v>382</v>
      </c>
      <c r="EV14" t="s">
        <v>262</v>
      </c>
      <c r="EW14">
        <v>1027144419</v>
      </c>
      <c r="EX14" t="s">
        <v>263</v>
      </c>
    </row>
    <row r="15" spans="1:154" x14ac:dyDescent="0.25">
      <c r="A15" s="3">
        <v>44862.693576388891</v>
      </c>
      <c r="B15" s="4" t="s">
        <v>3</v>
      </c>
      <c r="C15" s="4" t="s">
        <v>248</v>
      </c>
      <c r="D15" s="4" t="s">
        <v>249</v>
      </c>
      <c r="E15" s="4" t="s">
        <v>250</v>
      </c>
      <c r="F15" s="4" t="s">
        <v>251</v>
      </c>
      <c r="G15" s="4" t="s">
        <v>158</v>
      </c>
      <c r="H15" s="4" t="s">
        <v>253</v>
      </c>
      <c r="I15" s="4" t="s">
        <v>153</v>
      </c>
      <c r="J15" s="4" t="s">
        <v>153</v>
      </c>
      <c r="K15" s="5"/>
      <c r="L15" s="4" t="s">
        <v>153</v>
      </c>
      <c r="M15" s="4" t="s">
        <v>153</v>
      </c>
      <c r="N15" s="4" t="s">
        <v>153</v>
      </c>
      <c r="O15" s="4" t="s">
        <v>153</v>
      </c>
      <c r="P15" s="4" t="s">
        <v>153</v>
      </c>
      <c r="Q15" s="4" t="s">
        <v>153</v>
      </c>
      <c r="R15" s="4" t="s">
        <v>153</v>
      </c>
      <c r="S15" s="4" t="s">
        <v>153</v>
      </c>
      <c r="T15" s="4" t="s">
        <v>153</v>
      </c>
      <c r="U15" s="4" t="s">
        <v>153</v>
      </c>
      <c r="V15" s="4" t="s">
        <v>153</v>
      </c>
      <c r="W15" s="4" t="s">
        <v>153</v>
      </c>
      <c r="X15" s="4" t="s">
        <v>153</v>
      </c>
      <c r="Y15" s="4" t="s">
        <v>153</v>
      </c>
      <c r="Z15" s="4" t="s">
        <v>153</v>
      </c>
      <c r="AA15" s="4" t="s">
        <v>153</v>
      </c>
      <c r="AB15" s="4" t="s">
        <v>153</v>
      </c>
      <c r="AC15" s="4" t="s">
        <v>153</v>
      </c>
      <c r="AD15" s="4" t="s">
        <v>153</v>
      </c>
      <c r="AE15" s="4" t="s">
        <v>153</v>
      </c>
      <c r="AF15" s="4" t="s">
        <v>153</v>
      </c>
      <c r="AG15" s="4" t="s">
        <v>153</v>
      </c>
      <c r="AH15" s="4" t="s">
        <v>153</v>
      </c>
      <c r="AI15" s="5"/>
      <c r="AJ15" t="s">
        <v>153</v>
      </c>
      <c r="AK15" s="4"/>
      <c r="AL15" t="s">
        <v>153</v>
      </c>
      <c r="AM15" t="s">
        <v>153</v>
      </c>
      <c r="AO15" t="s">
        <v>153</v>
      </c>
      <c r="AP15" s="4"/>
      <c r="AQ15" t="s">
        <v>153</v>
      </c>
      <c r="AR15" s="5"/>
      <c r="AT15" s="4" t="s">
        <v>153</v>
      </c>
      <c r="AU15" s="4" t="s">
        <v>153</v>
      </c>
      <c r="AV15" s="4" t="s">
        <v>153</v>
      </c>
      <c r="AW15" t="s">
        <v>153</v>
      </c>
      <c r="AX15" t="s">
        <v>153</v>
      </c>
      <c r="AY15" t="s">
        <v>153</v>
      </c>
      <c r="AZ15" t="s">
        <v>153</v>
      </c>
      <c r="BA15" t="s">
        <v>153</v>
      </c>
      <c r="BB15" t="s">
        <v>153</v>
      </c>
      <c r="BC15" t="s">
        <v>153</v>
      </c>
      <c r="BD15" s="4" t="s">
        <v>153</v>
      </c>
      <c r="BE15" s="4" t="s">
        <v>153</v>
      </c>
      <c r="BF15" t="s">
        <v>153</v>
      </c>
      <c r="BG15" s="4" t="s">
        <v>153</v>
      </c>
      <c r="BH15" t="s">
        <v>153</v>
      </c>
      <c r="BI15" s="4" t="s">
        <v>153</v>
      </c>
      <c r="BJ15" t="s">
        <v>153</v>
      </c>
      <c r="BK15" s="4" t="s">
        <v>153</v>
      </c>
      <c r="BL15" t="s">
        <v>153</v>
      </c>
      <c r="BM15" t="s">
        <v>153</v>
      </c>
      <c r="BN15" s="4" t="s">
        <v>153</v>
      </c>
      <c r="BO15" s="4" t="s">
        <v>153</v>
      </c>
      <c r="BP15" s="4" t="s">
        <v>153</v>
      </c>
      <c r="BQ15" s="4" t="s">
        <v>153</v>
      </c>
      <c r="BR15" s="4" t="s">
        <v>153</v>
      </c>
      <c r="BS15" s="4" t="s">
        <v>153</v>
      </c>
      <c r="BT15" s="4" t="s">
        <v>153</v>
      </c>
      <c r="BU15" s="4" t="s">
        <v>153</v>
      </c>
      <c r="BV15" s="4"/>
      <c r="BW15" s="4" t="s">
        <v>153</v>
      </c>
      <c r="BX15" s="4" t="s">
        <v>153</v>
      </c>
      <c r="BY15" s="4" t="s">
        <v>153</v>
      </c>
      <c r="BZ15" s="4" t="s">
        <v>153</v>
      </c>
      <c r="CA15" s="4" t="s">
        <v>153</v>
      </c>
      <c r="CB15" s="4"/>
      <c r="CC15" s="4" t="s">
        <v>153</v>
      </c>
      <c r="CD15" t="s">
        <v>153</v>
      </c>
      <c r="CE15" s="4" t="s">
        <v>153</v>
      </c>
      <c r="CF15" s="4" t="s">
        <v>153</v>
      </c>
      <c r="CG15" s="4" t="s">
        <v>153</v>
      </c>
      <c r="CH15" s="5"/>
      <c r="CI15" t="s">
        <v>153</v>
      </c>
      <c r="CJ15" s="4"/>
      <c r="CK15" t="s">
        <v>153</v>
      </c>
      <c r="CL15" t="s">
        <v>153</v>
      </c>
      <c r="CM15" t="s">
        <v>153</v>
      </c>
      <c r="CN15" t="s">
        <v>160</v>
      </c>
      <c r="CO15" s="5">
        <v>44753</v>
      </c>
      <c r="CP15" s="4" t="s">
        <v>383</v>
      </c>
      <c r="CQ15" s="4" t="s">
        <v>384</v>
      </c>
      <c r="CR15" t="s">
        <v>383</v>
      </c>
      <c r="CS15" t="s">
        <v>385</v>
      </c>
      <c r="CT15" t="s">
        <v>153</v>
      </c>
      <c r="CU15" t="s">
        <v>153</v>
      </c>
      <c r="CV15" t="s">
        <v>153</v>
      </c>
      <c r="CW15" t="s">
        <v>153</v>
      </c>
      <c r="CX15" t="s">
        <v>153</v>
      </c>
      <c r="CY15" t="s">
        <v>153</v>
      </c>
      <c r="CZ15" t="s">
        <v>153</v>
      </c>
      <c r="DA15" t="s">
        <v>153</v>
      </c>
      <c r="DB15" t="s">
        <v>153</v>
      </c>
      <c r="DC15" t="s">
        <v>153</v>
      </c>
      <c r="DD15" t="s">
        <v>386</v>
      </c>
      <c r="DE15" t="s">
        <v>153</v>
      </c>
      <c r="DF15" t="s">
        <v>375</v>
      </c>
      <c r="DG15" t="s">
        <v>347</v>
      </c>
      <c r="DH15">
        <v>95125</v>
      </c>
      <c r="DI15" t="s">
        <v>153</v>
      </c>
      <c r="DJ15" t="s">
        <v>153</v>
      </c>
      <c r="DK15" t="s">
        <v>153</v>
      </c>
      <c r="DL15" t="s">
        <v>153</v>
      </c>
      <c r="DN15" t="s">
        <v>387</v>
      </c>
      <c r="DO15" t="s">
        <v>388</v>
      </c>
      <c r="DP15" t="s">
        <v>171</v>
      </c>
      <c r="DQ15" t="s">
        <v>389</v>
      </c>
      <c r="DR15" t="s">
        <v>390</v>
      </c>
      <c r="DS15" t="s">
        <v>391</v>
      </c>
      <c r="DT15" t="s">
        <v>153</v>
      </c>
      <c r="DU15" t="s">
        <v>392</v>
      </c>
      <c r="DV15" t="s">
        <v>153</v>
      </c>
      <c r="DW15" t="s">
        <v>153</v>
      </c>
      <c r="DX15" s="2"/>
      <c r="DY15" t="s">
        <v>153</v>
      </c>
      <c r="DZ15" t="s">
        <v>153</v>
      </c>
      <c r="EA15" t="s">
        <v>153</v>
      </c>
      <c r="EB15" t="s">
        <v>153</v>
      </c>
      <c r="EC15" t="s">
        <v>153</v>
      </c>
      <c r="ED15" t="s">
        <v>153</v>
      </c>
      <c r="EE15" t="s">
        <v>153</v>
      </c>
      <c r="EF15" t="s">
        <v>153</v>
      </c>
      <c r="EH15" t="s">
        <v>153</v>
      </c>
      <c r="EI15" t="s">
        <v>153</v>
      </c>
      <c r="EJ15" t="s">
        <v>153</v>
      </c>
      <c r="EK15" t="s">
        <v>153</v>
      </c>
      <c r="EM15" t="s">
        <v>153</v>
      </c>
      <c r="EN15" t="s">
        <v>153</v>
      </c>
      <c r="EP15" s="4" t="s">
        <v>153</v>
      </c>
      <c r="EQ15" s="4" t="s">
        <v>153</v>
      </c>
      <c r="ER15" s="4" t="s">
        <v>191</v>
      </c>
      <c r="ES15" s="4" t="s">
        <v>153</v>
      </c>
      <c r="ET15" t="s">
        <v>153</v>
      </c>
      <c r="EU15" t="s">
        <v>382</v>
      </c>
      <c r="EV15" t="s">
        <v>262</v>
      </c>
      <c r="EW15">
        <v>1027148711</v>
      </c>
      <c r="EX15" t="s">
        <v>263</v>
      </c>
    </row>
    <row r="16" spans="1:154" x14ac:dyDescent="0.25">
      <c r="A16" s="3">
        <v>44865.616168981483</v>
      </c>
      <c r="B16" s="4" t="s">
        <v>3</v>
      </c>
      <c r="C16" s="4" t="s">
        <v>393</v>
      </c>
      <c r="D16" s="4" t="s">
        <v>394</v>
      </c>
      <c r="E16" s="4" t="s">
        <v>250</v>
      </c>
      <c r="F16" s="4" t="s">
        <v>251</v>
      </c>
      <c r="G16" s="4" t="s">
        <v>252</v>
      </c>
      <c r="H16" s="4" t="s">
        <v>253</v>
      </c>
      <c r="I16" s="4" t="s">
        <v>153</v>
      </c>
      <c r="J16" s="4" t="s">
        <v>153</v>
      </c>
      <c r="K16" s="5"/>
      <c r="L16" s="4" t="s">
        <v>153</v>
      </c>
      <c r="M16" s="4" t="s">
        <v>153</v>
      </c>
      <c r="N16" s="4" t="s">
        <v>153</v>
      </c>
      <c r="O16" s="4" t="s">
        <v>153</v>
      </c>
      <c r="P16" s="4" t="s">
        <v>153</v>
      </c>
      <c r="Q16" s="4" t="s">
        <v>153</v>
      </c>
      <c r="R16" s="4" t="s">
        <v>153</v>
      </c>
      <c r="S16" s="4" t="s">
        <v>153</v>
      </c>
      <c r="T16" s="4" t="s">
        <v>153</v>
      </c>
      <c r="U16" s="4" t="s">
        <v>153</v>
      </c>
      <c r="V16" s="4" t="s">
        <v>153</v>
      </c>
      <c r="W16" s="4" t="s">
        <v>153</v>
      </c>
      <c r="X16" s="4" t="s">
        <v>153</v>
      </c>
      <c r="Y16" s="4" t="s">
        <v>153</v>
      </c>
      <c r="Z16" s="4" t="s">
        <v>153</v>
      </c>
      <c r="AA16" s="4" t="s">
        <v>153</v>
      </c>
      <c r="AB16" s="4" t="s">
        <v>153</v>
      </c>
      <c r="AC16" s="4" t="s">
        <v>153</v>
      </c>
      <c r="AD16" s="4" t="s">
        <v>153</v>
      </c>
      <c r="AE16" s="4" t="s">
        <v>153</v>
      </c>
      <c r="AF16" s="4" t="s">
        <v>153</v>
      </c>
      <c r="AG16" s="4" t="s">
        <v>153</v>
      </c>
      <c r="AH16" s="4" t="s">
        <v>153</v>
      </c>
      <c r="AI16" s="5"/>
      <c r="AJ16" t="s">
        <v>153</v>
      </c>
      <c r="AK16" s="4"/>
      <c r="AL16" t="s">
        <v>153</v>
      </c>
      <c r="AM16" t="s">
        <v>153</v>
      </c>
      <c r="AO16" t="s">
        <v>153</v>
      </c>
      <c r="AP16" s="4"/>
      <c r="AQ16" t="s">
        <v>153</v>
      </c>
      <c r="AR16" s="5">
        <v>44440</v>
      </c>
      <c r="AS16">
        <v>1</v>
      </c>
      <c r="AT16" s="4" t="s">
        <v>395</v>
      </c>
      <c r="AU16" s="4" t="s">
        <v>255</v>
      </c>
      <c r="AV16" s="4" t="s">
        <v>153</v>
      </c>
      <c r="AW16" t="s">
        <v>153</v>
      </c>
      <c r="AX16" t="s">
        <v>153</v>
      </c>
      <c r="AY16" t="s">
        <v>153</v>
      </c>
      <c r="AZ16" t="s">
        <v>396</v>
      </c>
      <c r="BA16" t="s">
        <v>153</v>
      </c>
      <c r="BB16" t="s">
        <v>153</v>
      </c>
      <c r="BC16" t="s">
        <v>153</v>
      </c>
      <c r="BD16" s="4" t="s">
        <v>397</v>
      </c>
      <c r="BE16" s="4" t="s">
        <v>398</v>
      </c>
      <c r="BF16" t="s">
        <v>243</v>
      </c>
      <c r="BG16" s="4" t="s">
        <v>153</v>
      </c>
      <c r="BH16" t="s">
        <v>153</v>
      </c>
      <c r="BI16" s="4" t="s">
        <v>153</v>
      </c>
      <c r="BJ16" t="s">
        <v>153</v>
      </c>
      <c r="BK16" s="4" t="s">
        <v>153</v>
      </c>
      <c r="BL16" t="s">
        <v>153</v>
      </c>
      <c r="BM16" t="s">
        <v>153</v>
      </c>
      <c r="BN16" s="4" t="s">
        <v>153</v>
      </c>
      <c r="BO16" s="4" t="s">
        <v>153</v>
      </c>
      <c r="BP16" s="4" t="s">
        <v>153</v>
      </c>
      <c r="BQ16" s="4" t="s">
        <v>153</v>
      </c>
      <c r="BR16" s="4" t="s">
        <v>153</v>
      </c>
      <c r="BS16" s="4" t="s">
        <v>153</v>
      </c>
      <c r="BT16" s="4" t="s">
        <v>153</v>
      </c>
      <c r="BU16" s="4" t="s">
        <v>153</v>
      </c>
      <c r="BV16" s="4"/>
      <c r="BW16" s="4" t="s">
        <v>153</v>
      </c>
      <c r="BX16" s="4" t="s">
        <v>153</v>
      </c>
      <c r="BY16" s="4" t="s">
        <v>153</v>
      </c>
      <c r="BZ16" s="4" t="s">
        <v>153</v>
      </c>
      <c r="CA16" s="4" t="s">
        <v>153</v>
      </c>
      <c r="CB16" s="4"/>
      <c r="CC16" s="4" t="s">
        <v>153</v>
      </c>
      <c r="CD16" t="s">
        <v>153</v>
      </c>
      <c r="CE16" s="4" t="s">
        <v>153</v>
      </c>
      <c r="CF16" s="4" t="s">
        <v>153</v>
      </c>
      <c r="CG16" s="4" t="s">
        <v>153</v>
      </c>
      <c r="CH16" s="5"/>
      <c r="CI16" t="s">
        <v>153</v>
      </c>
      <c r="CJ16" s="4"/>
      <c r="CK16" t="s">
        <v>153</v>
      </c>
      <c r="CL16" t="s">
        <v>153</v>
      </c>
      <c r="CM16" t="s">
        <v>153</v>
      </c>
      <c r="CN16" t="s">
        <v>153</v>
      </c>
      <c r="CO16" s="5"/>
      <c r="CP16" s="4" t="s">
        <v>153</v>
      </c>
      <c r="CQ16" s="4" t="s">
        <v>153</v>
      </c>
      <c r="CR16" t="s">
        <v>153</v>
      </c>
      <c r="CS16" t="s">
        <v>153</v>
      </c>
      <c r="CT16" t="s">
        <v>153</v>
      </c>
      <c r="CU16" t="s">
        <v>153</v>
      </c>
      <c r="CV16" t="s">
        <v>153</v>
      </c>
      <c r="CW16" t="s">
        <v>153</v>
      </c>
      <c r="CX16" t="s">
        <v>153</v>
      </c>
      <c r="CY16" t="s">
        <v>153</v>
      </c>
      <c r="CZ16" t="s">
        <v>153</v>
      </c>
      <c r="DA16" t="s">
        <v>153</v>
      </c>
      <c r="DB16" t="s">
        <v>153</v>
      </c>
      <c r="DC16" t="s">
        <v>153</v>
      </c>
      <c r="DD16" t="s">
        <v>153</v>
      </c>
      <c r="DE16" t="s">
        <v>153</v>
      </c>
      <c r="DF16" t="s">
        <v>153</v>
      </c>
      <c r="DG16" t="s">
        <v>153</v>
      </c>
      <c r="DI16" t="s">
        <v>153</v>
      </c>
      <c r="DJ16" t="s">
        <v>153</v>
      </c>
      <c r="DK16" t="s">
        <v>153</v>
      </c>
      <c r="DL16" t="s">
        <v>153</v>
      </c>
      <c r="DN16" t="s">
        <v>153</v>
      </c>
      <c r="DO16" t="s">
        <v>153</v>
      </c>
      <c r="DP16" t="s">
        <v>153</v>
      </c>
      <c r="DQ16" t="s">
        <v>153</v>
      </c>
      <c r="DR16" t="s">
        <v>153</v>
      </c>
      <c r="DS16" t="s">
        <v>153</v>
      </c>
      <c r="DT16" t="s">
        <v>153</v>
      </c>
      <c r="DU16" t="s">
        <v>153</v>
      </c>
      <c r="DV16" t="s">
        <v>153</v>
      </c>
      <c r="DW16" t="s">
        <v>153</v>
      </c>
      <c r="DX16" s="2"/>
      <c r="DY16" t="s">
        <v>153</v>
      </c>
      <c r="DZ16" t="s">
        <v>153</v>
      </c>
      <c r="EA16" t="s">
        <v>153</v>
      </c>
      <c r="EB16" t="s">
        <v>153</v>
      </c>
      <c r="EC16" t="s">
        <v>153</v>
      </c>
      <c r="ED16" t="s">
        <v>153</v>
      </c>
      <c r="EE16" t="s">
        <v>153</v>
      </c>
      <c r="EF16" t="s">
        <v>153</v>
      </c>
      <c r="EH16" t="s">
        <v>153</v>
      </c>
      <c r="EI16" t="s">
        <v>153</v>
      </c>
      <c r="EJ16" t="s">
        <v>153</v>
      </c>
      <c r="EK16" t="s">
        <v>153</v>
      </c>
      <c r="EM16" t="s">
        <v>153</v>
      </c>
      <c r="EN16" t="s">
        <v>153</v>
      </c>
      <c r="EP16" s="4" t="s">
        <v>153</v>
      </c>
      <c r="EQ16" s="4" t="s">
        <v>153</v>
      </c>
      <c r="ER16" s="4" t="s">
        <v>176</v>
      </c>
      <c r="ES16" s="4" t="s">
        <v>153</v>
      </c>
      <c r="ET16" t="s">
        <v>153</v>
      </c>
      <c r="EU16" t="s">
        <v>382</v>
      </c>
      <c r="EV16" t="s">
        <v>262</v>
      </c>
      <c r="EW16">
        <v>1027964950</v>
      </c>
      <c r="EX16" t="s">
        <v>263</v>
      </c>
    </row>
    <row r="17" spans="1:154" x14ac:dyDescent="0.25">
      <c r="A17" s="3">
        <v>44866.612766203703</v>
      </c>
      <c r="B17" s="4" t="s">
        <v>3</v>
      </c>
      <c r="C17" s="4" t="s">
        <v>222</v>
      </c>
      <c r="D17" s="4" t="s">
        <v>223</v>
      </c>
      <c r="E17" s="4" t="s">
        <v>224</v>
      </c>
      <c r="F17" s="4" t="s">
        <v>225</v>
      </c>
      <c r="G17" s="4" t="s">
        <v>185</v>
      </c>
      <c r="H17" s="4" t="s">
        <v>226</v>
      </c>
      <c r="I17" s="4" t="s">
        <v>153</v>
      </c>
      <c r="J17" s="4" t="s">
        <v>153</v>
      </c>
      <c r="K17" s="5"/>
      <c r="L17" s="4" t="s">
        <v>153</v>
      </c>
      <c r="M17" s="4" t="s">
        <v>399</v>
      </c>
      <c r="N17" s="4" t="s">
        <v>400</v>
      </c>
      <c r="O17" s="4" t="s">
        <v>401</v>
      </c>
      <c r="P17" s="4" t="s">
        <v>402</v>
      </c>
      <c r="Q17" s="4" t="s">
        <v>403</v>
      </c>
      <c r="R17" s="4" t="s">
        <v>153</v>
      </c>
      <c r="S17" s="4" t="s">
        <v>153</v>
      </c>
      <c r="T17" s="4" t="s">
        <v>153</v>
      </c>
      <c r="U17" s="4" t="s">
        <v>404</v>
      </c>
      <c r="V17" s="4" t="s">
        <v>153</v>
      </c>
      <c r="W17" s="4" t="s">
        <v>405</v>
      </c>
      <c r="X17" s="4" t="s">
        <v>235</v>
      </c>
      <c r="Y17" s="4" t="s">
        <v>406</v>
      </c>
      <c r="Z17" s="4" t="s">
        <v>237</v>
      </c>
      <c r="AA17" s="4" t="s">
        <v>407</v>
      </c>
      <c r="AB17" s="4" t="s">
        <v>153</v>
      </c>
      <c r="AC17" s="4" t="s">
        <v>408</v>
      </c>
      <c r="AD17" s="4" t="s">
        <v>235</v>
      </c>
      <c r="AE17" s="4" t="s">
        <v>406</v>
      </c>
      <c r="AF17" s="4" t="s">
        <v>409</v>
      </c>
      <c r="AG17" s="4" t="s">
        <v>410</v>
      </c>
      <c r="AH17" s="4" t="s">
        <v>411</v>
      </c>
      <c r="AI17" s="5">
        <v>44871</v>
      </c>
      <c r="AJ17" t="s">
        <v>412</v>
      </c>
      <c r="AK17" s="4">
        <v>1</v>
      </c>
      <c r="AL17" t="s">
        <v>413</v>
      </c>
      <c r="AM17" t="s">
        <v>414</v>
      </c>
      <c r="AN17">
        <v>600</v>
      </c>
      <c r="AO17" t="s">
        <v>415</v>
      </c>
      <c r="AP17" s="4">
        <v>1</v>
      </c>
      <c r="AQ17" t="s">
        <v>416</v>
      </c>
      <c r="AR17" s="5"/>
      <c r="AT17" s="4" t="s">
        <v>153</v>
      </c>
      <c r="AU17" s="4" t="s">
        <v>153</v>
      </c>
      <c r="AV17" s="4" t="s">
        <v>153</v>
      </c>
      <c r="AW17" t="s">
        <v>153</v>
      </c>
      <c r="AX17" t="s">
        <v>153</v>
      </c>
      <c r="AY17" t="s">
        <v>153</v>
      </c>
      <c r="AZ17" t="s">
        <v>153</v>
      </c>
      <c r="BA17" t="s">
        <v>153</v>
      </c>
      <c r="BB17" t="s">
        <v>153</v>
      </c>
      <c r="BC17" t="s">
        <v>153</v>
      </c>
      <c r="BD17" s="4" t="s">
        <v>153</v>
      </c>
      <c r="BE17" s="4" t="s">
        <v>153</v>
      </c>
      <c r="BF17" t="s">
        <v>153</v>
      </c>
      <c r="BG17" s="4" t="s">
        <v>153</v>
      </c>
      <c r="BH17" t="s">
        <v>153</v>
      </c>
      <c r="BI17" s="4" t="s">
        <v>153</v>
      </c>
      <c r="BJ17" t="s">
        <v>153</v>
      </c>
      <c r="BK17" s="4" t="s">
        <v>153</v>
      </c>
      <c r="BL17" t="s">
        <v>153</v>
      </c>
      <c r="BM17" t="s">
        <v>153</v>
      </c>
      <c r="BN17" s="4" t="s">
        <v>153</v>
      </c>
      <c r="BO17" s="4" t="s">
        <v>153</v>
      </c>
      <c r="BP17" s="4" t="s">
        <v>153</v>
      </c>
      <c r="BQ17" s="4" t="s">
        <v>153</v>
      </c>
      <c r="BR17" s="4" t="s">
        <v>153</v>
      </c>
      <c r="BS17" s="4" t="s">
        <v>153</v>
      </c>
      <c r="BT17" s="4" t="s">
        <v>153</v>
      </c>
      <c r="BU17" s="4" t="s">
        <v>153</v>
      </c>
      <c r="BV17" s="4"/>
      <c r="BW17" s="4" t="s">
        <v>153</v>
      </c>
      <c r="BX17" s="4" t="s">
        <v>153</v>
      </c>
      <c r="BY17" s="4" t="s">
        <v>153</v>
      </c>
      <c r="BZ17" s="4" t="s">
        <v>153</v>
      </c>
      <c r="CA17" s="4" t="s">
        <v>153</v>
      </c>
      <c r="CB17" s="4"/>
      <c r="CC17" s="4" t="s">
        <v>153</v>
      </c>
      <c r="CD17" t="s">
        <v>153</v>
      </c>
      <c r="CE17" s="4" t="s">
        <v>153</v>
      </c>
      <c r="CF17" s="4" t="s">
        <v>153</v>
      </c>
      <c r="CG17" s="4" t="s">
        <v>153</v>
      </c>
      <c r="CH17" s="5"/>
      <c r="CI17" t="s">
        <v>153</v>
      </c>
      <c r="CJ17" s="4"/>
      <c r="CK17" t="s">
        <v>153</v>
      </c>
      <c r="CL17" t="s">
        <v>153</v>
      </c>
      <c r="CM17" t="s">
        <v>153</v>
      </c>
      <c r="CN17" t="s">
        <v>153</v>
      </c>
      <c r="CO17" s="5"/>
      <c r="CP17" s="4" t="s">
        <v>153</v>
      </c>
      <c r="CQ17" s="4" t="s">
        <v>153</v>
      </c>
      <c r="CR17" t="s">
        <v>153</v>
      </c>
      <c r="CS17" t="s">
        <v>153</v>
      </c>
      <c r="CT17" t="s">
        <v>153</v>
      </c>
      <c r="CU17" t="s">
        <v>153</v>
      </c>
      <c r="CV17" t="s">
        <v>153</v>
      </c>
      <c r="CW17" t="s">
        <v>153</v>
      </c>
      <c r="CX17" t="s">
        <v>153</v>
      </c>
      <c r="CY17" t="s">
        <v>153</v>
      </c>
      <c r="CZ17" t="s">
        <v>153</v>
      </c>
      <c r="DA17" t="s">
        <v>153</v>
      </c>
      <c r="DB17" t="s">
        <v>153</v>
      </c>
      <c r="DC17" t="s">
        <v>153</v>
      </c>
      <c r="DD17" t="s">
        <v>153</v>
      </c>
      <c r="DE17" t="s">
        <v>153</v>
      </c>
      <c r="DF17" t="s">
        <v>153</v>
      </c>
      <c r="DG17" t="s">
        <v>153</v>
      </c>
      <c r="DI17" t="s">
        <v>153</v>
      </c>
      <c r="DJ17" t="s">
        <v>153</v>
      </c>
      <c r="DK17" t="s">
        <v>153</v>
      </c>
      <c r="DL17" t="s">
        <v>153</v>
      </c>
      <c r="DN17" t="s">
        <v>153</v>
      </c>
      <c r="DO17" t="s">
        <v>153</v>
      </c>
      <c r="DP17" t="s">
        <v>153</v>
      </c>
      <c r="DQ17" t="s">
        <v>153</v>
      </c>
      <c r="DR17" t="s">
        <v>153</v>
      </c>
      <c r="DS17" t="s">
        <v>153</v>
      </c>
      <c r="DT17" t="s">
        <v>153</v>
      </c>
      <c r="DU17" t="s">
        <v>153</v>
      </c>
      <c r="DV17" t="s">
        <v>153</v>
      </c>
      <c r="DW17" t="s">
        <v>153</v>
      </c>
      <c r="DX17" s="2"/>
      <c r="DY17" t="s">
        <v>153</v>
      </c>
      <c r="DZ17" t="s">
        <v>153</v>
      </c>
      <c r="EA17" t="s">
        <v>153</v>
      </c>
      <c r="EB17" t="s">
        <v>153</v>
      </c>
      <c r="EC17" t="s">
        <v>153</v>
      </c>
      <c r="ED17" t="s">
        <v>153</v>
      </c>
      <c r="EE17" t="s">
        <v>153</v>
      </c>
      <c r="EF17" t="s">
        <v>153</v>
      </c>
      <c r="EH17" t="s">
        <v>153</v>
      </c>
      <c r="EI17" t="s">
        <v>153</v>
      </c>
      <c r="EJ17" t="s">
        <v>153</v>
      </c>
      <c r="EK17" t="s">
        <v>153</v>
      </c>
      <c r="EM17" t="s">
        <v>153</v>
      </c>
      <c r="EN17" t="s">
        <v>153</v>
      </c>
      <c r="EP17" s="4" t="s">
        <v>153</v>
      </c>
      <c r="EQ17" s="4" t="s">
        <v>153</v>
      </c>
      <c r="ER17" s="4" t="s">
        <v>153</v>
      </c>
      <c r="ES17" s="4" t="s">
        <v>153</v>
      </c>
      <c r="ET17" t="s">
        <v>417</v>
      </c>
      <c r="EU17" t="s">
        <v>418</v>
      </c>
      <c r="EV17" t="s">
        <v>246</v>
      </c>
      <c r="EW17">
        <v>1028440202</v>
      </c>
      <c r="EX17" t="s">
        <v>247</v>
      </c>
    </row>
    <row r="18" spans="1:154" x14ac:dyDescent="0.25">
      <c r="A18" s="3">
        <v>44866.647326388891</v>
      </c>
      <c r="B18" s="4" t="s">
        <v>3</v>
      </c>
      <c r="C18" s="4" t="s">
        <v>419</v>
      </c>
      <c r="D18" s="4" t="s">
        <v>420</v>
      </c>
      <c r="E18" s="4" t="s">
        <v>421</v>
      </c>
      <c r="F18" s="4" t="s">
        <v>422</v>
      </c>
      <c r="G18" s="4" t="s">
        <v>423</v>
      </c>
      <c r="H18" s="4" t="s">
        <v>268</v>
      </c>
      <c r="I18" s="4" t="s">
        <v>153</v>
      </c>
      <c r="J18" s="4" t="s">
        <v>153</v>
      </c>
      <c r="K18" s="5"/>
      <c r="L18" s="4" t="s">
        <v>153</v>
      </c>
      <c r="M18" s="4" t="s">
        <v>153</v>
      </c>
      <c r="N18" s="4" t="s">
        <v>153</v>
      </c>
      <c r="O18" s="4" t="s">
        <v>153</v>
      </c>
      <c r="P18" s="4" t="s">
        <v>153</v>
      </c>
      <c r="Q18" s="4" t="s">
        <v>153</v>
      </c>
      <c r="R18" s="4" t="s">
        <v>153</v>
      </c>
      <c r="S18" s="4" t="s">
        <v>153</v>
      </c>
      <c r="T18" s="4" t="s">
        <v>153</v>
      </c>
      <c r="U18" s="4" t="s">
        <v>153</v>
      </c>
      <c r="V18" s="4" t="s">
        <v>153</v>
      </c>
      <c r="W18" s="4" t="s">
        <v>153</v>
      </c>
      <c r="X18" s="4" t="s">
        <v>153</v>
      </c>
      <c r="Y18" s="4" t="s">
        <v>153</v>
      </c>
      <c r="Z18" s="4" t="s">
        <v>153</v>
      </c>
      <c r="AA18" s="4" t="s">
        <v>153</v>
      </c>
      <c r="AB18" s="4" t="s">
        <v>153</v>
      </c>
      <c r="AC18" s="4" t="s">
        <v>153</v>
      </c>
      <c r="AD18" s="4" t="s">
        <v>153</v>
      </c>
      <c r="AE18" s="4" t="s">
        <v>153</v>
      </c>
      <c r="AF18" s="4" t="s">
        <v>153</v>
      </c>
      <c r="AG18" s="4" t="s">
        <v>153</v>
      </c>
      <c r="AH18" s="4" t="s">
        <v>153</v>
      </c>
      <c r="AI18" s="5"/>
      <c r="AJ18" t="s">
        <v>153</v>
      </c>
      <c r="AK18" s="4"/>
      <c r="AL18" t="s">
        <v>153</v>
      </c>
      <c r="AM18" t="s">
        <v>153</v>
      </c>
      <c r="AO18" t="s">
        <v>153</v>
      </c>
      <c r="AP18" s="4"/>
      <c r="AQ18" t="s">
        <v>153</v>
      </c>
      <c r="AR18" s="5"/>
      <c r="AT18" s="4" t="s">
        <v>153</v>
      </c>
      <c r="AU18" s="4" t="s">
        <v>153</v>
      </c>
      <c r="AV18" s="4" t="s">
        <v>153</v>
      </c>
      <c r="AW18" t="s">
        <v>153</v>
      </c>
      <c r="AX18" t="s">
        <v>153</v>
      </c>
      <c r="AY18" t="s">
        <v>153</v>
      </c>
      <c r="AZ18" t="s">
        <v>153</v>
      </c>
      <c r="BA18" t="s">
        <v>153</v>
      </c>
      <c r="BB18" t="s">
        <v>153</v>
      </c>
      <c r="BC18" t="s">
        <v>153</v>
      </c>
      <c r="BD18" s="4" t="s">
        <v>153</v>
      </c>
      <c r="BE18" s="4" t="s">
        <v>153</v>
      </c>
      <c r="BF18" t="s">
        <v>153</v>
      </c>
      <c r="BG18" s="4" t="s">
        <v>153</v>
      </c>
      <c r="BH18" t="s">
        <v>153</v>
      </c>
      <c r="BI18" s="4" t="s">
        <v>424</v>
      </c>
      <c r="BJ18" t="s">
        <v>425</v>
      </c>
      <c r="BK18" s="4" t="s">
        <v>153</v>
      </c>
      <c r="BL18" t="s">
        <v>419</v>
      </c>
      <c r="BM18" t="s">
        <v>420</v>
      </c>
      <c r="BN18" s="4" t="s">
        <v>403</v>
      </c>
      <c r="BO18" s="4" t="s">
        <v>191</v>
      </c>
      <c r="BP18" s="4" t="s">
        <v>426</v>
      </c>
      <c r="BQ18" s="4" t="s">
        <v>153</v>
      </c>
      <c r="BR18" s="4" t="s">
        <v>427</v>
      </c>
      <c r="BS18" s="4" t="s">
        <v>153</v>
      </c>
      <c r="BT18" s="4" t="s">
        <v>428</v>
      </c>
      <c r="BU18" s="4" t="s">
        <v>429</v>
      </c>
      <c r="BV18" s="4">
        <v>49249</v>
      </c>
      <c r="BW18" s="4" t="s">
        <v>430</v>
      </c>
      <c r="BX18" s="4" t="s">
        <v>431</v>
      </c>
      <c r="BY18" s="4" t="s">
        <v>153</v>
      </c>
      <c r="BZ18" s="4" t="s">
        <v>428</v>
      </c>
      <c r="CA18" s="4" t="s">
        <v>429</v>
      </c>
      <c r="CB18" s="4">
        <v>49282</v>
      </c>
      <c r="CC18" s="4" t="s">
        <v>430</v>
      </c>
      <c r="CD18" t="s">
        <v>432</v>
      </c>
      <c r="CE18" s="4" t="s">
        <v>421</v>
      </c>
      <c r="CF18" s="4" t="s">
        <v>422</v>
      </c>
      <c r="CG18" s="4" t="s">
        <v>153</v>
      </c>
      <c r="CH18" s="5">
        <v>44479</v>
      </c>
      <c r="CI18" t="s">
        <v>153</v>
      </c>
      <c r="CJ18" s="4">
        <v>10</v>
      </c>
      <c r="CK18" t="s">
        <v>433</v>
      </c>
      <c r="CL18" t="s">
        <v>434</v>
      </c>
      <c r="CM18" t="s">
        <v>153</v>
      </c>
      <c r="CN18" t="s">
        <v>153</v>
      </c>
      <c r="CO18" s="5"/>
      <c r="CP18" s="4" t="s">
        <v>153</v>
      </c>
      <c r="CQ18" s="4" t="s">
        <v>153</v>
      </c>
      <c r="CR18" t="s">
        <v>153</v>
      </c>
      <c r="CS18" t="s">
        <v>153</v>
      </c>
      <c r="CT18" t="s">
        <v>153</v>
      </c>
      <c r="CU18" t="s">
        <v>153</v>
      </c>
      <c r="CV18" t="s">
        <v>153</v>
      </c>
      <c r="CW18" t="s">
        <v>153</v>
      </c>
      <c r="CX18" t="s">
        <v>153</v>
      </c>
      <c r="CY18" t="s">
        <v>153</v>
      </c>
      <c r="CZ18" t="s">
        <v>153</v>
      </c>
      <c r="DA18" t="s">
        <v>153</v>
      </c>
      <c r="DB18" t="s">
        <v>153</v>
      </c>
      <c r="DC18" t="s">
        <v>153</v>
      </c>
      <c r="DD18" t="s">
        <v>153</v>
      </c>
      <c r="DE18" t="s">
        <v>153</v>
      </c>
      <c r="DF18" t="s">
        <v>153</v>
      </c>
      <c r="DG18" t="s">
        <v>153</v>
      </c>
      <c r="DI18" t="s">
        <v>153</v>
      </c>
      <c r="DJ18" t="s">
        <v>153</v>
      </c>
      <c r="DK18" t="s">
        <v>153</v>
      </c>
      <c r="DL18" t="s">
        <v>153</v>
      </c>
      <c r="DN18" t="s">
        <v>153</v>
      </c>
      <c r="DO18" t="s">
        <v>153</v>
      </c>
      <c r="DP18" t="s">
        <v>153</v>
      </c>
      <c r="DQ18" t="s">
        <v>153</v>
      </c>
      <c r="DR18" t="s">
        <v>153</v>
      </c>
      <c r="DS18" t="s">
        <v>153</v>
      </c>
      <c r="DT18" t="s">
        <v>153</v>
      </c>
      <c r="DU18" t="s">
        <v>153</v>
      </c>
      <c r="DV18" t="s">
        <v>153</v>
      </c>
      <c r="DW18" t="s">
        <v>153</v>
      </c>
      <c r="DX18" s="2"/>
      <c r="DY18" t="s">
        <v>153</v>
      </c>
      <c r="DZ18" t="s">
        <v>153</v>
      </c>
      <c r="EA18" t="s">
        <v>153</v>
      </c>
      <c r="EB18" t="s">
        <v>153</v>
      </c>
      <c r="EC18" t="s">
        <v>153</v>
      </c>
      <c r="ED18" t="s">
        <v>153</v>
      </c>
      <c r="EE18" t="s">
        <v>153</v>
      </c>
      <c r="EF18" t="s">
        <v>153</v>
      </c>
      <c r="EH18" t="s">
        <v>153</v>
      </c>
      <c r="EI18" t="s">
        <v>153</v>
      </c>
      <c r="EJ18" t="s">
        <v>153</v>
      </c>
      <c r="EK18" t="s">
        <v>153</v>
      </c>
      <c r="EM18" t="s">
        <v>153</v>
      </c>
      <c r="EN18" t="s">
        <v>153</v>
      </c>
      <c r="EP18" s="4" t="s">
        <v>153</v>
      </c>
      <c r="EQ18" s="4" t="s">
        <v>153</v>
      </c>
      <c r="ER18" s="4" t="s">
        <v>191</v>
      </c>
      <c r="ES18" s="4" t="s">
        <v>153</v>
      </c>
      <c r="ET18" t="s">
        <v>435</v>
      </c>
      <c r="EU18" t="s">
        <v>436</v>
      </c>
      <c r="EV18" t="s">
        <v>437</v>
      </c>
      <c r="EW18">
        <v>1028467272</v>
      </c>
      <c r="EX18" t="s">
        <v>438</v>
      </c>
    </row>
    <row r="19" spans="1:154" x14ac:dyDescent="0.25">
      <c r="A19" s="3">
        <v>44867.568136574075</v>
      </c>
      <c r="B19" s="4" t="s">
        <v>3</v>
      </c>
      <c r="C19" s="4" t="s">
        <v>319</v>
      </c>
      <c r="D19" s="4" t="s">
        <v>320</v>
      </c>
      <c r="E19" s="4" t="s">
        <v>321</v>
      </c>
      <c r="F19" s="4" t="s">
        <v>322</v>
      </c>
      <c r="G19" s="4" t="s">
        <v>185</v>
      </c>
      <c r="H19" s="4" t="s">
        <v>323</v>
      </c>
      <c r="I19" s="4" t="s">
        <v>153</v>
      </c>
      <c r="J19" s="4" t="s">
        <v>153</v>
      </c>
      <c r="K19" s="5"/>
      <c r="L19" s="4" t="s">
        <v>153</v>
      </c>
      <c r="M19" s="4" t="s">
        <v>324</v>
      </c>
      <c r="N19" s="4" t="s">
        <v>153</v>
      </c>
      <c r="O19" s="4" t="s">
        <v>325</v>
      </c>
      <c r="P19" s="4" t="s">
        <v>326</v>
      </c>
      <c r="Q19" s="4" t="s">
        <v>327</v>
      </c>
      <c r="R19" s="4" t="s">
        <v>191</v>
      </c>
      <c r="S19" s="4" t="s">
        <v>328</v>
      </c>
      <c r="T19" s="4" t="s">
        <v>153</v>
      </c>
      <c r="U19" s="4" t="s">
        <v>329</v>
      </c>
      <c r="V19" s="4" t="s">
        <v>153</v>
      </c>
      <c r="W19" s="4" t="s">
        <v>330</v>
      </c>
      <c r="X19" s="4" t="s">
        <v>331</v>
      </c>
      <c r="Y19" s="4" t="s">
        <v>332</v>
      </c>
      <c r="Z19" s="4" t="s">
        <v>237</v>
      </c>
      <c r="AA19" s="4" t="s">
        <v>329</v>
      </c>
      <c r="AB19" s="4" t="s">
        <v>153</v>
      </c>
      <c r="AC19" s="4" t="s">
        <v>330</v>
      </c>
      <c r="AD19" s="4" t="s">
        <v>331</v>
      </c>
      <c r="AE19" s="4" t="s">
        <v>332</v>
      </c>
      <c r="AF19" s="4" t="s">
        <v>333</v>
      </c>
      <c r="AG19" s="4" t="s">
        <v>334</v>
      </c>
      <c r="AH19" s="4" t="s">
        <v>335</v>
      </c>
      <c r="AI19" s="5">
        <v>44409</v>
      </c>
      <c r="AJ19" t="s">
        <v>336</v>
      </c>
      <c r="AK19" s="4">
        <v>50</v>
      </c>
      <c r="AL19" t="s">
        <v>337</v>
      </c>
      <c r="AM19" t="s">
        <v>153</v>
      </c>
      <c r="AO19" t="s">
        <v>153</v>
      </c>
      <c r="AP19" s="4"/>
      <c r="AQ19" t="s">
        <v>153</v>
      </c>
      <c r="AR19" s="5"/>
      <c r="AT19" s="4" t="s">
        <v>153</v>
      </c>
      <c r="AU19" s="4" t="s">
        <v>153</v>
      </c>
      <c r="AV19" s="4" t="s">
        <v>153</v>
      </c>
      <c r="AW19" t="s">
        <v>153</v>
      </c>
      <c r="AX19" t="s">
        <v>153</v>
      </c>
      <c r="AY19" t="s">
        <v>153</v>
      </c>
      <c r="AZ19" t="s">
        <v>153</v>
      </c>
      <c r="BA19" t="s">
        <v>153</v>
      </c>
      <c r="BB19" t="s">
        <v>153</v>
      </c>
      <c r="BC19" t="s">
        <v>153</v>
      </c>
      <c r="BD19" s="4" t="s">
        <v>153</v>
      </c>
      <c r="BE19" s="4" t="s">
        <v>153</v>
      </c>
      <c r="BF19" t="s">
        <v>153</v>
      </c>
      <c r="BG19" s="4" t="s">
        <v>153</v>
      </c>
      <c r="BH19" t="s">
        <v>153</v>
      </c>
      <c r="BI19" s="4" t="s">
        <v>153</v>
      </c>
      <c r="BJ19" t="s">
        <v>153</v>
      </c>
      <c r="BK19" s="4" t="s">
        <v>153</v>
      </c>
      <c r="BL19" t="s">
        <v>153</v>
      </c>
      <c r="BM19" t="s">
        <v>153</v>
      </c>
      <c r="BN19" s="4" t="s">
        <v>153</v>
      </c>
      <c r="BO19" s="4" t="s">
        <v>153</v>
      </c>
      <c r="BP19" s="4" t="s">
        <v>153</v>
      </c>
      <c r="BQ19" s="4" t="s">
        <v>153</v>
      </c>
      <c r="BR19" s="4" t="s">
        <v>153</v>
      </c>
      <c r="BS19" s="4" t="s">
        <v>153</v>
      </c>
      <c r="BT19" s="4" t="s">
        <v>153</v>
      </c>
      <c r="BU19" s="4" t="s">
        <v>153</v>
      </c>
      <c r="BV19" s="4"/>
      <c r="BW19" s="4" t="s">
        <v>153</v>
      </c>
      <c r="BX19" s="4" t="s">
        <v>153</v>
      </c>
      <c r="BY19" s="4" t="s">
        <v>153</v>
      </c>
      <c r="BZ19" s="4" t="s">
        <v>153</v>
      </c>
      <c r="CA19" s="4" t="s">
        <v>153</v>
      </c>
      <c r="CB19" s="4"/>
      <c r="CC19" s="4" t="s">
        <v>153</v>
      </c>
      <c r="CD19" t="s">
        <v>153</v>
      </c>
      <c r="CE19" s="4" t="s">
        <v>153</v>
      </c>
      <c r="CF19" s="4" t="s">
        <v>153</v>
      </c>
      <c r="CG19" s="4" t="s">
        <v>153</v>
      </c>
      <c r="CH19" s="5"/>
      <c r="CI19" t="s">
        <v>153</v>
      </c>
      <c r="CJ19" s="4"/>
      <c r="CK19" t="s">
        <v>153</v>
      </c>
      <c r="CL19" t="s">
        <v>153</v>
      </c>
      <c r="CM19" t="s">
        <v>153</v>
      </c>
      <c r="CN19" t="s">
        <v>153</v>
      </c>
      <c r="CO19" s="5"/>
      <c r="CP19" s="4" t="s">
        <v>153</v>
      </c>
      <c r="CQ19" s="4" t="s">
        <v>153</v>
      </c>
      <c r="CR19" t="s">
        <v>153</v>
      </c>
      <c r="CS19" t="s">
        <v>153</v>
      </c>
      <c r="CT19" t="s">
        <v>153</v>
      </c>
      <c r="CU19" t="s">
        <v>153</v>
      </c>
      <c r="CV19" t="s">
        <v>153</v>
      </c>
      <c r="CW19" t="s">
        <v>153</v>
      </c>
      <c r="CX19" t="s">
        <v>153</v>
      </c>
      <c r="CY19" t="s">
        <v>153</v>
      </c>
      <c r="CZ19" t="s">
        <v>153</v>
      </c>
      <c r="DA19" t="s">
        <v>153</v>
      </c>
      <c r="DB19" t="s">
        <v>153</v>
      </c>
      <c r="DC19" t="s">
        <v>153</v>
      </c>
      <c r="DD19" t="s">
        <v>153</v>
      </c>
      <c r="DE19" t="s">
        <v>153</v>
      </c>
      <c r="DF19" t="s">
        <v>153</v>
      </c>
      <c r="DG19" t="s">
        <v>153</v>
      </c>
      <c r="DI19" t="s">
        <v>153</v>
      </c>
      <c r="DJ19" t="s">
        <v>153</v>
      </c>
      <c r="DK19" t="s">
        <v>153</v>
      </c>
      <c r="DL19" t="s">
        <v>153</v>
      </c>
      <c r="DN19" t="s">
        <v>153</v>
      </c>
      <c r="DO19" t="s">
        <v>153</v>
      </c>
      <c r="DP19" t="s">
        <v>153</v>
      </c>
      <c r="DQ19" t="s">
        <v>153</v>
      </c>
      <c r="DR19" t="s">
        <v>153</v>
      </c>
      <c r="DS19" t="s">
        <v>153</v>
      </c>
      <c r="DT19" t="s">
        <v>153</v>
      </c>
      <c r="DU19" t="s">
        <v>153</v>
      </c>
      <c r="DV19" t="s">
        <v>153</v>
      </c>
      <c r="DW19" t="s">
        <v>153</v>
      </c>
      <c r="DX19" s="2"/>
      <c r="DY19" t="s">
        <v>153</v>
      </c>
      <c r="DZ19" t="s">
        <v>153</v>
      </c>
      <c r="EA19" t="s">
        <v>153</v>
      </c>
      <c r="EB19" t="s">
        <v>153</v>
      </c>
      <c r="EC19" t="s">
        <v>153</v>
      </c>
      <c r="ED19" t="s">
        <v>153</v>
      </c>
      <c r="EE19" t="s">
        <v>153</v>
      </c>
      <c r="EF19" t="s">
        <v>153</v>
      </c>
      <c r="EH19" t="s">
        <v>153</v>
      </c>
      <c r="EI19" t="s">
        <v>153</v>
      </c>
      <c r="EJ19" t="s">
        <v>153</v>
      </c>
      <c r="EK19" t="s">
        <v>153</v>
      </c>
      <c r="EM19" t="s">
        <v>153</v>
      </c>
      <c r="EN19" t="s">
        <v>153</v>
      </c>
      <c r="EP19" s="4" t="s">
        <v>242</v>
      </c>
      <c r="EQ19" s="4" t="s">
        <v>153</v>
      </c>
      <c r="ER19" s="4" t="s">
        <v>191</v>
      </c>
      <c r="ES19" s="4" t="s">
        <v>153</v>
      </c>
      <c r="ET19" t="s">
        <v>153</v>
      </c>
      <c r="EU19" t="s">
        <v>338</v>
      </c>
      <c r="EV19" t="s">
        <v>339</v>
      </c>
      <c r="EW19">
        <v>1028900464</v>
      </c>
      <c r="EX19" t="s">
        <v>340</v>
      </c>
    </row>
    <row r="20" spans="1:154" x14ac:dyDescent="0.25">
      <c r="A20" s="3">
        <v>44867.597939814812</v>
      </c>
      <c r="B20" s="4" t="s">
        <v>3</v>
      </c>
      <c r="C20" s="4" t="s">
        <v>439</v>
      </c>
      <c r="D20" s="4" t="s">
        <v>440</v>
      </c>
      <c r="E20" s="4" t="s">
        <v>441</v>
      </c>
      <c r="F20" s="4" t="s">
        <v>442</v>
      </c>
      <c r="G20" s="4" t="s">
        <v>423</v>
      </c>
      <c r="H20" s="4" t="s">
        <v>268</v>
      </c>
      <c r="I20" s="4" t="s">
        <v>153</v>
      </c>
      <c r="J20" s="4" t="s">
        <v>153</v>
      </c>
      <c r="K20" s="5"/>
      <c r="L20" s="4" t="s">
        <v>153</v>
      </c>
      <c r="M20" s="4" t="s">
        <v>153</v>
      </c>
      <c r="N20" s="4" t="s">
        <v>153</v>
      </c>
      <c r="O20" s="4" t="s">
        <v>153</v>
      </c>
      <c r="P20" s="4" t="s">
        <v>153</v>
      </c>
      <c r="Q20" s="4" t="s">
        <v>153</v>
      </c>
      <c r="R20" s="4" t="s">
        <v>153</v>
      </c>
      <c r="S20" s="4" t="s">
        <v>153</v>
      </c>
      <c r="T20" s="4" t="s">
        <v>153</v>
      </c>
      <c r="U20" s="4" t="s">
        <v>153</v>
      </c>
      <c r="V20" s="4" t="s">
        <v>153</v>
      </c>
      <c r="W20" s="4" t="s">
        <v>153</v>
      </c>
      <c r="X20" s="4" t="s">
        <v>153</v>
      </c>
      <c r="Y20" s="4" t="s">
        <v>153</v>
      </c>
      <c r="Z20" s="4" t="s">
        <v>153</v>
      </c>
      <c r="AA20" s="4" t="s">
        <v>153</v>
      </c>
      <c r="AB20" s="4" t="s">
        <v>153</v>
      </c>
      <c r="AC20" s="4" t="s">
        <v>153</v>
      </c>
      <c r="AD20" s="4" t="s">
        <v>153</v>
      </c>
      <c r="AE20" s="4" t="s">
        <v>153</v>
      </c>
      <c r="AF20" s="4" t="s">
        <v>153</v>
      </c>
      <c r="AG20" s="4" t="s">
        <v>153</v>
      </c>
      <c r="AH20" s="4" t="s">
        <v>153</v>
      </c>
      <c r="AI20" s="5"/>
      <c r="AJ20" t="s">
        <v>153</v>
      </c>
      <c r="AK20" s="4"/>
      <c r="AL20" t="s">
        <v>153</v>
      </c>
      <c r="AM20" t="s">
        <v>153</v>
      </c>
      <c r="AO20" t="s">
        <v>153</v>
      </c>
      <c r="AP20" s="4"/>
      <c r="AQ20" t="s">
        <v>153</v>
      </c>
      <c r="AR20" s="5"/>
      <c r="AT20" s="4" t="s">
        <v>153</v>
      </c>
      <c r="AU20" s="4" t="s">
        <v>153</v>
      </c>
      <c r="AV20" s="4" t="s">
        <v>153</v>
      </c>
      <c r="AW20" t="s">
        <v>153</v>
      </c>
      <c r="AX20" t="s">
        <v>153</v>
      </c>
      <c r="AY20" t="s">
        <v>153</v>
      </c>
      <c r="AZ20" t="s">
        <v>153</v>
      </c>
      <c r="BA20" t="s">
        <v>153</v>
      </c>
      <c r="BB20" t="s">
        <v>153</v>
      </c>
      <c r="BC20" t="s">
        <v>153</v>
      </c>
      <c r="BD20" s="4" t="s">
        <v>153</v>
      </c>
      <c r="BE20" s="4" t="s">
        <v>153</v>
      </c>
      <c r="BF20" t="s">
        <v>153</v>
      </c>
      <c r="BG20" s="4" t="s">
        <v>153</v>
      </c>
      <c r="BH20" t="s">
        <v>153</v>
      </c>
      <c r="BI20" s="4" t="s">
        <v>153</v>
      </c>
      <c r="BJ20" t="s">
        <v>153</v>
      </c>
      <c r="BK20" s="4" t="s">
        <v>153</v>
      </c>
      <c r="BL20" t="s">
        <v>439</v>
      </c>
      <c r="BM20" t="s">
        <v>440</v>
      </c>
      <c r="BN20" s="4" t="s">
        <v>403</v>
      </c>
      <c r="BO20" s="4" t="s">
        <v>191</v>
      </c>
      <c r="BP20" s="4" t="s">
        <v>443</v>
      </c>
      <c r="BQ20" s="4" t="s">
        <v>153</v>
      </c>
      <c r="BR20" s="4" t="s">
        <v>153</v>
      </c>
      <c r="BS20" s="4" t="s">
        <v>153</v>
      </c>
      <c r="BT20" s="4" t="s">
        <v>153</v>
      </c>
      <c r="BU20" s="4" t="s">
        <v>153</v>
      </c>
      <c r="BV20" s="4"/>
      <c r="BW20" s="4" t="s">
        <v>430</v>
      </c>
      <c r="BX20" s="4" t="s">
        <v>153</v>
      </c>
      <c r="BY20" s="4" t="s">
        <v>153</v>
      </c>
      <c r="BZ20" s="4" t="s">
        <v>153</v>
      </c>
      <c r="CA20" s="4" t="s">
        <v>153</v>
      </c>
      <c r="CB20" s="4"/>
      <c r="CC20" s="4" t="s">
        <v>430</v>
      </c>
      <c r="CD20" t="s">
        <v>153</v>
      </c>
      <c r="CE20" s="4" t="s">
        <v>441</v>
      </c>
      <c r="CF20" s="4" t="s">
        <v>442</v>
      </c>
      <c r="CG20" s="4" t="s">
        <v>444</v>
      </c>
      <c r="CH20" s="5"/>
      <c r="CI20" t="s">
        <v>445</v>
      </c>
      <c r="CJ20" s="4">
        <v>30</v>
      </c>
      <c r="CK20" t="s">
        <v>433</v>
      </c>
      <c r="CL20" t="s">
        <v>153</v>
      </c>
      <c r="CM20" t="s">
        <v>153</v>
      </c>
      <c r="CN20" t="s">
        <v>153</v>
      </c>
      <c r="CO20" s="5"/>
      <c r="CP20" s="4" t="s">
        <v>153</v>
      </c>
      <c r="CQ20" s="4" t="s">
        <v>153</v>
      </c>
      <c r="CR20" t="s">
        <v>153</v>
      </c>
      <c r="CS20" t="s">
        <v>153</v>
      </c>
      <c r="CT20" t="s">
        <v>153</v>
      </c>
      <c r="CU20" t="s">
        <v>153</v>
      </c>
      <c r="CV20" t="s">
        <v>153</v>
      </c>
      <c r="CW20" t="s">
        <v>153</v>
      </c>
      <c r="CX20" t="s">
        <v>153</v>
      </c>
      <c r="CY20" t="s">
        <v>153</v>
      </c>
      <c r="CZ20" t="s">
        <v>153</v>
      </c>
      <c r="DA20" t="s">
        <v>153</v>
      </c>
      <c r="DB20" t="s">
        <v>153</v>
      </c>
      <c r="DC20" t="s">
        <v>153</v>
      </c>
      <c r="DD20" t="s">
        <v>153</v>
      </c>
      <c r="DE20" t="s">
        <v>153</v>
      </c>
      <c r="DF20" t="s">
        <v>153</v>
      </c>
      <c r="DG20" t="s">
        <v>153</v>
      </c>
      <c r="DI20" t="s">
        <v>153</v>
      </c>
      <c r="DJ20" t="s">
        <v>153</v>
      </c>
      <c r="DK20" t="s">
        <v>153</v>
      </c>
      <c r="DL20" t="s">
        <v>153</v>
      </c>
      <c r="DN20" t="s">
        <v>153</v>
      </c>
      <c r="DO20" t="s">
        <v>153</v>
      </c>
      <c r="DP20" t="s">
        <v>153</v>
      </c>
      <c r="DQ20" t="s">
        <v>153</v>
      </c>
      <c r="DR20" t="s">
        <v>153</v>
      </c>
      <c r="DS20" t="s">
        <v>153</v>
      </c>
      <c r="DT20" t="s">
        <v>153</v>
      </c>
      <c r="DU20" t="s">
        <v>153</v>
      </c>
      <c r="DV20" t="s">
        <v>153</v>
      </c>
      <c r="DW20" t="s">
        <v>153</v>
      </c>
      <c r="DX20" s="2"/>
      <c r="DY20" t="s">
        <v>153</v>
      </c>
      <c r="DZ20" t="s">
        <v>153</v>
      </c>
      <c r="EA20" t="s">
        <v>153</v>
      </c>
      <c r="EB20" t="s">
        <v>153</v>
      </c>
      <c r="EC20" t="s">
        <v>153</v>
      </c>
      <c r="ED20" t="s">
        <v>153</v>
      </c>
      <c r="EE20" t="s">
        <v>153</v>
      </c>
      <c r="EF20" t="s">
        <v>153</v>
      </c>
      <c r="EH20" t="s">
        <v>153</v>
      </c>
      <c r="EI20" t="s">
        <v>153</v>
      </c>
      <c r="EJ20" t="s">
        <v>153</v>
      </c>
      <c r="EK20" t="s">
        <v>153</v>
      </c>
      <c r="EM20" t="s">
        <v>153</v>
      </c>
      <c r="EN20" t="s">
        <v>153</v>
      </c>
      <c r="EP20" s="4" t="s">
        <v>153</v>
      </c>
      <c r="EQ20" s="4" t="s">
        <v>153</v>
      </c>
      <c r="ER20" s="4" t="s">
        <v>205</v>
      </c>
      <c r="ES20" s="4" t="s">
        <v>153</v>
      </c>
      <c r="ET20" t="s">
        <v>153</v>
      </c>
      <c r="EU20" t="s">
        <v>418</v>
      </c>
      <c r="EV20" t="s">
        <v>446</v>
      </c>
      <c r="EW20">
        <v>1028922980</v>
      </c>
      <c r="EX20" t="s">
        <v>447</v>
      </c>
    </row>
    <row r="21" spans="1:154" x14ac:dyDescent="0.25">
      <c r="A21" s="3">
        <v>44868.899710648147</v>
      </c>
      <c r="B21" s="4" t="s">
        <v>3</v>
      </c>
      <c r="C21" s="4" t="s">
        <v>448</v>
      </c>
      <c r="D21" s="4" t="s">
        <v>449</v>
      </c>
      <c r="E21" s="4" t="s">
        <v>450</v>
      </c>
      <c r="F21" s="4" t="s">
        <v>451</v>
      </c>
      <c r="G21" s="4" t="s">
        <v>423</v>
      </c>
      <c r="H21" s="4" t="s">
        <v>226</v>
      </c>
      <c r="I21" s="4" t="s">
        <v>153</v>
      </c>
      <c r="J21" s="4" t="s">
        <v>153</v>
      </c>
      <c r="K21" s="5"/>
      <c r="L21" s="4" t="s">
        <v>153</v>
      </c>
      <c r="M21" s="4" t="s">
        <v>153</v>
      </c>
      <c r="N21" s="4" t="s">
        <v>153</v>
      </c>
      <c r="O21" s="4" t="s">
        <v>153</v>
      </c>
      <c r="P21" s="4" t="s">
        <v>153</v>
      </c>
      <c r="Q21" s="4" t="s">
        <v>153</v>
      </c>
      <c r="R21" s="4" t="s">
        <v>153</v>
      </c>
      <c r="S21" s="4" t="s">
        <v>153</v>
      </c>
      <c r="T21" s="4" t="s">
        <v>153</v>
      </c>
      <c r="U21" s="4" t="s">
        <v>153</v>
      </c>
      <c r="V21" s="4" t="s">
        <v>153</v>
      </c>
      <c r="W21" s="4" t="s">
        <v>153</v>
      </c>
      <c r="X21" s="4" t="s">
        <v>153</v>
      </c>
      <c r="Y21" s="4" t="s">
        <v>153</v>
      </c>
      <c r="Z21" s="4" t="s">
        <v>153</v>
      </c>
      <c r="AA21" s="4" t="s">
        <v>153</v>
      </c>
      <c r="AB21" s="4" t="s">
        <v>153</v>
      </c>
      <c r="AC21" s="4" t="s">
        <v>153</v>
      </c>
      <c r="AD21" s="4" t="s">
        <v>153</v>
      </c>
      <c r="AE21" s="4" t="s">
        <v>153</v>
      </c>
      <c r="AF21" s="4" t="s">
        <v>153</v>
      </c>
      <c r="AG21" s="4" t="s">
        <v>153</v>
      </c>
      <c r="AH21" s="4" t="s">
        <v>153</v>
      </c>
      <c r="AI21" s="5"/>
      <c r="AJ21" t="s">
        <v>153</v>
      </c>
      <c r="AK21" s="4"/>
      <c r="AL21" t="s">
        <v>153</v>
      </c>
      <c r="AM21" t="s">
        <v>153</v>
      </c>
      <c r="AO21" t="s">
        <v>153</v>
      </c>
      <c r="AP21" s="4"/>
      <c r="AQ21" t="s">
        <v>153</v>
      </c>
      <c r="AR21" s="5"/>
      <c r="AT21" s="4" t="s">
        <v>153</v>
      </c>
      <c r="AU21" s="4" t="s">
        <v>153</v>
      </c>
      <c r="AV21" s="4" t="s">
        <v>153</v>
      </c>
      <c r="AW21" t="s">
        <v>153</v>
      </c>
      <c r="AX21" t="s">
        <v>153</v>
      </c>
      <c r="AY21" t="s">
        <v>153</v>
      </c>
      <c r="AZ21" t="s">
        <v>153</v>
      </c>
      <c r="BA21" t="s">
        <v>153</v>
      </c>
      <c r="BB21" t="s">
        <v>153</v>
      </c>
      <c r="BC21" t="s">
        <v>153</v>
      </c>
      <c r="BD21" s="4" t="s">
        <v>153</v>
      </c>
      <c r="BE21" s="4" t="s">
        <v>153</v>
      </c>
      <c r="BF21" t="s">
        <v>153</v>
      </c>
      <c r="BG21" s="4" t="s">
        <v>153</v>
      </c>
      <c r="BH21" t="s">
        <v>153</v>
      </c>
      <c r="BI21" s="4" t="s">
        <v>452</v>
      </c>
      <c r="BJ21" t="s">
        <v>453</v>
      </c>
      <c r="BK21" s="4" t="s">
        <v>453</v>
      </c>
      <c r="BL21" t="s">
        <v>448</v>
      </c>
      <c r="BM21" t="s">
        <v>449</v>
      </c>
      <c r="BN21" s="4" t="s">
        <v>403</v>
      </c>
      <c r="BO21" s="4" t="s">
        <v>191</v>
      </c>
      <c r="BP21" s="4" t="s">
        <v>454</v>
      </c>
      <c r="BQ21" s="4" t="s">
        <v>153</v>
      </c>
      <c r="BR21" s="4" t="s">
        <v>455</v>
      </c>
      <c r="BS21" s="4" t="s">
        <v>153</v>
      </c>
      <c r="BT21" s="4" t="s">
        <v>456</v>
      </c>
      <c r="BU21" s="4" t="s">
        <v>457</v>
      </c>
      <c r="BV21" s="4">
        <v>83805</v>
      </c>
      <c r="BW21" s="4" t="s">
        <v>430</v>
      </c>
      <c r="BX21" s="4" t="s">
        <v>458</v>
      </c>
      <c r="BY21" s="4" t="s">
        <v>153</v>
      </c>
      <c r="BZ21" s="4" t="s">
        <v>456</v>
      </c>
      <c r="CA21" s="4" t="s">
        <v>457</v>
      </c>
      <c r="CB21" s="4">
        <v>83805</v>
      </c>
      <c r="CC21" s="4" t="s">
        <v>430</v>
      </c>
      <c r="CD21" t="s">
        <v>459</v>
      </c>
      <c r="CE21" s="4" t="s">
        <v>460</v>
      </c>
      <c r="CF21" s="4" t="s">
        <v>451</v>
      </c>
      <c r="CG21" s="4" t="s">
        <v>461</v>
      </c>
      <c r="CH21" s="5"/>
      <c r="CI21" t="s">
        <v>445</v>
      </c>
      <c r="CJ21" s="4">
        <v>6</v>
      </c>
      <c r="CK21" t="s">
        <v>433</v>
      </c>
      <c r="CL21" t="s">
        <v>153</v>
      </c>
      <c r="CM21" t="s">
        <v>153</v>
      </c>
      <c r="CN21" t="s">
        <v>153</v>
      </c>
      <c r="CO21" s="5"/>
      <c r="CP21" s="4" t="s">
        <v>153</v>
      </c>
      <c r="CQ21" s="4" t="s">
        <v>153</v>
      </c>
      <c r="CR21" t="s">
        <v>153</v>
      </c>
      <c r="CS21" t="s">
        <v>153</v>
      </c>
      <c r="CT21" t="s">
        <v>153</v>
      </c>
      <c r="CU21" t="s">
        <v>153</v>
      </c>
      <c r="CV21" t="s">
        <v>153</v>
      </c>
      <c r="CW21" t="s">
        <v>153</v>
      </c>
      <c r="CX21" t="s">
        <v>153</v>
      </c>
      <c r="CY21" t="s">
        <v>153</v>
      </c>
      <c r="CZ21" t="s">
        <v>153</v>
      </c>
      <c r="DA21" t="s">
        <v>153</v>
      </c>
      <c r="DB21" t="s">
        <v>153</v>
      </c>
      <c r="DC21" t="s">
        <v>153</v>
      </c>
      <c r="DD21" t="s">
        <v>153</v>
      </c>
      <c r="DE21" t="s">
        <v>153</v>
      </c>
      <c r="DF21" t="s">
        <v>153</v>
      </c>
      <c r="DG21" t="s">
        <v>153</v>
      </c>
      <c r="DI21" t="s">
        <v>153</v>
      </c>
      <c r="DJ21" t="s">
        <v>153</v>
      </c>
      <c r="DK21" t="s">
        <v>153</v>
      </c>
      <c r="DL21" t="s">
        <v>153</v>
      </c>
      <c r="DN21" t="s">
        <v>153</v>
      </c>
      <c r="DO21" t="s">
        <v>153</v>
      </c>
      <c r="DP21" t="s">
        <v>153</v>
      </c>
      <c r="DQ21" t="s">
        <v>153</v>
      </c>
      <c r="DR21" t="s">
        <v>153</v>
      </c>
      <c r="DS21" t="s">
        <v>153</v>
      </c>
      <c r="DT21" t="s">
        <v>153</v>
      </c>
      <c r="DU21" t="s">
        <v>153</v>
      </c>
      <c r="DV21" t="s">
        <v>153</v>
      </c>
      <c r="DW21" t="s">
        <v>153</v>
      </c>
      <c r="DX21" s="2"/>
      <c r="DY21" t="s">
        <v>153</v>
      </c>
      <c r="DZ21" t="s">
        <v>153</v>
      </c>
      <c r="EA21" t="s">
        <v>153</v>
      </c>
      <c r="EB21" t="s">
        <v>153</v>
      </c>
      <c r="EC21" t="s">
        <v>153</v>
      </c>
      <c r="ED21" t="s">
        <v>153</v>
      </c>
      <c r="EE21" t="s">
        <v>153</v>
      </c>
      <c r="EF21" t="s">
        <v>153</v>
      </c>
      <c r="EH21" t="s">
        <v>153</v>
      </c>
      <c r="EI21" t="s">
        <v>153</v>
      </c>
      <c r="EJ21" t="s">
        <v>153</v>
      </c>
      <c r="EK21" t="s">
        <v>153</v>
      </c>
      <c r="EM21" t="s">
        <v>153</v>
      </c>
      <c r="EN21" t="s">
        <v>153</v>
      </c>
      <c r="EP21" s="4" t="s">
        <v>153</v>
      </c>
      <c r="EQ21" s="4" t="s">
        <v>153</v>
      </c>
      <c r="ER21" s="4" t="s">
        <v>191</v>
      </c>
      <c r="ES21" s="4" t="s">
        <v>153</v>
      </c>
      <c r="ET21" t="s">
        <v>153</v>
      </c>
      <c r="EU21" t="s">
        <v>436</v>
      </c>
      <c r="EV21" t="s">
        <v>462</v>
      </c>
      <c r="EW21">
        <v>1029584926</v>
      </c>
      <c r="EX21" t="s">
        <v>463</v>
      </c>
    </row>
    <row r="22" spans="1:154" x14ac:dyDescent="0.25">
      <c r="A22" s="3">
        <v>44872.643750000003</v>
      </c>
      <c r="B22" s="4" t="s">
        <v>3</v>
      </c>
      <c r="C22" s="4" t="s">
        <v>464</v>
      </c>
      <c r="D22" s="4" t="s">
        <v>465</v>
      </c>
      <c r="E22" s="4" t="s">
        <v>466</v>
      </c>
      <c r="F22" s="4" t="s">
        <v>467</v>
      </c>
      <c r="G22" s="4" t="s">
        <v>185</v>
      </c>
      <c r="H22" s="4" t="s">
        <v>468</v>
      </c>
      <c r="I22" s="4" t="s">
        <v>153</v>
      </c>
      <c r="J22" s="4" t="s">
        <v>153</v>
      </c>
      <c r="K22" s="5"/>
      <c r="L22" s="4" t="s">
        <v>153</v>
      </c>
      <c r="M22" s="4" t="s">
        <v>469</v>
      </c>
      <c r="N22" s="4" t="s">
        <v>153</v>
      </c>
      <c r="O22" s="4" t="s">
        <v>470</v>
      </c>
      <c r="P22" s="4" t="s">
        <v>471</v>
      </c>
      <c r="Q22" s="4" t="s">
        <v>294</v>
      </c>
      <c r="R22" s="4" t="s">
        <v>191</v>
      </c>
      <c r="S22" s="4" t="s">
        <v>472</v>
      </c>
      <c r="T22" s="4" t="s">
        <v>153</v>
      </c>
      <c r="U22" s="4" t="s">
        <v>473</v>
      </c>
      <c r="V22" s="4" t="s">
        <v>474</v>
      </c>
      <c r="W22" s="4" t="s">
        <v>475</v>
      </c>
      <c r="X22" s="4" t="s">
        <v>476</v>
      </c>
      <c r="Y22" s="4" t="s">
        <v>477</v>
      </c>
      <c r="Z22" s="4" t="s">
        <v>237</v>
      </c>
      <c r="AA22" s="4" t="s">
        <v>473</v>
      </c>
      <c r="AB22" s="4" t="s">
        <v>153</v>
      </c>
      <c r="AC22" s="4" t="s">
        <v>475</v>
      </c>
      <c r="AD22" s="4" t="s">
        <v>476</v>
      </c>
      <c r="AE22" s="4" t="s">
        <v>477</v>
      </c>
      <c r="AF22" s="4" t="s">
        <v>478</v>
      </c>
      <c r="AG22" s="4" t="s">
        <v>479</v>
      </c>
      <c r="AH22" s="4" t="s">
        <v>480</v>
      </c>
      <c r="AI22" s="5">
        <v>44745</v>
      </c>
      <c r="AJ22" t="s">
        <v>445</v>
      </c>
      <c r="AK22" s="4">
        <v>10</v>
      </c>
      <c r="AL22" t="s">
        <v>153</v>
      </c>
      <c r="AM22" t="s">
        <v>153</v>
      </c>
      <c r="AO22" t="s">
        <v>153</v>
      </c>
      <c r="AP22" s="4"/>
      <c r="AQ22" t="s">
        <v>153</v>
      </c>
      <c r="AR22" s="5"/>
      <c r="AT22" s="4" t="s">
        <v>153</v>
      </c>
      <c r="AU22" s="4" t="s">
        <v>153</v>
      </c>
      <c r="AV22" s="4" t="s">
        <v>153</v>
      </c>
      <c r="AW22" t="s">
        <v>153</v>
      </c>
      <c r="AX22" t="s">
        <v>153</v>
      </c>
      <c r="AY22" t="s">
        <v>153</v>
      </c>
      <c r="AZ22" t="s">
        <v>153</v>
      </c>
      <c r="BA22" t="s">
        <v>153</v>
      </c>
      <c r="BB22" t="s">
        <v>153</v>
      </c>
      <c r="BC22" t="s">
        <v>153</v>
      </c>
      <c r="BD22" s="4" t="s">
        <v>153</v>
      </c>
      <c r="BE22" s="4" t="s">
        <v>153</v>
      </c>
      <c r="BF22" t="s">
        <v>153</v>
      </c>
      <c r="BG22" s="4" t="s">
        <v>153</v>
      </c>
      <c r="BH22" t="s">
        <v>153</v>
      </c>
      <c r="BI22" s="4" t="s">
        <v>153</v>
      </c>
      <c r="BJ22" t="s">
        <v>153</v>
      </c>
      <c r="BK22" s="4" t="s">
        <v>153</v>
      </c>
      <c r="BL22" t="s">
        <v>153</v>
      </c>
      <c r="BM22" t="s">
        <v>153</v>
      </c>
      <c r="BN22" s="4" t="s">
        <v>153</v>
      </c>
      <c r="BO22" s="4" t="s">
        <v>153</v>
      </c>
      <c r="BP22" s="4" t="s">
        <v>153</v>
      </c>
      <c r="BQ22" s="4" t="s">
        <v>153</v>
      </c>
      <c r="BR22" s="4" t="s">
        <v>153</v>
      </c>
      <c r="BS22" s="4" t="s">
        <v>153</v>
      </c>
      <c r="BT22" s="4" t="s">
        <v>153</v>
      </c>
      <c r="BU22" s="4" t="s">
        <v>153</v>
      </c>
      <c r="BV22" s="4"/>
      <c r="BW22" s="4" t="s">
        <v>153</v>
      </c>
      <c r="BX22" s="4" t="s">
        <v>153</v>
      </c>
      <c r="BY22" s="4" t="s">
        <v>153</v>
      </c>
      <c r="BZ22" s="4" t="s">
        <v>153</v>
      </c>
      <c r="CA22" s="4" t="s">
        <v>153</v>
      </c>
      <c r="CB22" s="4"/>
      <c r="CC22" s="4" t="s">
        <v>153</v>
      </c>
      <c r="CD22" t="s">
        <v>153</v>
      </c>
      <c r="CE22" s="4" t="s">
        <v>153</v>
      </c>
      <c r="CF22" s="4" t="s">
        <v>153</v>
      </c>
      <c r="CG22" s="4" t="s">
        <v>153</v>
      </c>
      <c r="CH22" s="5"/>
      <c r="CI22" t="s">
        <v>153</v>
      </c>
      <c r="CJ22" s="4"/>
      <c r="CK22" t="s">
        <v>153</v>
      </c>
      <c r="CL22" t="s">
        <v>153</v>
      </c>
      <c r="CM22" t="s">
        <v>153</v>
      </c>
      <c r="CN22" t="s">
        <v>153</v>
      </c>
      <c r="CO22" s="5"/>
      <c r="CP22" s="4" t="s">
        <v>153</v>
      </c>
      <c r="CQ22" s="4" t="s">
        <v>153</v>
      </c>
      <c r="CR22" t="s">
        <v>153</v>
      </c>
      <c r="CS22" t="s">
        <v>153</v>
      </c>
      <c r="CT22" t="s">
        <v>153</v>
      </c>
      <c r="CU22" t="s">
        <v>153</v>
      </c>
      <c r="CV22" t="s">
        <v>153</v>
      </c>
      <c r="CW22" t="s">
        <v>153</v>
      </c>
      <c r="CX22" t="s">
        <v>153</v>
      </c>
      <c r="CY22" t="s">
        <v>153</v>
      </c>
      <c r="CZ22" t="s">
        <v>153</v>
      </c>
      <c r="DA22" t="s">
        <v>153</v>
      </c>
      <c r="DB22" t="s">
        <v>153</v>
      </c>
      <c r="DC22" t="s">
        <v>153</v>
      </c>
      <c r="DD22" t="s">
        <v>153</v>
      </c>
      <c r="DE22" t="s">
        <v>153</v>
      </c>
      <c r="DF22" t="s">
        <v>153</v>
      </c>
      <c r="DG22" t="s">
        <v>153</v>
      </c>
      <c r="DI22" t="s">
        <v>153</v>
      </c>
      <c r="DJ22" t="s">
        <v>153</v>
      </c>
      <c r="DK22" t="s">
        <v>153</v>
      </c>
      <c r="DL22" t="s">
        <v>153</v>
      </c>
      <c r="DN22" t="s">
        <v>153</v>
      </c>
      <c r="DO22" t="s">
        <v>153</v>
      </c>
      <c r="DP22" t="s">
        <v>153</v>
      </c>
      <c r="DQ22" t="s">
        <v>153</v>
      </c>
      <c r="DR22" t="s">
        <v>153</v>
      </c>
      <c r="DS22" t="s">
        <v>153</v>
      </c>
      <c r="DT22" t="s">
        <v>153</v>
      </c>
      <c r="DU22" t="s">
        <v>153</v>
      </c>
      <c r="DV22" t="s">
        <v>153</v>
      </c>
      <c r="DW22" t="s">
        <v>153</v>
      </c>
      <c r="DX22" s="2"/>
      <c r="DY22" t="s">
        <v>153</v>
      </c>
      <c r="DZ22" t="s">
        <v>153</v>
      </c>
      <c r="EA22" t="s">
        <v>153</v>
      </c>
      <c r="EB22" t="s">
        <v>153</v>
      </c>
      <c r="EC22" t="s">
        <v>153</v>
      </c>
      <c r="ED22" t="s">
        <v>153</v>
      </c>
      <c r="EE22" t="s">
        <v>153</v>
      </c>
      <c r="EF22" t="s">
        <v>153</v>
      </c>
      <c r="EH22" t="s">
        <v>153</v>
      </c>
      <c r="EI22" t="s">
        <v>153</v>
      </c>
      <c r="EJ22" t="s">
        <v>153</v>
      </c>
      <c r="EK22" t="s">
        <v>153</v>
      </c>
      <c r="EM22" t="s">
        <v>153</v>
      </c>
      <c r="EN22" t="s">
        <v>153</v>
      </c>
      <c r="EP22" s="4" t="s">
        <v>205</v>
      </c>
      <c r="EQ22" s="4" t="s">
        <v>153</v>
      </c>
      <c r="ER22" s="4" t="s">
        <v>191</v>
      </c>
      <c r="ES22" s="4" t="s">
        <v>153</v>
      </c>
      <c r="ET22" t="s">
        <v>481</v>
      </c>
      <c r="EU22" t="s">
        <v>418</v>
      </c>
      <c r="EV22" t="s">
        <v>482</v>
      </c>
      <c r="EW22">
        <v>1030839988</v>
      </c>
      <c r="EX22" t="s">
        <v>483</v>
      </c>
    </row>
    <row r="23" spans="1:154" x14ac:dyDescent="0.25">
      <c r="A23" s="3">
        <v>44874.621388888889</v>
      </c>
      <c r="B23" s="4" t="s">
        <v>3</v>
      </c>
      <c r="C23" s="4" t="s">
        <v>484</v>
      </c>
      <c r="D23" s="4" t="s">
        <v>485</v>
      </c>
      <c r="E23" s="4" t="s">
        <v>486</v>
      </c>
      <c r="F23" s="4" t="s">
        <v>487</v>
      </c>
      <c r="G23" s="4" t="s">
        <v>423</v>
      </c>
      <c r="H23" s="4" t="s">
        <v>226</v>
      </c>
      <c r="I23" s="4" t="s">
        <v>153</v>
      </c>
      <c r="J23" s="4" t="s">
        <v>153</v>
      </c>
      <c r="K23" s="5"/>
      <c r="L23" s="4" t="s">
        <v>153</v>
      </c>
      <c r="M23" s="4" t="s">
        <v>153</v>
      </c>
      <c r="N23" s="4" t="s">
        <v>153</v>
      </c>
      <c r="O23" s="4" t="s">
        <v>153</v>
      </c>
      <c r="P23" s="4" t="s">
        <v>153</v>
      </c>
      <c r="Q23" s="4" t="s">
        <v>153</v>
      </c>
      <c r="R23" s="4" t="s">
        <v>153</v>
      </c>
      <c r="S23" s="4" t="s">
        <v>153</v>
      </c>
      <c r="T23" s="4" t="s">
        <v>153</v>
      </c>
      <c r="U23" s="4" t="s">
        <v>153</v>
      </c>
      <c r="V23" s="4" t="s">
        <v>153</v>
      </c>
      <c r="W23" s="4" t="s">
        <v>153</v>
      </c>
      <c r="X23" s="4" t="s">
        <v>153</v>
      </c>
      <c r="Y23" s="4" t="s">
        <v>153</v>
      </c>
      <c r="Z23" s="4" t="s">
        <v>153</v>
      </c>
      <c r="AA23" s="4" t="s">
        <v>153</v>
      </c>
      <c r="AB23" s="4" t="s">
        <v>153</v>
      </c>
      <c r="AC23" s="4" t="s">
        <v>153</v>
      </c>
      <c r="AD23" s="4" t="s">
        <v>153</v>
      </c>
      <c r="AE23" s="4" t="s">
        <v>153</v>
      </c>
      <c r="AF23" s="4" t="s">
        <v>153</v>
      </c>
      <c r="AG23" s="4" t="s">
        <v>153</v>
      </c>
      <c r="AH23" s="4" t="s">
        <v>153</v>
      </c>
      <c r="AI23" s="5"/>
      <c r="AJ23" t="s">
        <v>153</v>
      </c>
      <c r="AK23" s="4"/>
      <c r="AL23" t="s">
        <v>153</v>
      </c>
      <c r="AM23" t="s">
        <v>153</v>
      </c>
      <c r="AO23" t="s">
        <v>153</v>
      </c>
      <c r="AP23" s="4"/>
      <c r="AQ23" t="s">
        <v>153</v>
      </c>
      <c r="AR23" s="5"/>
      <c r="AT23" s="4" t="s">
        <v>153</v>
      </c>
      <c r="AU23" s="4" t="s">
        <v>153</v>
      </c>
      <c r="AV23" s="4" t="s">
        <v>153</v>
      </c>
      <c r="AW23" t="s">
        <v>153</v>
      </c>
      <c r="AX23" t="s">
        <v>153</v>
      </c>
      <c r="AY23" t="s">
        <v>153</v>
      </c>
      <c r="AZ23" t="s">
        <v>153</v>
      </c>
      <c r="BA23" t="s">
        <v>153</v>
      </c>
      <c r="BB23" t="s">
        <v>153</v>
      </c>
      <c r="BC23" t="s">
        <v>153</v>
      </c>
      <c r="BD23" s="4" t="s">
        <v>153</v>
      </c>
      <c r="BE23" s="4" t="s">
        <v>153</v>
      </c>
      <c r="BF23" t="s">
        <v>153</v>
      </c>
      <c r="BG23" s="4" t="s">
        <v>153</v>
      </c>
      <c r="BH23" t="s">
        <v>153</v>
      </c>
      <c r="BI23" s="4" t="s">
        <v>480</v>
      </c>
      <c r="BJ23" t="s">
        <v>480</v>
      </c>
      <c r="BK23" s="4" t="s">
        <v>488</v>
      </c>
      <c r="BL23" t="s">
        <v>484</v>
      </c>
      <c r="BM23" t="s">
        <v>485</v>
      </c>
      <c r="BN23" s="4" t="s">
        <v>403</v>
      </c>
      <c r="BO23" s="4" t="s">
        <v>191</v>
      </c>
      <c r="BP23" s="4" t="s">
        <v>489</v>
      </c>
      <c r="BQ23" s="4" t="s">
        <v>153</v>
      </c>
      <c r="BR23" s="4" t="s">
        <v>490</v>
      </c>
      <c r="BS23" s="4" t="s">
        <v>153</v>
      </c>
      <c r="BT23" s="4" t="s">
        <v>491</v>
      </c>
      <c r="BU23" s="4" t="s">
        <v>167</v>
      </c>
      <c r="BV23" s="4">
        <v>99205</v>
      </c>
      <c r="BW23" s="4" t="s">
        <v>430</v>
      </c>
      <c r="BX23" s="4" t="s">
        <v>492</v>
      </c>
      <c r="BY23" s="4" t="s">
        <v>153</v>
      </c>
      <c r="BZ23" s="4" t="s">
        <v>491</v>
      </c>
      <c r="CA23" s="4" t="s">
        <v>167</v>
      </c>
      <c r="CB23" s="4">
        <v>99209</v>
      </c>
      <c r="CC23" s="4" t="s">
        <v>430</v>
      </c>
      <c r="CD23" t="s">
        <v>493</v>
      </c>
      <c r="CE23" s="4" t="s">
        <v>486</v>
      </c>
      <c r="CF23" s="4" t="s">
        <v>494</v>
      </c>
      <c r="CG23" s="4" t="s">
        <v>495</v>
      </c>
      <c r="CH23" s="5"/>
      <c r="CI23" t="s">
        <v>496</v>
      </c>
      <c r="CJ23" s="4">
        <v>10</v>
      </c>
      <c r="CK23" t="s">
        <v>433</v>
      </c>
      <c r="CL23" t="s">
        <v>497</v>
      </c>
      <c r="CM23" t="s">
        <v>153</v>
      </c>
      <c r="CN23" t="s">
        <v>153</v>
      </c>
      <c r="CO23" s="5"/>
      <c r="CP23" s="4" t="s">
        <v>153</v>
      </c>
      <c r="CQ23" s="4" t="s">
        <v>153</v>
      </c>
      <c r="CR23" t="s">
        <v>153</v>
      </c>
      <c r="CS23" t="s">
        <v>153</v>
      </c>
      <c r="CT23" t="s">
        <v>153</v>
      </c>
      <c r="CU23" t="s">
        <v>153</v>
      </c>
      <c r="CV23" t="s">
        <v>153</v>
      </c>
      <c r="CW23" t="s">
        <v>153</v>
      </c>
      <c r="CX23" t="s">
        <v>153</v>
      </c>
      <c r="CY23" t="s">
        <v>153</v>
      </c>
      <c r="CZ23" t="s">
        <v>153</v>
      </c>
      <c r="DA23" t="s">
        <v>153</v>
      </c>
      <c r="DB23" t="s">
        <v>153</v>
      </c>
      <c r="DC23" t="s">
        <v>153</v>
      </c>
      <c r="DD23" t="s">
        <v>153</v>
      </c>
      <c r="DE23" t="s">
        <v>153</v>
      </c>
      <c r="DF23" t="s">
        <v>153</v>
      </c>
      <c r="DG23" t="s">
        <v>153</v>
      </c>
      <c r="DI23" t="s">
        <v>153</v>
      </c>
      <c r="DJ23" t="s">
        <v>153</v>
      </c>
      <c r="DK23" t="s">
        <v>153</v>
      </c>
      <c r="DL23" t="s">
        <v>153</v>
      </c>
      <c r="DN23" t="s">
        <v>153</v>
      </c>
      <c r="DO23" t="s">
        <v>153</v>
      </c>
      <c r="DP23" t="s">
        <v>153</v>
      </c>
      <c r="DQ23" t="s">
        <v>153</v>
      </c>
      <c r="DR23" t="s">
        <v>153</v>
      </c>
      <c r="DS23" t="s">
        <v>153</v>
      </c>
      <c r="DT23" t="s">
        <v>153</v>
      </c>
      <c r="DU23" t="s">
        <v>153</v>
      </c>
      <c r="DV23" t="s">
        <v>153</v>
      </c>
      <c r="DW23" t="s">
        <v>153</v>
      </c>
      <c r="DX23" s="2"/>
      <c r="DY23" t="s">
        <v>153</v>
      </c>
      <c r="DZ23" t="s">
        <v>153</v>
      </c>
      <c r="EA23" t="s">
        <v>153</v>
      </c>
      <c r="EB23" t="s">
        <v>153</v>
      </c>
      <c r="EC23" t="s">
        <v>153</v>
      </c>
      <c r="ED23" t="s">
        <v>153</v>
      </c>
      <c r="EE23" t="s">
        <v>153</v>
      </c>
      <c r="EF23" t="s">
        <v>153</v>
      </c>
      <c r="EH23" t="s">
        <v>153</v>
      </c>
      <c r="EI23" t="s">
        <v>153</v>
      </c>
      <c r="EJ23" t="s">
        <v>153</v>
      </c>
      <c r="EK23" t="s">
        <v>153</v>
      </c>
      <c r="EM23" t="s">
        <v>153</v>
      </c>
      <c r="EN23" t="s">
        <v>153</v>
      </c>
      <c r="EP23" s="4" t="s">
        <v>153</v>
      </c>
      <c r="EQ23" s="4" t="s">
        <v>153</v>
      </c>
      <c r="ER23" s="4" t="s">
        <v>191</v>
      </c>
      <c r="ES23" s="4" t="s">
        <v>153</v>
      </c>
      <c r="ET23" t="s">
        <v>498</v>
      </c>
      <c r="EU23" t="s">
        <v>499</v>
      </c>
      <c r="EV23" t="s">
        <v>500</v>
      </c>
      <c r="EW23">
        <v>1031752330</v>
      </c>
      <c r="EX23" t="s">
        <v>501</v>
      </c>
    </row>
    <row r="24" spans="1:154" x14ac:dyDescent="0.25">
      <c r="A24" s="3">
        <v>44874.759166666663</v>
      </c>
      <c r="B24" s="4" t="s">
        <v>3</v>
      </c>
      <c r="C24" s="4" t="s">
        <v>502</v>
      </c>
      <c r="D24" s="4" t="s">
        <v>503</v>
      </c>
      <c r="E24" s="4" t="s">
        <v>504</v>
      </c>
      <c r="F24" s="4" t="s">
        <v>505</v>
      </c>
      <c r="G24" s="4" t="s">
        <v>185</v>
      </c>
      <c r="H24" s="4" t="s">
        <v>506</v>
      </c>
      <c r="I24" s="4" t="s">
        <v>153</v>
      </c>
      <c r="J24" s="4" t="s">
        <v>153</v>
      </c>
      <c r="K24" s="5"/>
      <c r="L24" s="4" t="s">
        <v>153</v>
      </c>
      <c r="M24" s="4" t="s">
        <v>507</v>
      </c>
      <c r="N24" s="4" t="s">
        <v>153</v>
      </c>
      <c r="O24" s="4" t="s">
        <v>508</v>
      </c>
      <c r="P24" s="4" t="s">
        <v>509</v>
      </c>
      <c r="Q24" s="4" t="s">
        <v>294</v>
      </c>
      <c r="R24" s="4" t="s">
        <v>191</v>
      </c>
      <c r="S24" s="4" t="s">
        <v>510</v>
      </c>
      <c r="T24" s="4" t="s">
        <v>153</v>
      </c>
      <c r="U24" s="4" t="s">
        <v>511</v>
      </c>
      <c r="V24" s="4" t="s">
        <v>153</v>
      </c>
      <c r="W24" s="4" t="s">
        <v>512</v>
      </c>
      <c r="X24" s="4" t="s">
        <v>297</v>
      </c>
      <c r="Y24" s="4" t="s">
        <v>513</v>
      </c>
      <c r="Z24" s="4" t="s">
        <v>237</v>
      </c>
      <c r="AA24" s="4" t="s">
        <v>514</v>
      </c>
      <c r="AB24" s="4" t="s">
        <v>153</v>
      </c>
      <c r="AC24" s="4" t="s">
        <v>512</v>
      </c>
      <c r="AD24" s="4" t="s">
        <v>297</v>
      </c>
      <c r="AE24" s="4" t="s">
        <v>513</v>
      </c>
      <c r="AF24" s="4" t="s">
        <v>515</v>
      </c>
      <c r="AG24" s="4" t="s">
        <v>516</v>
      </c>
      <c r="AH24" s="4" t="s">
        <v>517</v>
      </c>
      <c r="AI24" s="5">
        <v>44213</v>
      </c>
      <c r="AJ24" t="s">
        <v>336</v>
      </c>
      <c r="AK24" s="4">
        <v>25</v>
      </c>
      <c r="AL24" t="s">
        <v>153</v>
      </c>
      <c r="AM24" t="s">
        <v>153</v>
      </c>
      <c r="AO24" t="s">
        <v>153</v>
      </c>
      <c r="AP24" s="4"/>
      <c r="AQ24" t="s">
        <v>153</v>
      </c>
      <c r="AR24" s="5"/>
      <c r="AT24" s="4" t="s">
        <v>153</v>
      </c>
      <c r="AU24" s="4" t="s">
        <v>153</v>
      </c>
      <c r="AV24" s="4" t="s">
        <v>153</v>
      </c>
      <c r="AW24" t="s">
        <v>153</v>
      </c>
      <c r="AX24" t="s">
        <v>153</v>
      </c>
      <c r="AY24" t="s">
        <v>153</v>
      </c>
      <c r="AZ24" t="s">
        <v>153</v>
      </c>
      <c r="BA24" t="s">
        <v>153</v>
      </c>
      <c r="BB24" t="s">
        <v>153</v>
      </c>
      <c r="BC24" t="s">
        <v>153</v>
      </c>
      <c r="BD24" s="4" t="s">
        <v>153</v>
      </c>
      <c r="BE24" s="4" t="s">
        <v>153</v>
      </c>
      <c r="BF24" t="s">
        <v>153</v>
      </c>
      <c r="BG24" s="4" t="s">
        <v>153</v>
      </c>
      <c r="BH24" t="s">
        <v>153</v>
      </c>
      <c r="BI24" s="4" t="s">
        <v>153</v>
      </c>
      <c r="BJ24" t="s">
        <v>153</v>
      </c>
      <c r="BK24" s="4" t="s">
        <v>153</v>
      </c>
      <c r="BL24" t="s">
        <v>153</v>
      </c>
      <c r="BM24" t="s">
        <v>153</v>
      </c>
      <c r="BN24" s="4" t="s">
        <v>153</v>
      </c>
      <c r="BO24" s="4" t="s">
        <v>153</v>
      </c>
      <c r="BP24" s="4" t="s">
        <v>153</v>
      </c>
      <c r="BQ24" s="4" t="s">
        <v>153</v>
      </c>
      <c r="BR24" s="4" t="s">
        <v>153</v>
      </c>
      <c r="BS24" s="4" t="s">
        <v>153</v>
      </c>
      <c r="BT24" s="4" t="s">
        <v>153</v>
      </c>
      <c r="BU24" s="4" t="s">
        <v>153</v>
      </c>
      <c r="BV24" s="4"/>
      <c r="BW24" s="4" t="s">
        <v>153</v>
      </c>
      <c r="BX24" s="4" t="s">
        <v>153</v>
      </c>
      <c r="BY24" s="4" t="s">
        <v>153</v>
      </c>
      <c r="BZ24" s="4" t="s">
        <v>153</v>
      </c>
      <c r="CA24" s="4" t="s">
        <v>153</v>
      </c>
      <c r="CB24" s="4"/>
      <c r="CC24" s="4" t="s">
        <v>153</v>
      </c>
      <c r="CD24" t="s">
        <v>153</v>
      </c>
      <c r="CE24" s="4" t="s">
        <v>153</v>
      </c>
      <c r="CF24" s="4" t="s">
        <v>153</v>
      </c>
      <c r="CG24" s="4" t="s">
        <v>153</v>
      </c>
      <c r="CH24" s="5"/>
      <c r="CI24" t="s">
        <v>153</v>
      </c>
      <c r="CJ24" s="4"/>
      <c r="CK24" t="s">
        <v>153</v>
      </c>
      <c r="CL24" t="s">
        <v>153</v>
      </c>
      <c r="CM24" t="s">
        <v>153</v>
      </c>
      <c r="CN24" t="s">
        <v>153</v>
      </c>
      <c r="CO24" s="5"/>
      <c r="CP24" s="4" t="s">
        <v>153</v>
      </c>
      <c r="CQ24" s="4" t="s">
        <v>153</v>
      </c>
      <c r="CR24" t="s">
        <v>153</v>
      </c>
      <c r="CS24" t="s">
        <v>153</v>
      </c>
      <c r="CT24" t="s">
        <v>153</v>
      </c>
      <c r="CU24" t="s">
        <v>153</v>
      </c>
      <c r="CV24" t="s">
        <v>153</v>
      </c>
      <c r="CW24" t="s">
        <v>153</v>
      </c>
      <c r="CX24" t="s">
        <v>153</v>
      </c>
      <c r="CY24" t="s">
        <v>153</v>
      </c>
      <c r="CZ24" t="s">
        <v>153</v>
      </c>
      <c r="DA24" t="s">
        <v>153</v>
      </c>
      <c r="DB24" t="s">
        <v>153</v>
      </c>
      <c r="DC24" t="s">
        <v>153</v>
      </c>
      <c r="DD24" t="s">
        <v>153</v>
      </c>
      <c r="DE24" t="s">
        <v>153</v>
      </c>
      <c r="DF24" t="s">
        <v>153</v>
      </c>
      <c r="DG24" t="s">
        <v>153</v>
      </c>
      <c r="DI24" t="s">
        <v>153</v>
      </c>
      <c r="DJ24" t="s">
        <v>153</v>
      </c>
      <c r="DK24" t="s">
        <v>153</v>
      </c>
      <c r="DL24" t="s">
        <v>153</v>
      </c>
      <c r="DN24" t="s">
        <v>153</v>
      </c>
      <c r="DO24" t="s">
        <v>153</v>
      </c>
      <c r="DP24" t="s">
        <v>153</v>
      </c>
      <c r="DQ24" t="s">
        <v>153</v>
      </c>
      <c r="DR24" t="s">
        <v>153</v>
      </c>
      <c r="DS24" t="s">
        <v>153</v>
      </c>
      <c r="DT24" t="s">
        <v>153</v>
      </c>
      <c r="DU24" t="s">
        <v>153</v>
      </c>
      <c r="DV24" t="s">
        <v>153</v>
      </c>
      <c r="DW24" t="s">
        <v>153</v>
      </c>
      <c r="DX24" s="2"/>
      <c r="DY24" t="s">
        <v>153</v>
      </c>
      <c r="DZ24" t="s">
        <v>153</v>
      </c>
      <c r="EA24" t="s">
        <v>153</v>
      </c>
      <c r="EB24" t="s">
        <v>153</v>
      </c>
      <c r="EC24" t="s">
        <v>153</v>
      </c>
      <c r="ED24" t="s">
        <v>153</v>
      </c>
      <c r="EE24" t="s">
        <v>153</v>
      </c>
      <c r="EF24" t="s">
        <v>153</v>
      </c>
      <c r="EH24" t="s">
        <v>153</v>
      </c>
      <c r="EI24" t="s">
        <v>153</v>
      </c>
      <c r="EJ24" t="s">
        <v>153</v>
      </c>
      <c r="EK24" t="s">
        <v>153</v>
      </c>
      <c r="EM24" t="s">
        <v>153</v>
      </c>
      <c r="EN24" t="s">
        <v>153</v>
      </c>
      <c r="EP24" s="4" t="s">
        <v>205</v>
      </c>
      <c r="EQ24" s="4" t="s">
        <v>153</v>
      </c>
      <c r="ER24" s="4" t="s">
        <v>191</v>
      </c>
      <c r="ES24" s="4" t="s">
        <v>153</v>
      </c>
      <c r="ET24" t="s">
        <v>518</v>
      </c>
      <c r="EU24" t="s">
        <v>418</v>
      </c>
      <c r="EV24" t="s">
        <v>519</v>
      </c>
      <c r="EW24">
        <v>1031862459</v>
      </c>
      <c r="EX24" t="s">
        <v>520</v>
      </c>
    </row>
    <row r="25" spans="1:154" x14ac:dyDescent="0.25">
      <c r="A25" s="3">
        <v>44876.667245370372</v>
      </c>
      <c r="B25" s="4" t="s">
        <v>3</v>
      </c>
      <c r="C25" s="4" t="s">
        <v>521</v>
      </c>
      <c r="D25" s="4" t="s">
        <v>522</v>
      </c>
      <c r="E25" s="4" t="s">
        <v>523</v>
      </c>
      <c r="F25" s="4" t="s">
        <v>524</v>
      </c>
      <c r="G25" s="4" t="s">
        <v>158</v>
      </c>
      <c r="H25" s="4" t="s">
        <v>525</v>
      </c>
      <c r="I25" s="4" t="s">
        <v>153</v>
      </c>
      <c r="J25" s="4" t="s">
        <v>153</v>
      </c>
      <c r="K25" s="5"/>
      <c r="L25" s="4" t="s">
        <v>153</v>
      </c>
      <c r="M25" s="4" t="s">
        <v>153</v>
      </c>
      <c r="N25" s="4" t="s">
        <v>153</v>
      </c>
      <c r="O25" s="4" t="s">
        <v>153</v>
      </c>
      <c r="P25" s="4" t="s">
        <v>153</v>
      </c>
      <c r="Q25" s="4" t="s">
        <v>153</v>
      </c>
      <c r="R25" s="4" t="s">
        <v>153</v>
      </c>
      <c r="S25" s="4" t="s">
        <v>153</v>
      </c>
      <c r="T25" s="4" t="s">
        <v>153</v>
      </c>
      <c r="U25" s="4" t="s">
        <v>153</v>
      </c>
      <c r="V25" s="4" t="s">
        <v>153</v>
      </c>
      <c r="W25" s="4" t="s">
        <v>153</v>
      </c>
      <c r="X25" s="4" t="s">
        <v>153</v>
      </c>
      <c r="Y25" s="4" t="s">
        <v>153</v>
      </c>
      <c r="Z25" s="4" t="s">
        <v>153</v>
      </c>
      <c r="AA25" s="4" t="s">
        <v>153</v>
      </c>
      <c r="AB25" s="4" t="s">
        <v>153</v>
      </c>
      <c r="AC25" s="4" t="s">
        <v>153</v>
      </c>
      <c r="AD25" s="4" t="s">
        <v>153</v>
      </c>
      <c r="AE25" s="4" t="s">
        <v>153</v>
      </c>
      <c r="AF25" s="4" t="s">
        <v>153</v>
      </c>
      <c r="AG25" s="4" t="s">
        <v>153</v>
      </c>
      <c r="AH25" s="4" t="s">
        <v>153</v>
      </c>
      <c r="AI25" s="5"/>
      <c r="AJ25" t="s">
        <v>153</v>
      </c>
      <c r="AK25" s="4"/>
      <c r="AL25" t="s">
        <v>153</v>
      </c>
      <c r="AM25" t="s">
        <v>153</v>
      </c>
      <c r="AO25" t="s">
        <v>153</v>
      </c>
      <c r="AP25" s="4"/>
      <c r="AQ25" t="s">
        <v>153</v>
      </c>
      <c r="AR25" s="5"/>
      <c r="AT25" s="4" t="s">
        <v>153</v>
      </c>
      <c r="AU25" s="4" t="s">
        <v>153</v>
      </c>
      <c r="AV25" s="4" t="s">
        <v>153</v>
      </c>
      <c r="AW25" t="s">
        <v>153</v>
      </c>
      <c r="AX25" t="s">
        <v>153</v>
      </c>
      <c r="AY25" t="s">
        <v>153</v>
      </c>
      <c r="AZ25" t="s">
        <v>153</v>
      </c>
      <c r="BA25" t="s">
        <v>153</v>
      </c>
      <c r="BB25" t="s">
        <v>153</v>
      </c>
      <c r="BC25" t="s">
        <v>153</v>
      </c>
      <c r="BD25" s="4" t="s">
        <v>153</v>
      </c>
      <c r="BE25" s="4" t="s">
        <v>153</v>
      </c>
      <c r="BF25" t="s">
        <v>153</v>
      </c>
      <c r="BG25" s="4" t="s">
        <v>153</v>
      </c>
      <c r="BH25" t="s">
        <v>153</v>
      </c>
      <c r="BI25" s="4" t="s">
        <v>153</v>
      </c>
      <c r="BJ25" t="s">
        <v>153</v>
      </c>
      <c r="BK25" s="4" t="s">
        <v>153</v>
      </c>
      <c r="BL25" t="s">
        <v>153</v>
      </c>
      <c r="BM25" t="s">
        <v>153</v>
      </c>
      <c r="BN25" s="4" t="s">
        <v>153</v>
      </c>
      <c r="BO25" s="4" t="s">
        <v>153</v>
      </c>
      <c r="BP25" s="4" t="s">
        <v>153</v>
      </c>
      <c r="BQ25" s="4" t="s">
        <v>153</v>
      </c>
      <c r="BR25" s="4" t="s">
        <v>153</v>
      </c>
      <c r="BS25" s="4" t="s">
        <v>153</v>
      </c>
      <c r="BT25" s="4" t="s">
        <v>153</v>
      </c>
      <c r="BU25" s="4" t="s">
        <v>153</v>
      </c>
      <c r="BV25" s="4"/>
      <c r="BW25" s="4" t="s">
        <v>153</v>
      </c>
      <c r="BX25" s="4" t="s">
        <v>153</v>
      </c>
      <c r="BY25" s="4" t="s">
        <v>153</v>
      </c>
      <c r="BZ25" s="4" t="s">
        <v>153</v>
      </c>
      <c r="CA25" s="4" t="s">
        <v>153</v>
      </c>
      <c r="CB25" s="4"/>
      <c r="CC25" s="4" t="s">
        <v>153</v>
      </c>
      <c r="CD25" t="s">
        <v>153</v>
      </c>
      <c r="CE25" s="4" t="s">
        <v>153</v>
      </c>
      <c r="CF25" s="4" t="s">
        <v>153</v>
      </c>
      <c r="CG25" s="4" t="s">
        <v>153</v>
      </c>
      <c r="CH25" s="5"/>
      <c r="CI25" t="s">
        <v>153</v>
      </c>
      <c r="CJ25" s="4"/>
      <c r="CK25" t="s">
        <v>153</v>
      </c>
      <c r="CL25" t="s">
        <v>153</v>
      </c>
      <c r="CM25" t="s">
        <v>153</v>
      </c>
      <c r="CN25" t="s">
        <v>160</v>
      </c>
      <c r="CO25" s="5">
        <v>44075</v>
      </c>
      <c r="CP25" s="4" t="s">
        <v>526</v>
      </c>
      <c r="CQ25" s="4" t="s">
        <v>527</v>
      </c>
      <c r="CR25" t="s">
        <v>528</v>
      </c>
      <c r="CS25" t="s">
        <v>385</v>
      </c>
      <c r="CT25" t="s">
        <v>153</v>
      </c>
      <c r="CU25" t="s">
        <v>153</v>
      </c>
      <c r="CV25" t="s">
        <v>153</v>
      </c>
      <c r="CW25" t="s">
        <v>153</v>
      </c>
      <c r="CX25" t="s">
        <v>153</v>
      </c>
      <c r="CY25" t="s">
        <v>153</v>
      </c>
      <c r="CZ25" t="s">
        <v>153</v>
      </c>
      <c r="DA25" t="s">
        <v>153</v>
      </c>
      <c r="DB25" t="s">
        <v>153</v>
      </c>
      <c r="DC25" t="s">
        <v>153</v>
      </c>
      <c r="DD25" t="s">
        <v>529</v>
      </c>
      <c r="DE25" t="s">
        <v>153</v>
      </c>
      <c r="DF25" t="s">
        <v>530</v>
      </c>
      <c r="DG25" t="s">
        <v>347</v>
      </c>
      <c r="DH25">
        <v>90805</v>
      </c>
      <c r="DI25" t="s">
        <v>153</v>
      </c>
      <c r="DJ25" t="s">
        <v>153</v>
      </c>
      <c r="DK25" t="s">
        <v>153</v>
      </c>
      <c r="DL25" t="s">
        <v>153</v>
      </c>
      <c r="DN25" t="s">
        <v>531</v>
      </c>
      <c r="DO25" t="s">
        <v>532</v>
      </c>
      <c r="DP25" t="s">
        <v>533</v>
      </c>
      <c r="DQ25" t="s">
        <v>153</v>
      </c>
      <c r="DR25" t="s">
        <v>153</v>
      </c>
      <c r="DS25" t="s">
        <v>534</v>
      </c>
      <c r="DT25" t="s">
        <v>153</v>
      </c>
      <c r="DU25" t="s">
        <v>535</v>
      </c>
      <c r="DV25" t="s">
        <v>153</v>
      </c>
      <c r="DW25" t="s">
        <v>153</v>
      </c>
      <c r="DX25" s="2"/>
      <c r="DY25" t="s">
        <v>153</v>
      </c>
      <c r="DZ25" t="s">
        <v>153</v>
      </c>
      <c r="EA25" t="s">
        <v>153</v>
      </c>
      <c r="EB25" t="s">
        <v>153</v>
      </c>
      <c r="EC25" t="s">
        <v>153</v>
      </c>
      <c r="ED25" t="s">
        <v>153</v>
      </c>
      <c r="EE25" t="s">
        <v>153</v>
      </c>
      <c r="EF25" t="s">
        <v>153</v>
      </c>
      <c r="EH25" t="s">
        <v>153</v>
      </c>
      <c r="EI25" t="s">
        <v>153</v>
      </c>
      <c r="EJ25" t="s">
        <v>153</v>
      </c>
      <c r="EK25" t="s">
        <v>153</v>
      </c>
      <c r="EM25" t="s">
        <v>153</v>
      </c>
      <c r="EN25" t="s">
        <v>153</v>
      </c>
      <c r="EP25" s="4" t="s">
        <v>153</v>
      </c>
      <c r="EQ25" s="4" t="s">
        <v>153</v>
      </c>
      <c r="ER25" s="4" t="s">
        <v>191</v>
      </c>
      <c r="ES25" s="4" t="s">
        <v>153</v>
      </c>
      <c r="ET25" t="s">
        <v>153</v>
      </c>
      <c r="EU25" t="s">
        <v>499</v>
      </c>
      <c r="EV25" t="s">
        <v>536</v>
      </c>
      <c r="EW25">
        <v>1033021379</v>
      </c>
      <c r="EX25" t="s">
        <v>537</v>
      </c>
    </row>
    <row r="26" spans="1:154" x14ac:dyDescent="0.25">
      <c r="A26" s="3">
        <v>44880.559606481482</v>
      </c>
      <c r="B26" s="4" t="s">
        <v>3</v>
      </c>
      <c r="C26" s="4" t="s">
        <v>538</v>
      </c>
      <c r="D26" s="4" t="s">
        <v>539</v>
      </c>
      <c r="E26" s="4" t="s">
        <v>540</v>
      </c>
      <c r="F26" s="4" t="s">
        <v>541</v>
      </c>
      <c r="G26" s="4" t="s">
        <v>423</v>
      </c>
      <c r="H26" s="4" t="s">
        <v>542</v>
      </c>
      <c r="I26" s="4" t="s">
        <v>153</v>
      </c>
      <c r="J26" s="4" t="s">
        <v>153</v>
      </c>
      <c r="K26" s="5"/>
      <c r="L26" s="4" t="s">
        <v>153</v>
      </c>
      <c r="M26" s="4" t="s">
        <v>153</v>
      </c>
      <c r="N26" s="4" t="s">
        <v>153</v>
      </c>
      <c r="O26" s="4" t="s">
        <v>153</v>
      </c>
      <c r="P26" s="4" t="s">
        <v>153</v>
      </c>
      <c r="Q26" s="4" t="s">
        <v>153</v>
      </c>
      <c r="R26" s="4" t="s">
        <v>153</v>
      </c>
      <c r="S26" s="4" t="s">
        <v>153</v>
      </c>
      <c r="T26" s="4" t="s">
        <v>153</v>
      </c>
      <c r="U26" s="4" t="s">
        <v>153</v>
      </c>
      <c r="V26" s="4" t="s">
        <v>153</v>
      </c>
      <c r="W26" s="4" t="s">
        <v>153</v>
      </c>
      <c r="X26" s="4" t="s">
        <v>153</v>
      </c>
      <c r="Y26" s="4" t="s">
        <v>153</v>
      </c>
      <c r="Z26" s="4" t="s">
        <v>153</v>
      </c>
      <c r="AA26" s="4" t="s">
        <v>153</v>
      </c>
      <c r="AB26" s="4" t="s">
        <v>153</v>
      </c>
      <c r="AC26" s="4" t="s">
        <v>153</v>
      </c>
      <c r="AD26" s="4" t="s">
        <v>153</v>
      </c>
      <c r="AE26" s="4" t="s">
        <v>153</v>
      </c>
      <c r="AF26" s="4" t="s">
        <v>153</v>
      </c>
      <c r="AG26" s="4" t="s">
        <v>153</v>
      </c>
      <c r="AH26" s="4" t="s">
        <v>153</v>
      </c>
      <c r="AI26" s="5"/>
      <c r="AJ26" t="s">
        <v>153</v>
      </c>
      <c r="AK26" s="4"/>
      <c r="AL26" t="s">
        <v>153</v>
      </c>
      <c r="AM26" t="s">
        <v>153</v>
      </c>
      <c r="AO26" t="s">
        <v>153</v>
      </c>
      <c r="AP26" s="4"/>
      <c r="AQ26" t="s">
        <v>153</v>
      </c>
      <c r="AR26" s="5"/>
      <c r="AT26" s="4" t="s">
        <v>153</v>
      </c>
      <c r="AU26" s="4" t="s">
        <v>153</v>
      </c>
      <c r="AV26" s="4" t="s">
        <v>153</v>
      </c>
      <c r="AW26" t="s">
        <v>153</v>
      </c>
      <c r="AX26" t="s">
        <v>153</v>
      </c>
      <c r="AY26" t="s">
        <v>153</v>
      </c>
      <c r="AZ26" t="s">
        <v>153</v>
      </c>
      <c r="BA26" t="s">
        <v>153</v>
      </c>
      <c r="BB26" t="s">
        <v>153</v>
      </c>
      <c r="BC26" t="s">
        <v>153</v>
      </c>
      <c r="BD26" s="4" t="s">
        <v>153</v>
      </c>
      <c r="BE26" s="4" t="s">
        <v>153</v>
      </c>
      <c r="BF26" t="s">
        <v>153</v>
      </c>
      <c r="BG26" s="4" t="s">
        <v>153</v>
      </c>
      <c r="BH26" t="s">
        <v>153</v>
      </c>
      <c r="BI26" s="4" t="s">
        <v>543</v>
      </c>
      <c r="BJ26" t="s">
        <v>153</v>
      </c>
      <c r="BK26" s="4" t="s">
        <v>153</v>
      </c>
      <c r="BL26" t="s">
        <v>544</v>
      </c>
      <c r="BM26" t="s">
        <v>545</v>
      </c>
      <c r="BN26" s="4" t="s">
        <v>190</v>
      </c>
      <c r="BO26" s="4" t="s">
        <v>205</v>
      </c>
      <c r="BP26" s="4" t="s">
        <v>153</v>
      </c>
      <c r="BQ26" s="4" t="s">
        <v>153</v>
      </c>
      <c r="BR26" s="4" t="s">
        <v>153</v>
      </c>
      <c r="BS26" s="4" t="s">
        <v>153</v>
      </c>
      <c r="BT26" s="4" t="s">
        <v>153</v>
      </c>
      <c r="BU26" s="4" t="s">
        <v>153</v>
      </c>
      <c r="BV26" s="4"/>
      <c r="BW26" s="4" t="s">
        <v>430</v>
      </c>
      <c r="BX26" s="4" t="s">
        <v>153</v>
      </c>
      <c r="BY26" s="4" t="s">
        <v>153</v>
      </c>
      <c r="BZ26" s="4" t="s">
        <v>153</v>
      </c>
      <c r="CA26" s="4" t="s">
        <v>153</v>
      </c>
      <c r="CB26" s="4"/>
      <c r="CC26" s="4" t="s">
        <v>430</v>
      </c>
      <c r="CD26" t="s">
        <v>153</v>
      </c>
      <c r="CE26" s="4" t="s">
        <v>153</v>
      </c>
      <c r="CF26" s="4" t="s">
        <v>546</v>
      </c>
      <c r="CG26" s="4" t="s">
        <v>153</v>
      </c>
      <c r="CH26" s="5"/>
      <c r="CI26" t="s">
        <v>153</v>
      </c>
      <c r="CJ26" s="4"/>
      <c r="CK26" t="s">
        <v>433</v>
      </c>
      <c r="CL26" t="s">
        <v>153</v>
      </c>
      <c r="CM26" t="s">
        <v>153</v>
      </c>
      <c r="CN26" t="s">
        <v>153</v>
      </c>
      <c r="CO26" s="5"/>
      <c r="CP26" s="4" t="s">
        <v>153</v>
      </c>
      <c r="CQ26" s="4" t="s">
        <v>153</v>
      </c>
      <c r="CR26" t="s">
        <v>153</v>
      </c>
      <c r="CS26" t="s">
        <v>153</v>
      </c>
      <c r="CT26" t="s">
        <v>153</v>
      </c>
      <c r="CU26" t="s">
        <v>153</v>
      </c>
      <c r="CV26" t="s">
        <v>153</v>
      </c>
      <c r="CW26" t="s">
        <v>153</v>
      </c>
      <c r="CX26" t="s">
        <v>153</v>
      </c>
      <c r="CY26" t="s">
        <v>153</v>
      </c>
      <c r="CZ26" t="s">
        <v>153</v>
      </c>
      <c r="DA26" t="s">
        <v>153</v>
      </c>
      <c r="DB26" t="s">
        <v>153</v>
      </c>
      <c r="DC26" t="s">
        <v>153</v>
      </c>
      <c r="DD26" t="s">
        <v>153</v>
      </c>
      <c r="DE26" t="s">
        <v>153</v>
      </c>
      <c r="DF26" t="s">
        <v>153</v>
      </c>
      <c r="DG26" t="s">
        <v>153</v>
      </c>
      <c r="DI26" t="s">
        <v>153</v>
      </c>
      <c r="DJ26" t="s">
        <v>153</v>
      </c>
      <c r="DK26" t="s">
        <v>153</v>
      </c>
      <c r="DL26" t="s">
        <v>153</v>
      </c>
      <c r="DN26" t="s">
        <v>153</v>
      </c>
      <c r="DO26" t="s">
        <v>153</v>
      </c>
      <c r="DP26" t="s">
        <v>153</v>
      </c>
      <c r="DQ26" t="s">
        <v>153</v>
      </c>
      <c r="DR26" t="s">
        <v>153</v>
      </c>
      <c r="DS26" t="s">
        <v>153</v>
      </c>
      <c r="DT26" t="s">
        <v>153</v>
      </c>
      <c r="DU26" t="s">
        <v>153</v>
      </c>
      <c r="DV26" t="s">
        <v>153</v>
      </c>
      <c r="DW26" t="s">
        <v>153</v>
      </c>
      <c r="DX26" s="2"/>
      <c r="DY26" t="s">
        <v>153</v>
      </c>
      <c r="DZ26" t="s">
        <v>153</v>
      </c>
      <c r="EA26" t="s">
        <v>153</v>
      </c>
      <c r="EB26" t="s">
        <v>153</v>
      </c>
      <c r="EC26" t="s">
        <v>153</v>
      </c>
      <c r="ED26" t="s">
        <v>153</v>
      </c>
      <c r="EE26" t="s">
        <v>153</v>
      </c>
      <c r="EF26" t="s">
        <v>153</v>
      </c>
      <c r="EH26" t="s">
        <v>153</v>
      </c>
      <c r="EI26" t="s">
        <v>153</v>
      </c>
      <c r="EJ26" t="s">
        <v>153</v>
      </c>
      <c r="EK26" t="s">
        <v>153</v>
      </c>
      <c r="EM26" t="s">
        <v>153</v>
      </c>
      <c r="EN26" t="s">
        <v>153</v>
      </c>
      <c r="EP26" s="4" t="s">
        <v>153</v>
      </c>
      <c r="EQ26" s="4" t="s">
        <v>153</v>
      </c>
      <c r="ER26" s="4" t="s">
        <v>205</v>
      </c>
      <c r="ES26" s="4" t="s">
        <v>153</v>
      </c>
      <c r="ET26" t="s">
        <v>153</v>
      </c>
      <c r="EU26" t="s">
        <v>418</v>
      </c>
      <c r="EV26" t="s">
        <v>547</v>
      </c>
      <c r="EW26">
        <v>1034801562</v>
      </c>
      <c r="EX26" t="s">
        <v>548</v>
      </c>
    </row>
    <row r="27" spans="1:154" x14ac:dyDescent="0.25">
      <c r="A27" s="3">
        <v>44895.616585648146</v>
      </c>
      <c r="B27" s="4" t="s">
        <v>3</v>
      </c>
      <c r="C27" s="4" t="s">
        <v>549</v>
      </c>
      <c r="D27" s="4" t="s">
        <v>550</v>
      </c>
      <c r="E27" s="4" t="s">
        <v>551</v>
      </c>
      <c r="F27" s="4" t="s">
        <v>552</v>
      </c>
      <c r="G27" s="4" t="s">
        <v>252</v>
      </c>
      <c r="H27" s="4" t="s">
        <v>553</v>
      </c>
      <c r="I27" s="4" t="s">
        <v>153</v>
      </c>
      <c r="J27" s="4" t="s">
        <v>554</v>
      </c>
      <c r="K27" s="5"/>
      <c r="L27" s="4" t="s">
        <v>153</v>
      </c>
      <c r="M27" s="4" t="s">
        <v>153</v>
      </c>
      <c r="N27" s="4" t="s">
        <v>153</v>
      </c>
      <c r="O27" s="4" t="s">
        <v>153</v>
      </c>
      <c r="P27" s="4" t="s">
        <v>153</v>
      </c>
      <c r="Q27" s="4" t="s">
        <v>153</v>
      </c>
      <c r="R27" s="4" t="s">
        <v>153</v>
      </c>
      <c r="S27" s="4" t="s">
        <v>153</v>
      </c>
      <c r="T27" s="4" t="s">
        <v>153</v>
      </c>
      <c r="U27" s="4" t="s">
        <v>153</v>
      </c>
      <c r="V27" s="4" t="s">
        <v>153</v>
      </c>
      <c r="W27" s="4" t="s">
        <v>153</v>
      </c>
      <c r="X27" s="4" t="s">
        <v>153</v>
      </c>
      <c r="Y27" s="4" t="s">
        <v>153</v>
      </c>
      <c r="Z27" s="4" t="s">
        <v>153</v>
      </c>
      <c r="AA27" s="4" t="s">
        <v>153</v>
      </c>
      <c r="AB27" s="4" t="s">
        <v>153</v>
      </c>
      <c r="AC27" s="4" t="s">
        <v>153</v>
      </c>
      <c r="AD27" s="4" t="s">
        <v>153</v>
      </c>
      <c r="AE27" s="4" t="s">
        <v>153</v>
      </c>
      <c r="AF27" s="4" t="s">
        <v>153</v>
      </c>
      <c r="AG27" s="4" t="s">
        <v>153</v>
      </c>
      <c r="AH27" s="4" t="s">
        <v>153</v>
      </c>
      <c r="AI27" s="5"/>
      <c r="AJ27" t="s">
        <v>153</v>
      </c>
      <c r="AK27" s="4"/>
      <c r="AL27" t="s">
        <v>153</v>
      </c>
      <c r="AM27" t="s">
        <v>153</v>
      </c>
      <c r="AO27" t="s">
        <v>153</v>
      </c>
      <c r="AP27" s="4"/>
      <c r="AQ27" t="s">
        <v>153</v>
      </c>
      <c r="AR27" s="5">
        <v>44104</v>
      </c>
      <c r="AS27">
        <v>1</v>
      </c>
      <c r="AT27" s="4" t="s">
        <v>555</v>
      </c>
      <c r="AU27" s="4" t="s">
        <v>556</v>
      </c>
      <c r="AV27" s="4" t="s">
        <v>256</v>
      </c>
      <c r="AW27" t="s">
        <v>153</v>
      </c>
      <c r="AX27" t="s">
        <v>153</v>
      </c>
      <c r="AY27" t="s">
        <v>557</v>
      </c>
      <c r="AZ27" t="s">
        <v>153</v>
      </c>
      <c r="BA27" t="s">
        <v>153</v>
      </c>
      <c r="BB27" t="s">
        <v>153</v>
      </c>
      <c r="BC27" t="s">
        <v>153</v>
      </c>
      <c r="BD27" s="4" t="s">
        <v>558</v>
      </c>
      <c r="BE27" s="4" t="s">
        <v>559</v>
      </c>
      <c r="BF27" t="s">
        <v>243</v>
      </c>
      <c r="BG27" s="4" t="s">
        <v>153</v>
      </c>
      <c r="BH27" t="s">
        <v>153</v>
      </c>
      <c r="BI27" s="4" t="s">
        <v>153</v>
      </c>
      <c r="BJ27" t="s">
        <v>153</v>
      </c>
      <c r="BK27" s="4" t="s">
        <v>153</v>
      </c>
      <c r="BL27" t="s">
        <v>153</v>
      </c>
      <c r="BM27" t="s">
        <v>153</v>
      </c>
      <c r="BN27" s="4" t="s">
        <v>153</v>
      </c>
      <c r="BO27" s="4" t="s">
        <v>153</v>
      </c>
      <c r="BP27" s="4" t="s">
        <v>153</v>
      </c>
      <c r="BQ27" s="4" t="s">
        <v>153</v>
      </c>
      <c r="BR27" s="4" t="s">
        <v>153</v>
      </c>
      <c r="BS27" s="4" t="s">
        <v>153</v>
      </c>
      <c r="BT27" s="4" t="s">
        <v>153</v>
      </c>
      <c r="BU27" s="4" t="s">
        <v>153</v>
      </c>
      <c r="BV27" s="4"/>
      <c r="BW27" s="4" t="s">
        <v>153</v>
      </c>
      <c r="BX27" s="4" t="s">
        <v>153</v>
      </c>
      <c r="BY27" s="4" t="s">
        <v>153</v>
      </c>
      <c r="BZ27" s="4" t="s">
        <v>153</v>
      </c>
      <c r="CA27" s="4" t="s">
        <v>153</v>
      </c>
      <c r="CB27" s="4"/>
      <c r="CC27" s="4" t="s">
        <v>153</v>
      </c>
      <c r="CD27" t="s">
        <v>153</v>
      </c>
      <c r="CE27" s="4" t="s">
        <v>153</v>
      </c>
      <c r="CF27" s="4" t="s">
        <v>153</v>
      </c>
      <c r="CG27" s="4" t="s">
        <v>153</v>
      </c>
      <c r="CH27" s="5"/>
      <c r="CI27" t="s">
        <v>153</v>
      </c>
      <c r="CJ27" s="4"/>
      <c r="CK27" t="s">
        <v>153</v>
      </c>
      <c r="CL27" t="s">
        <v>153</v>
      </c>
      <c r="CM27" t="s">
        <v>153</v>
      </c>
      <c r="CN27" t="s">
        <v>153</v>
      </c>
      <c r="CO27" s="5"/>
      <c r="CP27" s="4" t="s">
        <v>153</v>
      </c>
      <c r="CQ27" s="4" t="s">
        <v>153</v>
      </c>
      <c r="CR27" t="s">
        <v>153</v>
      </c>
      <c r="CS27" t="s">
        <v>153</v>
      </c>
      <c r="CT27" t="s">
        <v>153</v>
      </c>
      <c r="CU27" t="s">
        <v>153</v>
      </c>
      <c r="CV27" t="s">
        <v>153</v>
      </c>
      <c r="CW27" t="s">
        <v>153</v>
      </c>
      <c r="CX27" t="s">
        <v>153</v>
      </c>
      <c r="CY27" t="s">
        <v>153</v>
      </c>
      <c r="CZ27" t="s">
        <v>153</v>
      </c>
      <c r="DA27" t="s">
        <v>153</v>
      </c>
      <c r="DB27" t="s">
        <v>153</v>
      </c>
      <c r="DC27" t="s">
        <v>153</v>
      </c>
      <c r="DD27" t="s">
        <v>153</v>
      </c>
      <c r="DE27" t="s">
        <v>153</v>
      </c>
      <c r="DF27" t="s">
        <v>153</v>
      </c>
      <c r="DG27" t="s">
        <v>153</v>
      </c>
      <c r="DI27" t="s">
        <v>153</v>
      </c>
      <c r="DJ27" t="s">
        <v>153</v>
      </c>
      <c r="DK27" t="s">
        <v>153</v>
      </c>
      <c r="DL27" t="s">
        <v>153</v>
      </c>
      <c r="DN27" t="s">
        <v>153</v>
      </c>
      <c r="DO27" t="s">
        <v>153</v>
      </c>
      <c r="DP27" t="s">
        <v>153</v>
      </c>
      <c r="DQ27" t="s">
        <v>153</v>
      </c>
      <c r="DR27" t="s">
        <v>153</v>
      </c>
      <c r="DS27" t="s">
        <v>153</v>
      </c>
      <c r="DT27" t="s">
        <v>153</v>
      </c>
      <c r="DU27" t="s">
        <v>153</v>
      </c>
      <c r="DV27" t="s">
        <v>153</v>
      </c>
      <c r="DW27" t="s">
        <v>153</v>
      </c>
      <c r="DX27" s="2"/>
      <c r="DY27" t="s">
        <v>153</v>
      </c>
      <c r="DZ27" t="s">
        <v>153</v>
      </c>
      <c r="EA27" t="s">
        <v>153</v>
      </c>
      <c r="EB27" t="s">
        <v>153</v>
      </c>
      <c r="EC27" t="s">
        <v>153</v>
      </c>
      <c r="ED27" t="s">
        <v>153</v>
      </c>
      <c r="EE27" t="s">
        <v>153</v>
      </c>
      <c r="EF27" t="s">
        <v>153</v>
      </c>
      <c r="EH27" t="s">
        <v>153</v>
      </c>
      <c r="EI27" t="s">
        <v>153</v>
      </c>
      <c r="EJ27" t="s">
        <v>153</v>
      </c>
      <c r="EK27" t="s">
        <v>153</v>
      </c>
      <c r="EM27" t="s">
        <v>153</v>
      </c>
      <c r="EN27" t="s">
        <v>153</v>
      </c>
      <c r="EP27" s="4" t="s">
        <v>153</v>
      </c>
      <c r="EQ27" s="4" t="s">
        <v>153</v>
      </c>
      <c r="ER27" s="4" t="s">
        <v>205</v>
      </c>
      <c r="ES27" s="4" t="s">
        <v>153</v>
      </c>
      <c r="ET27" t="s">
        <v>153</v>
      </c>
      <c r="EU27" t="s">
        <v>418</v>
      </c>
      <c r="EV27" t="s">
        <v>560</v>
      </c>
      <c r="EW27">
        <v>1040462951</v>
      </c>
      <c r="EX27" t="s">
        <v>561</v>
      </c>
    </row>
    <row r="28" spans="1:154" x14ac:dyDescent="0.25">
      <c r="A28" s="3">
        <v>44897.432314814818</v>
      </c>
      <c r="B28" s="4" t="s">
        <v>3</v>
      </c>
      <c r="C28" s="4" t="s">
        <v>562</v>
      </c>
      <c r="D28" s="4" t="s">
        <v>563</v>
      </c>
      <c r="E28" s="4" t="s">
        <v>564</v>
      </c>
      <c r="F28" s="4" t="s">
        <v>565</v>
      </c>
      <c r="G28" s="4" t="s">
        <v>185</v>
      </c>
      <c r="H28" s="4" t="s">
        <v>566</v>
      </c>
      <c r="I28" s="4" t="s">
        <v>153</v>
      </c>
      <c r="J28" s="4" t="s">
        <v>153</v>
      </c>
      <c r="K28" s="5"/>
      <c r="L28" s="4" t="s">
        <v>153</v>
      </c>
      <c r="M28" s="4" t="s">
        <v>567</v>
      </c>
      <c r="N28" s="4" t="s">
        <v>568</v>
      </c>
      <c r="O28" s="4" t="s">
        <v>562</v>
      </c>
      <c r="P28" s="4" t="s">
        <v>563</v>
      </c>
      <c r="Q28" s="4" t="s">
        <v>190</v>
      </c>
      <c r="R28" s="4" t="s">
        <v>308</v>
      </c>
      <c r="S28" s="4" t="s">
        <v>153</v>
      </c>
      <c r="T28" s="4" t="s">
        <v>569</v>
      </c>
      <c r="U28" s="4" t="s">
        <v>570</v>
      </c>
      <c r="V28" s="4" t="s">
        <v>153</v>
      </c>
      <c r="W28" s="4" t="s">
        <v>571</v>
      </c>
      <c r="X28" s="4" t="s">
        <v>429</v>
      </c>
      <c r="Y28" s="4" t="s">
        <v>572</v>
      </c>
      <c r="Z28" s="4" t="s">
        <v>197</v>
      </c>
      <c r="AA28" s="4" t="s">
        <v>570</v>
      </c>
      <c r="AB28" s="4" t="s">
        <v>153</v>
      </c>
      <c r="AC28" s="4" t="s">
        <v>571</v>
      </c>
      <c r="AD28" s="4" t="s">
        <v>429</v>
      </c>
      <c r="AE28" s="4" t="s">
        <v>572</v>
      </c>
      <c r="AF28" s="4" t="s">
        <v>564</v>
      </c>
      <c r="AG28" s="4" t="s">
        <v>565</v>
      </c>
      <c r="AH28" s="4" t="s">
        <v>573</v>
      </c>
      <c r="AI28" s="5">
        <v>44858</v>
      </c>
      <c r="AJ28" t="s">
        <v>412</v>
      </c>
      <c r="AK28" s="4">
        <v>1</v>
      </c>
      <c r="AL28" t="s">
        <v>574</v>
      </c>
      <c r="AM28" t="s">
        <v>153</v>
      </c>
      <c r="AO28" t="s">
        <v>153</v>
      </c>
      <c r="AP28" s="4"/>
      <c r="AQ28" t="s">
        <v>153</v>
      </c>
      <c r="AR28" s="5"/>
      <c r="AT28" s="4" t="s">
        <v>153</v>
      </c>
      <c r="AU28" s="4" t="s">
        <v>153</v>
      </c>
      <c r="AV28" s="4" t="s">
        <v>153</v>
      </c>
      <c r="AW28" t="s">
        <v>153</v>
      </c>
      <c r="AX28" t="s">
        <v>153</v>
      </c>
      <c r="AY28" t="s">
        <v>153</v>
      </c>
      <c r="AZ28" t="s">
        <v>153</v>
      </c>
      <c r="BA28" t="s">
        <v>153</v>
      </c>
      <c r="BB28" t="s">
        <v>153</v>
      </c>
      <c r="BC28" t="s">
        <v>153</v>
      </c>
      <c r="BD28" s="4" t="s">
        <v>153</v>
      </c>
      <c r="BE28" s="4" t="s">
        <v>153</v>
      </c>
      <c r="BF28" t="s">
        <v>153</v>
      </c>
      <c r="BG28" s="4" t="s">
        <v>153</v>
      </c>
      <c r="BH28" t="s">
        <v>153</v>
      </c>
      <c r="BI28" s="4" t="s">
        <v>153</v>
      </c>
      <c r="BJ28" t="s">
        <v>153</v>
      </c>
      <c r="BK28" s="4" t="s">
        <v>153</v>
      </c>
      <c r="BL28" t="s">
        <v>153</v>
      </c>
      <c r="BM28" t="s">
        <v>153</v>
      </c>
      <c r="BN28" s="4" t="s">
        <v>153</v>
      </c>
      <c r="BO28" s="4" t="s">
        <v>153</v>
      </c>
      <c r="BP28" s="4" t="s">
        <v>153</v>
      </c>
      <c r="BQ28" s="4" t="s">
        <v>153</v>
      </c>
      <c r="BR28" s="4" t="s">
        <v>153</v>
      </c>
      <c r="BS28" s="4" t="s">
        <v>153</v>
      </c>
      <c r="BT28" s="4" t="s">
        <v>153</v>
      </c>
      <c r="BU28" s="4" t="s">
        <v>153</v>
      </c>
      <c r="BV28" s="4"/>
      <c r="BW28" s="4" t="s">
        <v>153</v>
      </c>
      <c r="BX28" s="4" t="s">
        <v>153</v>
      </c>
      <c r="BY28" s="4" t="s">
        <v>153</v>
      </c>
      <c r="BZ28" s="4" t="s">
        <v>153</v>
      </c>
      <c r="CA28" s="4" t="s">
        <v>153</v>
      </c>
      <c r="CB28" s="4"/>
      <c r="CC28" s="4" t="s">
        <v>153</v>
      </c>
      <c r="CD28" t="s">
        <v>153</v>
      </c>
      <c r="CE28" s="4" t="s">
        <v>153</v>
      </c>
      <c r="CF28" s="4" t="s">
        <v>153</v>
      </c>
      <c r="CG28" s="4" t="s">
        <v>153</v>
      </c>
      <c r="CH28" s="5"/>
      <c r="CI28" t="s">
        <v>153</v>
      </c>
      <c r="CJ28" s="4"/>
      <c r="CK28" t="s">
        <v>153</v>
      </c>
      <c r="CL28" t="s">
        <v>153</v>
      </c>
      <c r="CM28" t="s">
        <v>153</v>
      </c>
      <c r="CN28" t="s">
        <v>153</v>
      </c>
      <c r="CO28" s="5"/>
      <c r="CP28" s="4" t="s">
        <v>153</v>
      </c>
      <c r="CQ28" s="4" t="s">
        <v>153</v>
      </c>
      <c r="CR28" t="s">
        <v>153</v>
      </c>
      <c r="CS28" t="s">
        <v>153</v>
      </c>
      <c r="CT28" t="s">
        <v>153</v>
      </c>
      <c r="CU28" t="s">
        <v>153</v>
      </c>
      <c r="CV28" t="s">
        <v>153</v>
      </c>
      <c r="CW28" t="s">
        <v>153</v>
      </c>
      <c r="CX28" t="s">
        <v>153</v>
      </c>
      <c r="CY28" t="s">
        <v>153</v>
      </c>
      <c r="CZ28" t="s">
        <v>153</v>
      </c>
      <c r="DA28" t="s">
        <v>153</v>
      </c>
      <c r="DB28" t="s">
        <v>153</v>
      </c>
      <c r="DC28" t="s">
        <v>153</v>
      </c>
      <c r="DD28" t="s">
        <v>153</v>
      </c>
      <c r="DE28" t="s">
        <v>153</v>
      </c>
      <c r="DF28" t="s">
        <v>153</v>
      </c>
      <c r="DG28" t="s">
        <v>153</v>
      </c>
      <c r="DI28" t="s">
        <v>153</v>
      </c>
      <c r="DJ28" t="s">
        <v>153</v>
      </c>
      <c r="DK28" t="s">
        <v>153</v>
      </c>
      <c r="DL28" t="s">
        <v>153</v>
      </c>
      <c r="DN28" t="s">
        <v>153</v>
      </c>
      <c r="DO28" t="s">
        <v>153</v>
      </c>
      <c r="DP28" t="s">
        <v>153</v>
      </c>
      <c r="DQ28" t="s">
        <v>153</v>
      </c>
      <c r="DR28" t="s">
        <v>153</v>
      </c>
      <c r="DS28" t="s">
        <v>153</v>
      </c>
      <c r="DT28" t="s">
        <v>153</v>
      </c>
      <c r="DU28" t="s">
        <v>153</v>
      </c>
      <c r="DV28" t="s">
        <v>153</v>
      </c>
      <c r="DW28" t="s">
        <v>153</v>
      </c>
      <c r="DX28" s="2"/>
      <c r="DY28" t="s">
        <v>153</v>
      </c>
      <c r="DZ28" t="s">
        <v>153</v>
      </c>
      <c r="EA28" t="s">
        <v>153</v>
      </c>
      <c r="EB28" t="s">
        <v>153</v>
      </c>
      <c r="EC28" t="s">
        <v>153</v>
      </c>
      <c r="ED28" t="s">
        <v>153</v>
      </c>
      <c r="EE28" t="s">
        <v>153</v>
      </c>
      <c r="EF28" t="s">
        <v>153</v>
      </c>
      <c r="EH28" t="s">
        <v>153</v>
      </c>
      <c r="EI28" t="s">
        <v>153</v>
      </c>
      <c r="EJ28" t="s">
        <v>153</v>
      </c>
      <c r="EK28" t="s">
        <v>153</v>
      </c>
      <c r="EM28" t="s">
        <v>153</v>
      </c>
      <c r="EN28" t="s">
        <v>153</v>
      </c>
      <c r="EP28" s="4" t="s">
        <v>153</v>
      </c>
      <c r="EQ28" s="4" t="s">
        <v>153</v>
      </c>
      <c r="ER28" s="4" t="s">
        <v>243</v>
      </c>
      <c r="ES28" s="4" t="s">
        <v>356</v>
      </c>
      <c r="ET28" t="s">
        <v>153</v>
      </c>
      <c r="EU28" t="s">
        <v>575</v>
      </c>
      <c r="EV28" t="s">
        <v>576</v>
      </c>
      <c r="EW28">
        <v>1041279019</v>
      </c>
      <c r="EX28" t="s">
        <v>577</v>
      </c>
    </row>
    <row r="29" spans="1:154" x14ac:dyDescent="0.25">
      <c r="A29" s="3">
        <v>44898.553680555553</v>
      </c>
      <c r="B29" s="4" t="s">
        <v>3</v>
      </c>
      <c r="C29" s="4" t="s">
        <v>578</v>
      </c>
      <c r="D29" s="4" t="s">
        <v>579</v>
      </c>
      <c r="E29" s="4" t="s">
        <v>580</v>
      </c>
      <c r="F29" s="4" t="s">
        <v>581</v>
      </c>
      <c r="G29" s="4" t="s">
        <v>185</v>
      </c>
      <c r="H29" s="4" t="s">
        <v>506</v>
      </c>
      <c r="I29" s="4" t="s">
        <v>153</v>
      </c>
      <c r="J29" s="4" t="s">
        <v>153</v>
      </c>
      <c r="K29" s="5"/>
      <c r="L29" s="4" t="s">
        <v>153</v>
      </c>
      <c r="M29" s="4" t="s">
        <v>582</v>
      </c>
      <c r="N29" s="4" t="s">
        <v>583</v>
      </c>
      <c r="O29" s="4" t="s">
        <v>584</v>
      </c>
      <c r="P29" s="4" t="s">
        <v>579</v>
      </c>
      <c r="Q29" s="4" t="s">
        <v>294</v>
      </c>
      <c r="R29" s="4" t="s">
        <v>191</v>
      </c>
      <c r="S29" s="4" t="s">
        <v>585</v>
      </c>
      <c r="T29" s="4" t="s">
        <v>153</v>
      </c>
      <c r="U29" s="4" t="s">
        <v>586</v>
      </c>
      <c r="V29" s="4" t="s">
        <v>587</v>
      </c>
      <c r="W29" s="4" t="s">
        <v>588</v>
      </c>
      <c r="X29" s="4" t="s">
        <v>589</v>
      </c>
      <c r="Y29" s="4" t="s">
        <v>590</v>
      </c>
      <c r="Z29" s="4" t="s">
        <v>237</v>
      </c>
      <c r="AA29" s="4" t="s">
        <v>586</v>
      </c>
      <c r="AB29" s="4" t="s">
        <v>153</v>
      </c>
      <c r="AC29" s="4" t="s">
        <v>588</v>
      </c>
      <c r="AD29" s="4" t="s">
        <v>589</v>
      </c>
      <c r="AE29" s="4" t="s">
        <v>590</v>
      </c>
      <c r="AF29" s="4" t="s">
        <v>580</v>
      </c>
      <c r="AG29" s="4" t="s">
        <v>581</v>
      </c>
      <c r="AH29" s="4" t="s">
        <v>153</v>
      </c>
      <c r="AI29" s="5">
        <v>44562</v>
      </c>
      <c r="AJ29" t="s">
        <v>591</v>
      </c>
      <c r="AK29" s="4">
        <v>0</v>
      </c>
      <c r="AL29" t="s">
        <v>592</v>
      </c>
      <c r="AM29" t="s">
        <v>153</v>
      </c>
      <c r="AO29" t="s">
        <v>153</v>
      </c>
      <c r="AP29" s="4"/>
      <c r="AQ29" t="s">
        <v>153</v>
      </c>
      <c r="AR29" s="5"/>
      <c r="AT29" s="4" t="s">
        <v>153</v>
      </c>
      <c r="AU29" s="4" t="s">
        <v>153</v>
      </c>
      <c r="AV29" s="4" t="s">
        <v>153</v>
      </c>
      <c r="AW29" t="s">
        <v>153</v>
      </c>
      <c r="AX29" t="s">
        <v>153</v>
      </c>
      <c r="AY29" t="s">
        <v>153</v>
      </c>
      <c r="AZ29" t="s">
        <v>153</v>
      </c>
      <c r="BA29" t="s">
        <v>153</v>
      </c>
      <c r="BB29" t="s">
        <v>153</v>
      </c>
      <c r="BC29" t="s">
        <v>153</v>
      </c>
      <c r="BD29" s="4" t="s">
        <v>153</v>
      </c>
      <c r="BE29" s="4" t="s">
        <v>153</v>
      </c>
      <c r="BF29" t="s">
        <v>153</v>
      </c>
      <c r="BG29" s="4" t="s">
        <v>153</v>
      </c>
      <c r="BH29" t="s">
        <v>153</v>
      </c>
      <c r="BI29" s="4" t="s">
        <v>153</v>
      </c>
      <c r="BJ29" t="s">
        <v>153</v>
      </c>
      <c r="BK29" s="4" t="s">
        <v>153</v>
      </c>
      <c r="BL29" t="s">
        <v>153</v>
      </c>
      <c r="BM29" t="s">
        <v>153</v>
      </c>
      <c r="BN29" s="4" t="s">
        <v>153</v>
      </c>
      <c r="BO29" s="4" t="s">
        <v>153</v>
      </c>
      <c r="BP29" s="4" t="s">
        <v>153</v>
      </c>
      <c r="BQ29" s="4" t="s">
        <v>153</v>
      </c>
      <c r="BR29" s="4" t="s">
        <v>153</v>
      </c>
      <c r="BS29" s="4" t="s">
        <v>153</v>
      </c>
      <c r="BT29" s="4" t="s">
        <v>153</v>
      </c>
      <c r="BU29" s="4" t="s">
        <v>153</v>
      </c>
      <c r="BV29" s="4"/>
      <c r="BW29" s="4" t="s">
        <v>153</v>
      </c>
      <c r="BX29" s="4" t="s">
        <v>153</v>
      </c>
      <c r="BY29" s="4" t="s">
        <v>153</v>
      </c>
      <c r="BZ29" s="4" t="s">
        <v>153</v>
      </c>
      <c r="CA29" s="4" t="s">
        <v>153</v>
      </c>
      <c r="CB29" s="4"/>
      <c r="CC29" s="4" t="s">
        <v>153</v>
      </c>
      <c r="CD29" t="s">
        <v>153</v>
      </c>
      <c r="CE29" s="4" t="s">
        <v>153</v>
      </c>
      <c r="CF29" s="4" t="s">
        <v>153</v>
      </c>
      <c r="CG29" s="4" t="s">
        <v>153</v>
      </c>
      <c r="CH29" s="5"/>
      <c r="CI29" t="s">
        <v>153</v>
      </c>
      <c r="CJ29" s="4"/>
      <c r="CK29" t="s">
        <v>153</v>
      </c>
      <c r="CL29" t="s">
        <v>153</v>
      </c>
      <c r="CM29" t="s">
        <v>153</v>
      </c>
      <c r="CN29" t="s">
        <v>153</v>
      </c>
      <c r="CO29" s="5"/>
      <c r="CP29" s="4" t="s">
        <v>153</v>
      </c>
      <c r="CQ29" s="4" t="s">
        <v>153</v>
      </c>
      <c r="CR29" t="s">
        <v>153</v>
      </c>
      <c r="CS29" t="s">
        <v>153</v>
      </c>
      <c r="CT29" t="s">
        <v>153</v>
      </c>
      <c r="CU29" t="s">
        <v>153</v>
      </c>
      <c r="CV29" t="s">
        <v>153</v>
      </c>
      <c r="CW29" t="s">
        <v>153</v>
      </c>
      <c r="CX29" t="s">
        <v>153</v>
      </c>
      <c r="CY29" t="s">
        <v>153</v>
      </c>
      <c r="CZ29" t="s">
        <v>153</v>
      </c>
      <c r="DA29" t="s">
        <v>153</v>
      </c>
      <c r="DB29" t="s">
        <v>153</v>
      </c>
      <c r="DC29" t="s">
        <v>153</v>
      </c>
      <c r="DD29" t="s">
        <v>153</v>
      </c>
      <c r="DE29" t="s">
        <v>153</v>
      </c>
      <c r="DF29" t="s">
        <v>153</v>
      </c>
      <c r="DG29" t="s">
        <v>153</v>
      </c>
      <c r="DI29" t="s">
        <v>153</v>
      </c>
      <c r="DJ29" t="s">
        <v>153</v>
      </c>
      <c r="DK29" t="s">
        <v>153</v>
      </c>
      <c r="DL29" t="s">
        <v>153</v>
      </c>
      <c r="DN29" t="s">
        <v>153</v>
      </c>
      <c r="DO29" t="s">
        <v>153</v>
      </c>
      <c r="DP29" t="s">
        <v>153</v>
      </c>
      <c r="DQ29" t="s">
        <v>153</v>
      </c>
      <c r="DR29" t="s">
        <v>153</v>
      </c>
      <c r="DS29" t="s">
        <v>153</v>
      </c>
      <c r="DT29" t="s">
        <v>153</v>
      </c>
      <c r="DU29" t="s">
        <v>153</v>
      </c>
      <c r="DV29" t="s">
        <v>153</v>
      </c>
      <c r="DW29" t="s">
        <v>153</v>
      </c>
      <c r="DX29" s="2"/>
      <c r="DY29" t="s">
        <v>153</v>
      </c>
      <c r="DZ29" t="s">
        <v>153</v>
      </c>
      <c r="EA29" t="s">
        <v>153</v>
      </c>
      <c r="EB29" t="s">
        <v>153</v>
      </c>
      <c r="EC29" t="s">
        <v>153</v>
      </c>
      <c r="ED29" t="s">
        <v>153</v>
      </c>
      <c r="EE29" t="s">
        <v>153</v>
      </c>
      <c r="EF29" t="s">
        <v>153</v>
      </c>
      <c r="EH29" t="s">
        <v>153</v>
      </c>
      <c r="EI29" t="s">
        <v>153</v>
      </c>
      <c r="EJ29" t="s">
        <v>153</v>
      </c>
      <c r="EK29" t="s">
        <v>153</v>
      </c>
      <c r="EM29" t="s">
        <v>153</v>
      </c>
      <c r="EN29" t="s">
        <v>153</v>
      </c>
      <c r="EP29" s="4" t="s">
        <v>242</v>
      </c>
      <c r="EQ29" s="4" t="s">
        <v>153</v>
      </c>
      <c r="ER29" s="4" t="s">
        <v>243</v>
      </c>
      <c r="ES29" s="4" t="s">
        <v>244</v>
      </c>
      <c r="ET29" t="s">
        <v>243</v>
      </c>
      <c r="EU29" t="s">
        <v>593</v>
      </c>
      <c r="EV29" t="s">
        <v>594</v>
      </c>
      <c r="EW29">
        <v>1041682692</v>
      </c>
      <c r="EX29" t="s">
        <v>595</v>
      </c>
    </row>
    <row r="30" spans="1:154" x14ac:dyDescent="0.25">
      <c r="A30" s="3">
        <v>44899.419861111113</v>
      </c>
      <c r="B30" s="4" t="s">
        <v>3</v>
      </c>
      <c r="C30" s="4" t="s">
        <v>562</v>
      </c>
      <c r="D30" s="4" t="s">
        <v>596</v>
      </c>
      <c r="E30" s="4" t="s">
        <v>597</v>
      </c>
      <c r="F30" s="4" t="s">
        <v>598</v>
      </c>
      <c r="G30" s="4" t="s">
        <v>423</v>
      </c>
      <c r="H30" s="4" t="s">
        <v>268</v>
      </c>
      <c r="I30" s="4" t="s">
        <v>153</v>
      </c>
      <c r="J30" s="4" t="s">
        <v>599</v>
      </c>
      <c r="K30" s="5"/>
      <c r="L30" s="4" t="s">
        <v>153</v>
      </c>
      <c r="M30" s="4" t="s">
        <v>153</v>
      </c>
      <c r="N30" s="4" t="s">
        <v>153</v>
      </c>
      <c r="O30" s="4" t="s">
        <v>153</v>
      </c>
      <c r="P30" s="4" t="s">
        <v>153</v>
      </c>
      <c r="Q30" s="4" t="s">
        <v>153</v>
      </c>
      <c r="R30" s="4" t="s">
        <v>153</v>
      </c>
      <c r="S30" s="4" t="s">
        <v>153</v>
      </c>
      <c r="T30" s="4" t="s">
        <v>153</v>
      </c>
      <c r="U30" s="4" t="s">
        <v>153</v>
      </c>
      <c r="V30" s="4" t="s">
        <v>153</v>
      </c>
      <c r="W30" s="4" t="s">
        <v>153</v>
      </c>
      <c r="X30" s="4" t="s">
        <v>153</v>
      </c>
      <c r="Y30" s="4" t="s">
        <v>153</v>
      </c>
      <c r="Z30" s="4" t="s">
        <v>153</v>
      </c>
      <c r="AA30" s="4" t="s">
        <v>153</v>
      </c>
      <c r="AB30" s="4" t="s">
        <v>153</v>
      </c>
      <c r="AC30" s="4" t="s">
        <v>153</v>
      </c>
      <c r="AD30" s="4" t="s">
        <v>153</v>
      </c>
      <c r="AE30" s="4" t="s">
        <v>153</v>
      </c>
      <c r="AF30" s="4" t="s">
        <v>153</v>
      </c>
      <c r="AG30" s="4" t="s">
        <v>153</v>
      </c>
      <c r="AH30" s="4" t="s">
        <v>153</v>
      </c>
      <c r="AI30" s="5"/>
      <c r="AJ30" t="s">
        <v>153</v>
      </c>
      <c r="AK30" s="4"/>
      <c r="AL30" t="s">
        <v>153</v>
      </c>
      <c r="AM30" t="s">
        <v>153</v>
      </c>
      <c r="AO30" t="s">
        <v>153</v>
      </c>
      <c r="AP30" s="4"/>
      <c r="AQ30" t="s">
        <v>153</v>
      </c>
      <c r="AR30" s="5"/>
      <c r="AT30" s="4" t="s">
        <v>153</v>
      </c>
      <c r="AU30" s="4" t="s">
        <v>153</v>
      </c>
      <c r="AV30" s="4" t="s">
        <v>153</v>
      </c>
      <c r="AW30" t="s">
        <v>153</v>
      </c>
      <c r="AX30" t="s">
        <v>153</v>
      </c>
      <c r="AY30" t="s">
        <v>153</v>
      </c>
      <c r="AZ30" t="s">
        <v>153</v>
      </c>
      <c r="BA30" t="s">
        <v>153</v>
      </c>
      <c r="BB30" t="s">
        <v>153</v>
      </c>
      <c r="BC30" t="s">
        <v>153</v>
      </c>
      <c r="BD30" s="4" t="s">
        <v>153</v>
      </c>
      <c r="BE30" s="4" t="s">
        <v>153</v>
      </c>
      <c r="BF30" t="s">
        <v>153</v>
      </c>
      <c r="BG30" s="4" t="s">
        <v>153</v>
      </c>
      <c r="BH30" t="s">
        <v>153</v>
      </c>
      <c r="BI30" s="4" t="s">
        <v>600</v>
      </c>
      <c r="BJ30" t="s">
        <v>601</v>
      </c>
      <c r="BK30" s="4" t="s">
        <v>602</v>
      </c>
      <c r="BL30" t="s">
        <v>562</v>
      </c>
      <c r="BM30" t="s">
        <v>596</v>
      </c>
      <c r="BN30" s="4" t="s">
        <v>327</v>
      </c>
      <c r="BO30" s="4" t="s">
        <v>191</v>
      </c>
      <c r="BP30" s="4" t="s">
        <v>603</v>
      </c>
      <c r="BQ30" s="4" t="s">
        <v>153</v>
      </c>
      <c r="BR30" s="4" t="s">
        <v>604</v>
      </c>
      <c r="BS30" s="4" t="s">
        <v>605</v>
      </c>
      <c r="BT30" s="4" t="s">
        <v>153</v>
      </c>
      <c r="BU30" s="4" t="s">
        <v>429</v>
      </c>
      <c r="BV30" s="4">
        <v>48317</v>
      </c>
      <c r="BW30" s="4" t="s">
        <v>430</v>
      </c>
      <c r="BX30" s="4" t="s">
        <v>604</v>
      </c>
      <c r="BY30" s="4" t="s">
        <v>153</v>
      </c>
      <c r="BZ30" s="4" t="s">
        <v>605</v>
      </c>
      <c r="CA30" s="4" t="s">
        <v>429</v>
      </c>
      <c r="CB30" s="4">
        <v>48317</v>
      </c>
      <c r="CC30" s="4" t="s">
        <v>430</v>
      </c>
      <c r="CD30" t="s">
        <v>606</v>
      </c>
      <c r="CE30" s="4" t="s">
        <v>607</v>
      </c>
      <c r="CF30" s="4" t="s">
        <v>598</v>
      </c>
      <c r="CG30" s="4" t="s">
        <v>608</v>
      </c>
      <c r="CH30" s="5">
        <v>44665</v>
      </c>
      <c r="CI30" t="s">
        <v>609</v>
      </c>
      <c r="CJ30" s="4">
        <v>0</v>
      </c>
      <c r="CK30" t="s">
        <v>433</v>
      </c>
      <c r="CL30" t="s">
        <v>153</v>
      </c>
      <c r="CM30" t="s">
        <v>153</v>
      </c>
      <c r="CN30" t="s">
        <v>153</v>
      </c>
      <c r="CO30" s="5"/>
      <c r="CP30" s="4" t="s">
        <v>153</v>
      </c>
      <c r="CQ30" s="4" t="s">
        <v>153</v>
      </c>
      <c r="CR30" t="s">
        <v>153</v>
      </c>
      <c r="CS30" t="s">
        <v>153</v>
      </c>
      <c r="CT30" t="s">
        <v>153</v>
      </c>
      <c r="CU30" t="s">
        <v>153</v>
      </c>
      <c r="CV30" t="s">
        <v>153</v>
      </c>
      <c r="CW30" t="s">
        <v>153</v>
      </c>
      <c r="CX30" t="s">
        <v>153</v>
      </c>
      <c r="CY30" t="s">
        <v>153</v>
      </c>
      <c r="CZ30" t="s">
        <v>153</v>
      </c>
      <c r="DA30" t="s">
        <v>153</v>
      </c>
      <c r="DB30" t="s">
        <v>153</v>
      </c>
      <c r="DC30" t="s">
        <v>153</v>
      </c>
      <c r="DD30" t="s">
        <v>153</v>
      </c>
      <c r="DE30" t="s">
        <v>153</v>
      </c>
      <c r="DF30" t="s">
        <v>153</v>
      </c>
      <c r="DG30" t="s">
        <v>153</v>
      </c>
      <c r="DI30" t="s">
        <v>153</v>
      </c>
      <c r="DJ30" t="s">
        <v>153</v>
      </c>
      <c r="DK30" t="s">
        <v>153</v>
      </c>
      <c r="DL30" t="s">
        <v>153</v>
      </c>
      <c r="DN30" t="s">
        <v>153</v>
      </c>
      <c r="DO30" t="s">
        <v>153</v>
      </c>
      <c r="DP30" t="s">
        <v>153</v>
      </c>
      <c r="DQ30" t="s">
        <v>153</v>
      </c>
      <c r="DR30" t="s">
        <v>153</v>
      </c>
      <c r="DS30" t="s">
        <v>153</v>
      </c>
      <c r="DT30" t="s">
        <v>153</v>
      </c>
      <c r="DU30" t="s">
        <v>153</v>
      </c>
      <c r="DV30" t="s">
        <v>153</v>
      </c>
      <c r="DW30" t="s">
        <v>153</v>
      </c>
      <c r="DX30" s="2"/>
      <c r="DY30" t="s">
        <v>153</v>
      </c>
      <c r="DZ30" t="s">
        <v>153</v>
      </c>
      <c r="EA30" t="s">
        <v>153</v>
      </c>
      <c r="EB30" t="s">
        <v>153</v>
      </c>
      <c r="EC30" t="s">
        <v>153</v>
      </c>
      <c r="ED30" t="s">
        <v>153</v>
      </c>
      <c r="EE30" t="s">
        <v>153</v>
      </c>
      <c r="EF30" t="s">
        <v>153</v>
      </c>
      <c r="EH30" t="s">
        <v>153</v>
      </c>
      <c r="EI30" t="s">
        <v>153</v>
      </c>
      <c r="EJ30" t="s">
        <v>153</v>
      </c>
      <c r="EK30" t="s">
        <v>153</v>
      </c>
      <c r="EM30" t="s">
        <v>153</v>
      </c>
      <c r="EN30" t="s">
        <v>153</v>
      </c>
      <c r="EP30" s="4" t="s">
        <v>153</v>
      </c>
      <c r="EQ30" s="4" t="s">
        <v>153</v>
      </c>
      <c r="ER30" s="4" t="s">
        <v>191</v>
      </c>
      <c r="ES30" s="4" t="s">
        <v>153</v>
      </c>
      <c r="ET30" t="s">
        <v>153</v>
      </c>
      <c r="EU30" t="s">
        <v>610</v>
      </c>
      <c r="EV30" t="s">
        <v>611</v>
      </c>
      <c r="EW30">
        <v>1041871305</v>
      </c>
      <c r="EX30" t="s">
        <v>612</v>
      </c>
    </row>
    <row r="31" spans="1:154" x14ac:dyDescent="0.25">
      <c r="A31" s="3">
        <v>44902.480486111112</v>
      </c>
      <c r="B31" s="4" t="s">
        <v>3</v>
      </c>
      <c r="C31" s="4" t="s">
        <v>613</v>
      </c>
      <c r="D31" s="4" t="s">
        <v>614</v>
      </c>
      <c r="E31" s="4" t="s">
        <v>615</v>
      </c>
      <c r="F31" s="4" t="s">
        <v>616</v>
      </c>
      <c r="G31" s="4" t="s">
        <v>252</v>
      </c>
      <c r="H31" s="4" t="s">
        <v>186</v>
      </c>
      <c r="I31" s="4" t="s">
        <v>153</v>
      </c>
      <c r="J31" s="4" t="s">
        <v>617</v>
      </c>
      <c r="K31" s="5"/>
      <c r="L31" s="4" t="s">
        <v>153</v>
      </c>
      <c r="M31" s="4" t="s">
        <v>153</v>
      </c>
      <c r="N31" s="4" t="s">
        <v>153</v>
      </c>
      <c r="O31" s="4" t="s">
        <v>153</v>
      </c>
      <c r="P31" s="4" t="s">
        <v>153</v>
      </c>
      <c r="Q31" s="4" t="s">
        <v>153</v>
      </c>
      <c r="R31" s="4" t="s">
        <v>153</v>
      </c>
      <c r="S31" s="4" t="s">
        <v>153</v>
      </c>
      <c r="T31" s="4" t="s">
        <v>153</v>
      </c>
      <c r="U31" s="4" t="s">
        <v>153</v>
      </c>
      <c r="V31" s="4" t="s">
        <v>153</v>
      </c>
      <c r="W31" s="4" t="s">
        <v>153</v>
      </c>
      <c r="X31" s="4" t="s">
        <v>153</v>
      </c>
      <c r="Y31" s="4" t="s">
        <v>153</v>
      </c>
      <c r="Z31" s="4" t="s">
        <v>153</v>
      </c>
      <c r="AA31" s="4" t="s">
        <v>153</v>
      </c>
      <c r="AB31" s="4" t="s">
        <v>153</v>
      </c>
      <c r="AC31" s="4" t="s">
        <v>153</v>
      </c>
      <c r="AD31" s="4" t="s">
        <v>153</v>
      </c>
      <c r="AE31" s="4" t="s">
        <v>153</v>
      </c>
      <c r="AF31" s="4" t="s">
        <v>153</v>
      </c>
      <c r="AG31" s="4" t="s">
        <v>153</v>
      </c>
      <c r="AH31" s="4" t="s">
        <v>153</v>
      </c>
      <c r="AI31" s="5"/>
      <c r="AJ31" t="s">
        <v>153</v>
      </c>
      <c r="AK31" s="4"/>
      <c r="AL31" t="s">
        <v>153</v>
      </c>
      <c r="AM31" t="s">
        <v>153</v>
      </c>
      <c r="AO31" t="s">
        <v>153</v>
      </c>
      <c r="AP31" s="4"/>
      <c r="AQ31" t="s">
        <v>153</v>
      </c>
      <c r="AR31" s="5">
        <v>44794</v>
      </c>
      <c r="AS31">
        <v>0</v>
      </c>
      <c r="AT31" s="4" t="s">
        <v>153</v>
      </c>
      <c r="AU31" s="4" t="s">
        <v>153</v>
      </c>
      <c r="AV31" s="4" t="s">
        <v>618</v>
      </c>
      <c r="AW31" t="s">
        <v>153</v>
      </c>
      <c r="AX31" t="s">
        <v>619</v>
      </c>
      <c r="AY31" t="s">
        <v>620</v>
      </c>
      <c r="AZ31" t="s">
        <v>153</v>
      </c>
      <c r="BA31" t="s">
        <v>153</v>
      </c>
      <c r="BB31" t="s">
        <v>153</v>
      </c>
      <c r="BC31" t="s">
        <v>153</v>
      </c>
      <c r="BD31" s="4" t="s">
        <v>621</v>
      </c>
      <c r="BE31" s="4" t="s">
        <v>622</v>
      </c>
      <c r="BF31" t="s">
        <v>243</v>
      </c>
      <c r="BG31" s="4" t="s">
        <v>153</v>
      </c>
      <c r="BH31" t="s">
        <v>153</v>
      </c>
      <c r="BI31" s="4" t="s">
        <v>153</v>
      </c>
      <c r="BJ31" t="s">
        <v>153</v>
      </c>
      <c r="BK31" s="4" t="s">
        <v>153</v>
      </c>
      <c r="BL31" t="s">
        <v>153</v>
      </c>
      <c r="BM31" t="s">
        <v>153</v>
      </c>
      <c r="BN31" s="4" t="s">
        <v>153</v>
      </c>
      <c r="BO31" s="4" t="s">
        <v>153</v>
      </c>
      <c r="BP31" s="4" t="s">
        <v>153</v>
      </c>
      <c r="BQ31" s="4" t="s">
        <v>153</v>
      </c>
      <c r="BR31" s="4" t="s">
        <v>153</v>
      </c>
      <c r="BS31" s="4" t="s">
        <v>153</v>
      </c>
      <c r="BT31" s="4" t="s">
        <v>153</v>
      </c>
      <c r="BU31" s="4" t="s">
        <v>153</v>
      </c>
      <c r="BV31" s="4"/>
      <c r="BW31" s="4" t="s">
        <v>153</v>
      </c>
      <c r="BX31" s="4" t="s">
        <v>153</v>
      </c>
      <c r="BY31" s="4" t="s">
        <v>153</v>
      </c>
      <c r="BZ31" s="4" t="s">
        <v>153</v>
      </c>
      <c r="CA31" s="4" t="s">
        <v>153</v>
      </c>
      <c r="CB31" s="4"/>
      <c r="CC31" s="4" t="s">
        <v>153</v>
      </c>
      <c r="CD31" t="s">
        <v>153</v>
      </c>
      <c r="CE31" s="4" t="s">
        <v>153</v>
      </c>
      <c r="CF31" s="4" t="s">
        <v>153</v>
      </c>
      <c r="CG31" s="4" t="s">
        <v>153</v>
      </c>
      <c r="CH31" s="5"/>
      <c r="CI31" t="s">
        <v>153</v>
      </c>
      <c r="CJ31" s="4"/>
      <c r="CK31" t="s">
        <v>153</v>
      </c>
      <c r="CL31" t="s">
        <v>153</v>
      </c>
      <c r="CM31" t="s">
        <v>153</v>
      </c>
      <c r="CN31" t="s">
        <v>153</v>
      </c>
      <c r="CO31" s="5"/>
      <c r="CP31" s="4" t="s">
        <v>153</v>
      </c>
      <c r="CQ31" s="4" t="s">
        <v>153</v>
      </c>
      <c r="CR31" t="s">
        <v>153</v>
      </c>
      <c r="CS31" t="s">
        <v>153</v>
      </c>
      <c r="CT31" t="s">
        <v>153</v>
      </c>
      <c r="CU31" t="s">
        <v>153</v>
      </c>
      <c r="CV31" t="s">
        <v>153</v>
      </c>
      <c r="CW31" t="s">
        <v>153</v>
      </c>
      <c r="CX31" t="s">
        <v>153</v>
      </c>
      <c r="CY31" t="s">
        <v>153</v>
      </c>
      <c r="CZ31" t="s">
        <v>153</v>
      </c>
      <c r="DA31" t="s">
        <v>153</v>
      </c>
      <c r="DB31" t="s">
        <v>153</v>
      </c>
      <c r="DC31" t="s">
        <v>153</v>
      </c>
      <c r="DD31" t="s">
        <v>153</v>
      </c>
      <c r="DE31" t="s">
        <v>153</v>
      </c>
      <c r="DF31" t="s">
        <v>153</v>
      </c>
      <c r="DG31" t="s">
        <v>153</v>
      </c>
      <c r="DI31" t="s">
        <v>153</v>
      </c>
      <c r="DJ31" t="s">
        <v>153</v>
      </c>
      <c r="DK31" t="s">
        <v>153</v>
      </c>
      <c r="DL31" t="s">
        <v>153</v>
      </c>
      <c r="DN31" t="s">
        <v>153</v>
      </c>
      <c r="DO31" t="s">
        <v>153</v>
      </c>
      <c r="DP31" t="s">
        <v>153</v>
      </c>
      <c r="DQ31" t="s">
        <v>153</v>
      </c>
      <c r="DR31" t="s">
        <v>153</v>
      </c>
      <c r="DS31" t="s">
        <v>153</v>
      </c>
      <c r="DT31" t="s">
        <v>153</v>
      </c>
      <c r="DU31" t="s">
        <v>153</v>
      </c>
      <c r="DV31" t="s">
        <v>153</v>
      </c>
      <c r="DW31" t="s">
        <v>153</v>
      </c>
      <c r="DX31" s="2"/>
      <c r="DY31" t="s">
        <v>153</v>
      </c>
      <c r="DZ31" t="s">
        <v>153</v>
      </c>
      <c r="EA31" t="s">
        <v>153</v>
      </c>
      <c r="EB31" t="s">
        <v>153</v>
      </c>
      <c r="EC31" t="s">
        <v>153</v>
      </c>
      <c r="ED31" t="s">
        <v>153</v>
      </c>
      <c r="EE31" t="s">
        <v>153</v>
      </c>
      <c r="EF31" t="s">
        <v>153</v>
      </c>
      <c r="EH31" t="s">
        <v>153</v>
      </c>
      <c r="EI31" t="s">
        <v>153</v>
      </c>
      <c r="EJ31" t="s">
        <v>153</v>
      </c>
      <c r="EK31" t="s">
        <v>153</v>
      </c>
      <c r="EM31" t="s">
        <v>153</v>
      </c>
      <c r="EN31" t="s">
        <v>153</v>
      </c>
      <c r="EP31" s="4" t="s">
        <v>153</v>
      </c>
      <c r="EQ31" s="4" t="s">
        <v>153</v>
      </c>
      <c r="ER31" s="4" t="s">
        <v>243</v>
      </c>
      <c r="ES31" s="4" t="s">
        <v>205</v>
      </c>
      <c r="ET31" t="s">
        <v>623</v>
      </c>
      <c r="EU31" t="s">
        <v>624</v>
      </c>
      <c r="EV31" t="s">
        <v>625</v>
      </c>
      <c r="EW31">
        <v>1043242411</v>
      </c>
      <c r="EX31" t="s">
        <v>626</v>
      </c>
    </row>
    <row r="32" spans="1:154" x14ac:dyDescent="0.25">
      <c r="A32" s="3">
        <v>44904.586909722224</v>
      </c>
      <c r="B32" s="4" t="s">
        <v>3</v>
      </c>
      <c r="C32" s="4" t="s">
        <v>281</v>
      </c>
      <c r="D32" s="4" t="s">
        <v>627</v>
      </c>
      <c r="E32" s="4" t="s">
        <v>628</v>
      </c>
      <c r="F32" s="4" t="s">
        <v>629</v>
      </c>
      <c r="G32" s="4" t="s">
        <v>252</v>
      </c>
      <c r="H32" s="4" t="s">
        <v>630</v>
      </c>
      <c r="I32" s="4" t="s">
        <v>153</v>
      </c>
      <c r="J32" s="4" t="s">
        <v>631</v>
      </c>
      <c r="K32" s="5"/>
      <c r="L32" s="4" t="s">
        <v>153</v>
      </c>
      <c r="M32" s="4" t="s">
        <v>153</v>
      </c>
      <c r="N32" s="4" t="s">
        <v>153</v>
      </c>
      <c r="O32" s="4" t="s">
        <v>153</v>
      </c>
      <c r="P32" s="4" t="s">
        <v>153</v>
      </c>
      <c r="Q32" s="4" t="s">
        <v>153</v>
      </c>
      <c r="R32" s="4" t="s">
        <v>153</v>
      </c>
      <c r="S32" s="4" t="s">
        <v>153</v>
      </c>
      <c r="T32" s="4" t="s">
        <v>153</v>
      </c>
      <c r="U32" s="4" t="s">
        <v>153</v>
      </c>
      <c r="V32" s="4" t="s">
        <v>153</v>
      </c>
      <c r="W32" s="4" t="s">
        <v>153</v>
      </c>
      <c r="X32" s="4" t="s">
        <v>153</v>
      </c>
      <c r="Y32" s="4" t="s">
        <v>153</v>
      </c>
      <c r="Z32" s="4" t="s">
        <v>153</v>
      </c>
      <c r="AA32" s="4" t="s">
        <v>153</v>
      </c>
      <c r="AB32" s="4" t="s">
        <v>153</v>
      </c>
      <c r="AC32" s="4" t="s">
        <v>153</v>
      </c>
      <c r="AD32" s="4" t="s">
        <v>153</v>
      </c>
      <c r="AE32" s="4" t="s">
        <v>153</v>
      </c>
      <c r="AF32" s="4" t="s">
        <v>153</v>
      </c>
      <c r="AG32" s="4" t="s">
        <v>153</v>
      </c>
      <c r="AH32" s="4" t="s">
        <v>153</v>
      </c>
      <c r="AI32" s="5"/>
      <c r="AJ32" t="s">
        <v>153</v>
      </c>
      <c r="AK32" s="4"/>
      <c r="AL32" t="s">
        <v>153</v>
      </c>
      <c r="AM32" t="s">
        <v>153</v>
      </c>
      <c r="AO32" t="s">
        <v>153</v>
      </c>
      <c r="AP32" s="4"/>
      <c r="AQ32" t="s">
        <v>153</v>
      </c>
      <c r="AR32" s="5">
        <v>44531</v>
      </c>
      <c r="AS32">
        <v>2</v>
      </c>
      <c r="AT32" s="4" t="s">
        <v>632</v>
      </c>
      <c r="AU32" s="4" t="s">
        <v>633</v>
      </c>
      <c r="AV32" s="4" t="s">
        <v>153</v>
      </c>
      <c r="AW32" t="s">
        <v>153</v>
      </c>
      <c r="AX32" t="s">
        <v>153</v>
      </c>
      <c r="AY32" t="s">
        <v>153</v>
      </c>
      <c r="AZ32" t="s">
        <v>274</v>
      </c>
      <c r="BA32" t="s">
        <v>153</v>
      </c>
      <c r="BB32" t="s">
        <v>153</v>
      </c>
      <c r="BC32" t="s">
        <v>634</v>
      </c>
      <c r="BD32" s="4" t="s">
        <v>635</v>
      </c>
      <c r="BE32" s="4" t="s">
        <v>636</v>
      </c>
      <c r="BF32" t="s">
        <v>242</v>
      </c>
      <c r="BG32" s="4" t="s">
        <v>637</v>
      </c>
      <c r="BH32" t="s">
        <v>153</v>
      </c>
      <c r="BI32" s="4" t="s">
        <v>153</v>
      </c>
      <c r="BJ32" t="s">
        <v>153</v>
      </c>
      <c r="BK32" s="4" t="s">
        <v>153</v>
      </c>
      <c r="BL32" t="s">
        <v>153</v>
      </c>
      <c r="BM32" t="s">
        <v>153</v>
      </c>
      <c r="BN32" s="4" t="s">
        <v>153</v>
      </c>
      <c r="BO32" s="4" t="s">
        <v>153</v>
      </c>
      <c r="BP32" s="4" t="s">
        <v>153</v>
      </c>
      <c r="BQ32" s="4" t="s">
        <v>153</v>
      </c>
      <c r="BR32" s="4" t="s">
        <v>153</v>
      </c>
      <c r="BS32" s="4" t="s">
        <v>153</v>
      </c>
      <c r="BT32" s="4" t="s">
        <v>153</v>
      </c>
      <c r="BU32" s="4" t="s">
        <v>153</v>
      </c>
      <c r="BV32" s="4"/>
      <c r="BW32" s="4" t="s">
        <v>153</v>
      </c>
      <c r="BX32" s="4" t="s">
        <v>153</v>
      </c>
      <c r="BY32" s="4" t="s">
        <v>153</v>
      </c>
      <c r="BZ32" s="4" t="s">
        <v>153</v>
      </c>
      <c r="CA32" s="4" t="s">
        <v>153</v>
      </c>
      <c r="CB32" s="4"/>
      <c r="CC32" s="4" t="s">
        <v>153</v>
      </c>
      <c r="CD32" t="s">
        <v>153</v>
      </c>
      <c r="CE32" s="4" t="s">
        <v>153</v>
      </c>
      <c r="CF32" s="4" t="s">
        <v>153</v>
      </c>
      <c r="CG32" s="4" t="s">
        <v>153</v>
      </c>
      <c r="CH32" s="5"/>
      <c r="CI32" t="s">
        <v>153</v>
      </c>
      <c r="CJ32" s="4"/>
      <c r="CK32" t="s">
        <v>153</v>
      </c>
      <c r="CL32" t="s">
        <v>153</v>
      </c>
      <c r="CM32" t="s">
        <v>153</v>
      </c>
      <c r="CN32" t="s">
        <v>153</v>
      </c>
      <c r="CO32" s="5"/>
      <c r="CP32" s="4" t="s">
        <v>153</v>
      </c>
      <c r="CQ32" s="4" t="s">
        <v>153</v>
      </c>
      <c r="CR32" t="s">
        <v>153</v>
      </c>
      <c r="CS32" t="s">
        <v>153</v>
      </c>
      <c r="CT32" t="s">
        <v>153</v>
      </c>
      <c r="CU32" t="s">
        <v>153</v>
      </c>
      <c r="CV32" t="s">
        <v>153</v>
      </c>
      <c r="CW32" t="s">
        <v>153</v>
      </c>
      <c r="CX32" t="s">
        <v>153</v>
      </c>
      <c r="CY32" t="s">
        <v>153</v>
      </c>
      <c r="CZ32" t="s">
        <v>153</v>
      </c>
      <c r="DA32" t="s">
        <v>153</v>
      </c>
      <c r="DB32" t="s">
        <v>153</v>
      </c>
      <c r="DC32" t="s">
        <v>153</v>
      </c>
      <c r="DD32" t="s">
        <v>153</v>
      </c>
      <c r="DE32" t="s">
        <v>153</v>
      </c>
      <c r="DF32" t="s">
        <v>153</v>
      </c>
      <c r="DG32" t="s">
        <v>153</v>
      </c>
      <c r="DI32" t="s">
        <v>153</v>
      </c>
      <c r="DJ32" t="s">
        <v>153</v>
      </c>
      <c r="DK32" t="s">
        <v>153</v>
      </c>
      <c r="DL32" t="s">
        <v>153</v>
      </c>
      <c r="DN32" t="s">
        <v>153</v>
      </c>
      <c r="DO32" t="s">
        <v>153</v>
      </c>
      <c r="DP32" t="s">
        <v>153</v>
      </c>
      <c r="DQ32" t="s">
        <v>153</v>
      </c>
      <c r="DR32" t="s">
        <v>153</v>
      </c>
      <c r="DS32" t="s">
        <v>153</v>
      </c>
      <c r="DT32" t="s">
        <v>153</v>
      </c>
      <c r="DU32" t="s">
        <v>153</v>
      </c>
      <c r="DV32" t="s">
        <v>153</v>
      </c>
      <c r="DW32" t="s">
        <v>153</v>
      </c>
      <c r="DX32" s="2"/>
      <c r="DY32" t="s">
        <v>153</v>
      </c>
      <c r="DZ32" t="s">
        <v>153</v>
      </c>
      <c r="EA32" t="s">
        <v>153</v>
      </c>
      <c r="EB32" t="s">
        <v>153</v>
      </c>
      <c r="EC32" t="s">
        <v>153</v>
      </c>
      <c r="ED32" t="s">
        <v>153</v>
      </c>
      <c r="EE32" t="s">
        <v>153</v>
      </c>
      <c r="EF32" t="s">
        <v>153</v>
      </c>
      <c r="EH32" t="s">
        <v>153</v>
      </c>
      <c r="EI32" t="s">
        <v>153</v>
      </c>
      <c r="EJ32" t="s">
        <v>153</v>
      </c>
      <c r="EK32" t="s">
        <v>153</v>
      </c>
      <c r="EM32" t="s">
        <v>153</v>
      </c>
      <c r="EN32" t="s">
        <v>153</v>
      </c>
      <c r="EP32" s="4" t="s">
        <v>153</v>
      </c>
      <c r="EQ32" s="4" t="s">
        <v>153</v>
      </c>
      <c r="ER32" s="4" t="s">
        <v>205</v>
      </c>
      <c r="ES32" s="4" t="s">
        <v>153</v>
      </c>
      <c r="ET32" t="s">
        <v>153</v>
      </c>
      <c r="EU32" t="s">
        <v>638</v>
      </c>
      <c r="EV32" t="s">
        <v>639</v>
      </c>
      <c r="EW32">
        <v>1044345441</v>
      </c>
      <c r="EX32" t="s">
        <v>640</v>
      </c>
    </row>
    <row r="33" spans="1:154" x14ac:dyDescent="0.25">
      <c r="A33" s="3">
        <v>44910.631423611114</v>
      </c>
      <c r="B33" s="4" t="s">
        <v>3</v>
      </c>
      <c r="C33" s="4" t="s">
        <v>641</v>
      </c>
      <c r="D33" s="4" t="s">
        <v>642</v>
      </c>
      <c r="E33" s="4" t="s">
        <v>643</v>
      </c>
      <c r="F33" s="4" t="s">
        <v>644</v>
      </c>
      <c r="G33" s="4" t="s">
        <v>252</v>
      </c>
      <c r="H33" s="4" t="s">
        <v>645</v>
      </c>
      <c r="I33" s="4" t="s">
        <v>153</v>
      </c>
      <c r="J33" s="4" t="s">
        <v>646</v>
      </c>
      <c r="K33" s="5"/>
      <c r="L33" s="4" t="s">
        <v>153</v>
      </c>
      <c r="M33" s="4" t="s">
        <v>153</v>
      </c>
      <c r="N33" s="4" t="s">
        <v>153</v>
      </c>
      <c r="O33" s="4" t="s">
        <v>153</v>
      </c>
      <c r="P33" s="4" t="s">
        <v>153</v>
      </c>
      <c r="Q33" s="4" t="s">
        <v>153</v>
      </c>
      <c r="R33" s="4" t="s">
        <v>153</v>
      </c>
      <c r="S33" s="4" t="s">
        <v>153</v>
      </c>
      <c r="T33" s="4" t="s">
        <v>153</v>
      </c>
      <c r="U33" s="4" t="s">
        <v>153</v>
      </c>
      <c r="V33" s="4" t="s">
        <v>153</v>
      </c>
      <c r="W33" s="4" t="s">
        <v>153</v>
      </c>
      <c r="X33" s="4" t="s">
        <v>153</v>
      </c>
      <c r="Y33" s="4" t="s">
        <v>153</v>
      </c>
      <c r="Z33" s="4" t="s">
        <v>153</v>
      </c>
      <c r="AA33" s="4" t="s">
        <v>153</v>
      </c>
      <c r="AB33" s="4" t="s">
        <v>153</v>
      </c>
      <c r="AC33" s="4" t="s">
        <v>153</v>
      </c>
      <c r="AD33" s="4" t="s">
        <v>153</v>
      </c>
      <c r="AE33" s="4" t="s">
        <v>153</v>
      </c>
      <c r="AF33" s="4" t="s">
        <v>153</v>
      </c>
      <c r="AG33" s="4" t="s">
        <v>153</v>
      </c>
      <c r="AH33" s="4" t="s">
        <v>153</v>
      </c>
      <c r="AI33" s="5"/>
      <c r="AJ33" t="s">
        <v>153</v>
      </c>
      <c r="AK33" s="4"/>
      <c r="AL33" t="s">
        <v>153</v>
      </c>
      <c r="AM33" t="s">
        <v>153</v>
      </c>
      <c r="AO33" t="s">
        <v>153</v>
      </c>
      <c r="AP33" s="4"/>
      <c r="AQ33" t="s">
        <v>153</v>
      </c>
      <c r="AR33" s="5">
        <v>44926</v>
      </c>
      <c r="AS33">
        <v>1</v>
      </c>
      <c r="AT33" s="4" t="s">
        <v>647</v>
      </c>
      <c r="AU33" s="4" t="s">
        <v>648</v>
      </c>
      <c r="AV33" s="4" t="s">
        <v>649</v>
      </c>
      <c r="AW33" t="s">
        <v>650</v>
      </c>
      <c r="AX33" t="s">
        <v>651</v>
      </c>
      <c r="AY33" t="s">
        <v>652</v>
      </c>
      <c r="AZ33" t="s">
        <v>653</v>
      </c>
      <c r="BA33" t="s">
        <v>153</v>
      </c>
      <c r="BB33" t="s">
        <v>153</v>
      </c>
      <c r="BC33" t="s">
        <v>153</v>
      </c>
      <c r="BD33" s="4" t="s">
        <v>654</v>
      </c>
      <c r="BE33" s="4" t="s">
        <v>655</v>
      </c>
      <c r="BF33" t="s">
        <v>242</v>
      </c>
      <c r="BG33" s="4" t="s">
        <v>637</v>
      </c>
      <c r="BH33" t="s">
        <v>153</v>
      </c>
      <c r="BI33" s="4" t="s">
        <v>153</v>
      </c>
      <c r="BJ33" t="s">
        <v>153</v>
      </c>
      <c r="BK33" s="4" t="s">
        <v>153</v>
      </c>
      <c r="BL33" t="s">
        <v>153</v>
      </c>
      <c r="BM33" t="s">
        <v>153</v>
      </c>
      <c r="BN33" s="4" t="s">
        <v>153</v>
      </c>
      <c r="BO33" s="4" t="s">
        <v>153</v>
      </c>
      <c r="BP33" s="4" t="s">
        <v>153</v>
      </c>
      <c r="BQ33" s="4" t="s">
        <v>153</v>
      </c>
      <c r="BR33" s="4" t="s">
        <v>153</v>
      </c>
      <c r="BS33" s="4" t="s">
        <v>153</v>
      </c>
      <c r="BT33" s="4" t="s">
        <v>153</v>
      </c>
      <c r="BU33" s="4" t="s">
        <v>153</v>
      </c>
      <c r="BV33" s="4"/>
      <c r="BW33" s="4" t="s">
        <v>153</v>
      </c>
      <c r="BX33" s="4" t="s">
        <v>153</v>
      </c>
      <c r="BY33" s="4" t="s">
        <v>153</v>
      </c>
      <c r="BZ33" s="4" t="s">
        <v>153</v>
      </c>
      <c r="CA33" s="4" t="s">
        <v>153</v>
      </c>
      <c r="CB33" s="4"/>
      <c r="CC33" s="4" t="s">
        <v>153</v>
      </c>
      <c r="CD33" t="s">
        <v>153</v>
      </c>
      <c r="CE33" s="4" t="s">
        <v>153</v>
      </c>
      <c r="CF33" s="4" t="s">
        <v>153</v>
      </c>
      <c r="CG33" s="4" t="s">
        <v>153</v>
      </c>
      <c r="CH33" s="5"/>
      <c r="CI33" t="s">
        <v>153</v>
      </c>
      <c r="CJ33" s="4"/>
      <c r="CK33" t="s">
        <v>153</v>
      </c>
      <c r="CL33" t="s">
        <v>153</v>
      </c>
      <c r="CM33" t="s">
        <v>153</v>
      </c>
      <c r="CN33" t="s">
        <v>153</v>
      </c>
      <c r="CO33" s="5"/>
      <c r="CP33" s="4" t="s">
        <v>153</v>
      </c>
      <c r="CQ33" s="4" t="s">
        <v>153</v>
      </c>
      <c r="CR33" t="s">
        <v>153</v>
      </c>
      <c r="CS33" t="s">
        <v>153</v>
      </c>
      <c r="CT33" t="s">
        <v>153</v>
      </c>
      <c r="CU33" t="s">
        <v>153</v>
      </c>
      <c r="CV33" t="s">
        <v>153</v>
      </c>
      <c r="CW33" t="s">
        <v>153</v>
      </c>
      <c r="CX33" t="s">
        <v>153</v>
      </c>
      <c r="CY33" t="s">
        <v>153</v>
      </c>
      <c r="CZ33" t="s">
        <v>153</v>
      </c>
      <c r="DA33" t="s">
        <v>153</v>
      </c>
      <c r="DB33" t="s">
        <v>153</v>
      </c>
      <c r="DC33" t="s">
        <v>153</v>
      </c>
      <c r="DD33" t="s">
        <v>153</v>
      </c>
      <c r="DE33" t="s">
        <v>153</v>
      </c>
      <c r="DF33" t="s">
        <v>153</v>
      </c>
      <c r="DG33" t="s">
        <v>153</v>
      </c>
      <c r="DI33" t="s">
        <v>153</v>
      </c>
      <c r="DJ33" t="s">
        <v>153</v>
      </c>
      <c r="DK33" t="s">
        <v>153</v>
      </c>
      <c r="DL33" t="s">
        <v>153</v>
      </c>
      <c r="DN33" t="s">
        <v>153</v>
      </c>
      <c r="DO33" t="s">
        <v>153</v>
      </c>
      <c r="DP33" t="s">
        <v>153</v>
      </c>
      <c r="DQ33" t="s">
        <v>153</v>
      </c>
      <c r="DR33" t="s">
        <v>153</v>
      </c>
      <c r="DS33" t="s">
        <v>153</v>
      </c>
      <c r="DT33" t="s">
        <v>153</v>
      </c>
      <c r="DU33" t="s">
        <v>153</v>
      </c>
      <c r="DV33" t="s">
        <v>153</v>
      </c>
      <c r="DW33" t="s">
        <v>153</v>
      </c>
      <c r="DX33" s="2"/>
      <c r="DY33" t="s">
        <v>153</v>
      </c>
      <c r="DZ33" t="s">
        <v>153</v>
      </c>
      <c r="EA33" t="s">
        <v>153</v>
      </c>
      <c r="EB33" t="s">
        <v>153</v>
      </c>
      <c r="EC33" t="s">
        <v>153</v>
      </c>
      <c r="ED33" t="s">
        <v>153</v>
      </c>
      <c r="EE33" t="s">
        <v>153</v>
      </c>
      <c r="EF33" t="s">
        <v>153</v>
      </c>
      <c r="EH33" t="s">
        <v>153</v>
      </c>
      <c r="EI33" t="s">
        <v>153</v>
      </c>
      <c r="EJ33" t="s">
        <v>153</v>
      </c>
      <c r="EK33" t="s">
        <v>153</v>
      </c>
      <c r="EM33" t="s">
        <v>153</v>
      </c>
      <c r="EN33" t="s">
        <v>153</v>
      </c>
      <c r="EP33" s="4" t="s">
        <v>153</v>
      </c>
      <c r="EQ33" s="4" t="s">
        <v>153</v>
      </c>
      <c r="ER33" s="4" t="s">
        <v>191</v>
      </c>
      <c r="ES33" s="4" t="s">
        <v>153</v>
      </c>
      <c r="ET33" t="s">
        <v>656</v>
      </c>
      <c r="EU33" t="s">
        <v>638</v>
      </c>
      <c r="EV33" t="s">
        <v>657</v>
      </c>
      <c r="EW33">
        <v>1047227075</v>
      </c>
      <c r="EX33" t="s">
        <v>658</v>
      </c>
    </row>
    <row r="34" spans="1:154" x14ac:dyDescent="0.25">
      <c r="A34" s="3">
        <v>44911.587164351855</v>
      </c>
      <c r="B34" s="4" t="s">
        <v>3</v>
      </c>
      <c r="C34" s="4" t="s">
        <v>659</v>
      </c>
      <c r="D34" s="4" t="s">
        <v>660</v>
      </c>
      <c r="E34" s="4" t="s">
        <v>661</v>
      </c>
      <c r="F34" s="4" t="s">
        <v>662</v>
      </c>
      <c r="G34" s="4" t="s">
        <v>185</v>
      </c>
      <c r="H34" s="4" t="s">
        <v>323</v>
      </c>
      <c r="I34" s="4" t="s">
        <v>153</v>
      </c>
      <c r="J34" s="4" t="s">
        <v>153</v>
      </c>
      <c r="K34" s="5"/>
      <c r="L34" s="4" t="s">
        <v>153</v>
      </c>
      <c r="M34" s="4" t="s">
        <v>663</v>
      </c>
      <c r="N34" s="4" t="s">
        <v>663</v>
      </c>
      <c r="O34" s="4" t="s">
        <v>664</v>
      </c>
      <c r="P34" s="4" t="s">
        <v>665</v>
      </c>
      <c r="Q34" s="4" t="s">
        <v>190</v>
      </c>
      <c r="R34" s="4" t="s">
        <v>666</v>
      </c>
      <c r="S34" s="4" t="s">
        <v>153</v>
      </c>
      <c r="T34" s="4" t="s">
        <v>667</v>
      </c>
      <c r="U34" s="4" t="s">
        <v>668</v>
      </c>
      <c r="V34" s="4" t="s">
        <v>153</v>
      </c>
      <c r="W34" s="4" t="s">
        <v>669</v>
      </c>
      <c r="X34" s="4" t="s">
        <v>670</v>
      </c>
      <c r="Y34" s="4" t="s">
        <v>671</v>
      </c>
      <c r="Z34" s="4" t="s">
        <v>197</v>
      </c>
      <c r="AA34" s="4" t="s">
        <v>668</v>
      </c>
      <c r="AB34" s="4" t="s">
        <v>153</v>
      </c>
      <c r="AC34" s="4" t="s">
        <v>669</v>
      </c>
      <c r="AD34" s="4" t="s">
        <v>670</v>
      </c>
      <c r="AE34" s="4" t="s">
        <v>671</v>
      </c>
      <c r="AF34" s="4" t="s">
        <v>672</v>
      </c>
      <c r="AG34" s="4" t="s">
        <v>673</v>
      </c>
      <c r="AH34" s="4" t="s">
        <v>153</v>
      </c>
      <c r="AI34" s="5">
        <v>44562</v>
      </c>
      <c r="AJ34" t="s">
        <v>674</v>
      </c>
      <c r="AK34" s="4">
        <v>5</v>
      </c>
      <c r="AL34" t="s">
        <v>675</v>
      </c>
      <c r="AM34" t="s">
        <v>153</v>
      </c>
      <c r="AO34" t="s">
        <v>153</v>
      </c>
      <c r="AP34" s="4"/>
      <c r="AQ34" t="s">
        <v>153</v>
      </c>
      <c r="AR34" s="5"/>
      <c r="AT34" s="4" t="s">
        <v>153</v>
      </c>
      <c r="AU34" s="4" t="s">
        <v>153</v>
      </c>
      <c r="AV34" s="4" t="s">
        <v>153</v>
      </c>
      <c r="AW34" t="s">
        <v>153</v>
      </c>
      <c r="AX34" t="s">
        <v>153</v>
      </c>
      <c r="AY34" t="s">
        <v>153</v>
      </c>
      <c r="AZ34" t="s">
        <v>153</v>
      </c>
      <c r="BA34" t="s">
        <v>153</v>
      </c>
      <c r="BB34" t="s">
        <v>153</v>
      </c>
      <c r="BC34" t="s">
        <v>153</v>
      </c>
      <c r="BD34" s="4" t="s">
        <v>153</v>
      </c>
      <c r="BE34" s="4" t="s">
        <v>153</v>
      </c>
      <c r="BF34" t="s">
        <v>153</v>
      </c>
      <c r="BG34" s="4" t="s">
        <v>153</v>
      </c>
      <c r="BH34" t="s">
        <v>153</v>
      </c>
      <c r="BI34" s="4" t="s">
        <v>153</v>
      </c>
      <c r="BJ34" t="s">
        <v>153</v>
      </c>
      <c r="BK34" s="4" t="s">
        <v>153</v>
      </c>
      <c r="BL34" t="s">
        <v>153</v>
      </c>
      <c r="BM34" t="s">
        <v>153</v>
      </c>
      <c r="BN34" s="4" t="s">
        <v>153</v>
      </c>
      <c r="BO34" s="4" t="s">
        <v>153</v>
      </c>
      <c r="BP34" s="4" t="s">
        <v>153</v>
      </c>
      <c r="BQ34" s="4" t="s">
        <v>153</v>
      </c>
      <c r="BR34" s="4" t="s">
        <v>153</v>
      </c>
      <c r="BS34" s="4" t="s">
        <v>153</v>
      </c>
      <c r="BT34" s="4" t="s">
        <v>153</v>
      </c>
      <c r="BU34" s="4" t="s">
        <v>153</v>
      </c>
      <c r="BV34" s="4"/>
      <c r="BW34" s="4" t="s">
        <v>153</v>
      </c>
      <c r="BX34" s="4" t="s">
        <v>153</v>
      </c>
      <c r="BY34" s="4" t="s">
        <v>153</v>
      </c>
      <c r="BZ34" s="4" t="s">
        <v>153</v>
      </c>
      <c r="CA34" s="4" t="s">
        <v>153</v>
      </c>
      <c r="CB34" s="4"/>
      <c r="CC34" s="4" t="s">
        <v>153</v>
      </c>
      <c r="CD34" t="s">
        <v>153</v>
      </c>
      <c r="CE34" s="4" t="s">
        <v>153</v>
      </c>
      <c r="CF34" s="4" t="s">
        <v>153</v>
      </c>
      <c r="CG34" s="4" t="s">
        <v>153</v>
      </c>
      <c r="CH34" s="5"/>
      <c r="CI34" t="s">
        <v>153</v>
      </c>
      <c r="CJ34" s="4"/>
      <c r="CK34" t="s">
        <v>153</v>
      </c>
      <c r="CL34" t="s">
        <v>153</v>
      </c>
      <c r="CM34" t="s">
        <v>153</v>
      </c>
      <c r="CN34" t="s">
        <v>153</v>
      </c>
      <c r="CO34" s="5"/>
      <c r="CP34" s="4" t="s">
        <v>153</v>
      </c>
      <c r="CQ34" s="4" t="s">
        <v>153</v>
      </c>
      <c r="CR34" t="s">
        <v>153</v>
      </c>
      <c r="CS34" t="s">
        <v>153</v>
      </c>
      <c r="CT34" t="s">
        <v>153</v>
      </c>
      <c r="CU34" t="s">
        <v>153</v>
      </c>
      <c r="CV34" t="s">
        <v>153</v>
      </c>
      <c r="CW34" t="s">
        <v>153</v>
      </c>
      <c r="CX34" t="s">
        <v>153</v>
      </c>
      <c r="CY34" t="s">
        <v>153</v>
      </c>
      <c r="CZ34" t="s">
        <v>153</v>
      </c>
      <c r="DA34" t="s">
        <v>153</v>
      </c>
      <c r="DB34" t="s">
        <v>153</v>
      </c>
      <c r="DC34" t="s">
        <v>153</v>
      </c>
      <c r="DD34" t="s">
        <v>153</v>
      </c>
      <c r="DE34" t="s">
        <v>153</v>
      </c>
      <c r="DF34" t="s">
        <v>153</v>
      </c>
      <c r="DG34" t="s">
        <v>153</v>
      </c>
      <c r="DI34" t="s">
        <v>153</v>
      </c>
      <c r="DJ34" t="s">
        <v>153</v>
      </c>
      <c r="DK34" t="s">
        <v>153</v>
      </c>
      <c r="DL34" t="s">
        <v>153</v>
      </c>
      <c r="DN34" t="s">
        <v>153</v>
      </c>
      <c r="DO34" t="s">
        <v>153</v>
      </c>
      <c r="DP34" t="s">
        <v>153</v>
      </c>
      <c r="DQ34" t="s">
        <v>153</v>
      </c>
      <c r="DR34" t="s">
        <v>153</v>
      </c>
      <c r="DS34" t="s">
        <v>153</v>
      </c>
      <c r="DT34" t="s">
        <v>153</v>
      </c>
      <c r="DU34" t="s">
        <v>153</v>
      </c>
      <c r="DV34" t="s">
        <v>153</v>
      </c>
      <c r="DW34" t="s">
        <v>153</v>
      </c>
      <c r="DX34" s="2"/>
      <c r="DY34" t="s">
        <v>153</v>
      </c>
      <c r="DZ34" t="s">
        <v>153</v>
      </c>
      <c r="EA34" t="s">
        <v>153</v>
      </c>
      <c r="EB34" t="s">
        <v>153</v>
      </c>
      <c r="EC34" t="s">
        <v>153</v>
      </c>
      <c r="ED34" t="s">
        <v>153</v>
      </c>
      <c r="EE34" t="s">
        <v>153</v>
      </c>
      <c r="EF34" t="s">
        <v>153</v>
      </c>
      <c r="EH34" t="s">
        <v>153</v>
      </c>
      <c r="EI34" t="s">
        <v>153</v>
      </c>
      <c r="EJ34" t="s">
        <v>153</v>
      </c>
      <c r="EK34" t="s">
        <v>153</v>
      </c>
      <c r="EM34" t="s">
        <v>153</v>
      </c>
      <c r="EN34" t="s">
        <v>153</v>
      </c>
      <c r="EP34" s="4" t="s">
        <v>153</v>
      </c>
      <c r="EQ34" s="4" t="s">
        <v>153</v>
      </c>
      <c r="ER34" s="4" t="s">
        <v>176</v>
      </c>
      <c r="ES34" s="4" t="s">
        <v>153</v>
      </c>
      <c r="ET34" t="s">
        <v>243</v>
      </c>
      <c r="EU34" t="s">
        <v>638</v>
      </c>
      <c r="EV34" t="s">
        <v>676</v>
      </c>
      <c r="EW34">
        <v>1047690923</v>
      </c>
      <c r="EX34" t="s">
        <v>677</v>
      </c>
    </row>
    <row r="35" spans="1:154" x14ac:dyDescent="0.25">
      <c r="A35" s="3">
        <v>44911.60497685185</v>
      </c>
      <c r="B35" s="4" t="s">
        <v>3</v>
      </c>
      <c r="C35" s="4" t="s">
        <v>659</v>
      </c>
      <c r="D35" s="4" t="s">
        <v>660</v>
      </c>
      <c r="E35" s="4" t="s">
        <v>661</v>
      </c>
      <c r="F35" s="4" t="s">
        <v>662</v>
      </c>
      <c r="G35" s="4" t="s">
        <v>185</v>
      </c>
      <c r="H35" s="4" t="s">
        <v>323</v>
      </c>
      <c r="I35" s="4" t="s">
        <v>153</v>
      </c>
      <c r="J35" s="4" t="s">
        <v>153</v>
      </c>
      <c r="K35" s="5"/>
      <c r="L35" s="4" t="s">
        <v>153</v>
      </c>
      <c r="M35" s="4" t="s">
        <v>678</v>
      </c>
      <c r="N35" s="4" t="s">
        <v>678</v>
      </c>
      <c r="O35" s="4" t="s">
        <v>679</v>
      </c>
      <c r="P35" s="4" t="s">
        <v>680</v>
      </c>
      <c r="Q35" s="4" t="s">
        <v>190</v>
      </c>
      <c r="R35" s="4" t="s">
        <v>666</v>
      </c>
      <c r="S35" s="4" t="s">
        <v>153</v>
      </c>
      <c r="T35" s="4" t="s">
        <v>681</v>
      </c>
      <c r="U35" s="4" t="s">
        <v>682</v>
      </c>
      <c r="V35" s="4" t="s">
        <v>153</v>
      </c>
      <c r="W35" s="4" t="s">
        <v>330</v>
      </c>
      <c r="X35" s="4" t="s">
        <v>331</v>
      </c>
      <c r="Y35" s="4" t="s">
        <v>683</v>
      </c>
      <c r="Z35" s="4" t="s">
        <v>237</v>
      </c>
      <c r="AA35" s="4" t="s">
        <v>682</v>
      </c>
      <c r="AB35" s="4" t="s">
        <v>153</v>
      </c>
      <c r="AC35" s="4" t="s">
        <v>330</v>
      </c>
      <c r="AD35" s="4" t="s">
        <v>331</v>
      </c>
      <c r="AE35" s="4" t="s">
        <v>683</v>
      </c>
      <c r="AF35" s="4" t="s">
        <v>684</v>
      </c>
      <c r="AG35" s="4" t="s">
        <v>685</v>
      </c>
      <c r="AH35" s="4" t="s">
        <v>153</v>
      </c>
      <c r="AI35" s="5">
        <v>44562</v>
      </c>
      <c r="AJ35" t="s">
        <v>686</v>
      </c>
      <c r="AK35" s="4">
        <v>10</v>
      </c>
      <c r="AL35" t="s">
        <v>153</v>
      </c>
      <c r="AM35" t="s">
        <v>153</v>
      </c>
      <c r="AO35" t="s">
        <v>153</v>
      </c>
      <c r="AP35" s="4"/>
      <c r="AQ35" t="s">
        <v>153</v>
      </c>
      <c r="AR35" s="5"/>
      <c r="AT35" s="4" t="s">
        <v>153</v>
      </c>
      <c r="AU35" s="4" t="s">
        <v>153</v>
      </c>
      <c r="AV35" s="4" t="s">
        <v>153</v>
      </c>
      <c r="AW35" t="s">
        <v>153</v>
      </c>
      <c r="AX35" t="s">
        <v>153</v>
      </c>
      <c r="AY35" t="s">
        <v>153</v>
      </c>
      <c r="AZ35" t="s">
        <v>153</v>
      </c>
      <c r="BA35" t="s">
        <v>153</v>
      </c>
      <c r="BB35" t="s">
        <v>153</v>
      </c>
      <c r="BC35" t="s">
        <v>153</v>
      </c>
      <c r="BD35" s="4" t="s">
        <v>153</v>
      </c>
      <c r="BE35" s="4" t="s">
        <v>153</v>
      </c>
      <c r="BF35" t="s">
        <v>153</v>
      </c>
      <c r="BG35" s="4" t="s">
        <v>153</v>
      </c>
      <c r="BH35" t="s">
        <v>153</v>
      </c>
      <c r="BI35" s="4" t="s">
        <v>153</v>
      </c>
      <c r="BJ35" t="s">
        <v>153</v>
      </c>
      <c r="BK35" s="4" t="s">
        <v>153</v>
      </c>
      <c r="BL35" t="s">
        <v>153</v>
      </c>
      <c r="BM35" t="s">
        <v>153</v>
      </c>
      <c r="BN35" s="4" t="s">
        <v>153</v>
      </c>
      <c r="BO35" s="4" t="s">
        <v>153</v>
      </c>
      <c r="BP35" s="4" t="s">
        <v>153</v>
      </c>
      <c r="BQ35" s="4" t="s">
        <v>153</v>
      </c>
      <c r="BR35" s="4" t="s">
        <v>153</v>
      </c>
      <c r="BS35" s="4" t="s">
        <v>153</v>
      </c>
      <c r="BT35" s="4" t="s">
        <v>153</v>
      </c>
      <c r="BU35" s="4" t="s">
        <v>153</v>
      </c>
      <c r="BV35" s="4"/>
      <c r="BW35" s="4" t="s">
        <v>153</v>
      </c>
      <c r="BX35" s="4" t="s">
        <v>153</v>
      </c>
      <c r="BY35" s="4" t="s">
        <v>153</v>
      </c>
      <c r="BZ35" s="4" t="s">
        <v>153</v>
      </c>
      <c r="CA35" s="4" t="s">
        <v>153</v>
      </c>
      <c r="CB35" s="4"/>
      <c r="CC35" s="4" t="s">
        <v>153</v>
      </c>
      <c r="CD35" t="s">
        <v>153</v>
      </c>
      <c r="CE35" s="4" t="s">
        <v>153</v>
      </c>
      <c r="CF35" s="4" t="s">
        <v>153</v>
      </c>
      <c r="CG35" s="4" t="s">
        <v>153</v>
      </c>
      <c r="CH35" s="5"/>
      <c r="CI35" t="s">
        <v>153</v>
      </c>
      <c r="CJ35" s="4"/>
      <c r="CK35" t="s">
        <v>153</v>
      </c>
      <c r="CL35" t="s">
        <v>153</v>
      </c>
      <c r="CM35" t="s">
        <v>153</v>
      </c>
      <c r="CN35" t="s">
        <v>153</v>
      </c>
      <c r="CO35" s="5"/>
      <c r="CP35" s="4" t="s">
        <v>153</v>
      </c>
      <c r="CQ35" s="4" t="s">
        <v>153</v>
      </c>
      <c r="CR35" t="s">
        <v>153</v>
      </c>
      <c r="CS35" t="s">
        <v>153</v>
      </c>
      <c r="CT35" t="s">
        <v>153</v>
      </c>
      <c r="CU35" t="s">
        <v>153</v>
      </c>
      <c r="CV35" t="s">
        <v>153</v>
      </c>
      <c r="CW35" t="s">
        <v>153</v>
      </c>
      <c r="CX35" t="s">
        <v>153</v>
      </c>
      <c r="CY35" t="s">
        <v>153</v>
      </c>
      <c r="CZ35" t="s">
        <v>153</v>
      </c>
      <c r="DA35" t="s">
        <v>153</v>
      </c>
      <c r="DB35" t="s">
        <v>153</v>
      </c>
      <c r="DC35" t="s">
        <v>153</v>
      </c>
      <c r="DD35" t="s">
        <v>153</v>
      </c>
      <c r="DE35" t="s">
        <v>153</v>
      </c>
      <c r="DF35" t="s">
        <v>153</v>
      </c>
      <c r="DG35" t="s">
        <v>153</v>
      </c>
      <c r="DI35" t="s">
        <v>153</v>
      </c>
      <c r="DJ35" t="s">
        <v>153</v>
      </c>
      <c r="DK35" t="s">
        <v>153</v>
      </c>
      <c r="DL35" t="s">
        <v>153</v>
      </c>
      <c r="DN35" t="s">
        <v>153</v>
      </c>
      <c r="DO35" t="s">
        <v>153</v>
      </c>
      <c r="DP35" t="s">
        <v>153</v>
      </c>
      <c r="DQ35" t="s">
        <v>153</v>
      </c>
      <c r="DR35" t="s">
        <v>153</v>
      </c>
      <c r="DS35" t="s">
        <v>153</v>
      </c>
      <c r="DT35" t="s">
        <v>153</v>
      </c>
      <c r="DU35" t="s">
        <v>153</v>
      </c>
      <c r="DV35" t="s">
        <v>153</v>
      </c>
      <c r="DW35" t="s">
        <v>153</v>
      </c>
      <c r="DX35" s="2"/>
      <c r="DY35" t="s">
        <v>153</v>
      </c>
      <c r="DZ35" t="s">
        <v>153</v>
      </c>
      <c r="EA35" t="s">
        <v>153</v>
      </c>
      <c r="EB35" t="s">
        <v>153</v>
      </c>
      <c r="EC35" t="s">
        <v>153</v>
      </c>
      <c r="ED35" t="s">
        <v>153</v>
      </c>
      <c r="EE35" t="s">
        <v>153</v>
      </c>
      <c r="EF35" t="s">
        <v>153</v>
      </c>
      <c r="EH35" t="s">
        <v>153</v>
      </c>
      <c r="EI35" t="s">
        <v>153</v>
      </c>
      <c r="EJ35" t="s">
        <v>153</v>
      </c>
      <c r="EK35" t="s">
        <v>153</v>
      </c>
      <c r="EM35" t="s">
        <v>153</v>
      </c>
      <c r="EN35" t="s">
        <v>153</v>
      </c>
      <c r="EP35" s="4" t="s">
        <v>153</v>
      </c>
      <c r="EQ35" s="4" t="s">
        <v>153</v>
      </c>
      <c r="ER35" s="4" t="s">
        <v>176</v>
      </c>
      <c r="ES35" s="4" t="s">
        <v>153</v>
      </c>
      <c r="ET35" t="s">
        <v>243</v>
      </c>
      <c r="EU35" t="s">
        <v>638</v>
      </c>
      <c r="EV35" t="s">
        <v>676</v>
      </c>
      <c r="EW35">
        <v>1047702765</v>
      </c>
      <c r="EX35" t="s">
        <v>677</v>
      </c>
    </row>
    <row r="36" spans="1:154" x14ac:dyDescent="0.25">
      <c r="A36" s="3">
        <v>44911.620844907404</v>
      </c>
      <c r="B36" s="4" t="s">
        <v>3</v>
      </c>
      <c r="C36" s="4" t="s">
        <v>659</v>
      </c>
      <c r="D36" s="4" t="s">
        <v>660</v>
      </c>
      <c r="E36" s="4" t="s">
        <v>661</v>
      </c>
      <c r="F36" s="4" t="s">
        <v>662</v>
      </c>
      <c r="G36" s="4" t="s">
        <v>185</v>
      </c>
      <c r="H36" s="4" t="s">
        <v>323</v>
      </c>
      <c r="I36" s="4" t="s">
        <v>153</v>
      </c>
      <c r="J36" s="4" t="s">
        <v>153</v>
      </c>
      <c r="K36" s="5"/>
      <c r="L36" s="4" t="s">
        <v>153</v>
      </c>
      <c r="M36" s="4" t="s">
        <v>687</v>
      </c>
      <c r="N36" s="4" t="s">
        <v>687</v>
      </c>
      <c r="O36" s="4" t="s">
        <v>688</v>
      </c>
      <c r="P36" s="4" t="s">
        <v>689</v>
      </c>
      <c r="Q36" s="4" t="s">
        <v>190</v>
      </c>
      <c r="R36" s="4" t="s">
        <v>666</v>
      </c>
      <c r="S36" s="4" t="s">
        <v>153</v>
      </c>
      <c r="T36" s="4" t="s">
        <v>690</v>
      </c>
      <c r="U36" s="4" t="s">
        <v>691</v>
      </c>
      <c r="V36" s="4" t="s">
        <v>153</v>
      </c>
      <c r="W36" s="4" t="s">
        <v>692</v>
      </c>
      <c r="X36" s="4" t="s">
        <v>693</v>
      </c>
      <c r="Y36" s="4" t="s">
        <v>694</v>
      </c>
      <c r="Z36" s="4" t="s">
        <v>237</v>
      </c>
      <c r="AA36" s="4" t="s">
        <v>691</v>
      </c>
      <c r="AB36" s="4" t="s">
        <v>153</v>
      </c>
      <c r="AC36" s="4" t="s">
        <v>692</v>
      </c>
      <c r="AD36" s="4" t="s">
        <v>693</v>
      </c>
      <c r="AE36" s="4" t="s">
        <v>694</v>
      </c>
      <c r="AF36" s="4" t="s">
        <v>695</v>
      </c>
      <c r="AG36" s="4" t="s">
        <v>696</v>
      </c>
      <c r="AH36" s="4" t="s">
        <v>153</v>
      </c>
      <c r="AI36" s="5">
        <v>44562</v>
      </c>
      <c r="AJ36" t="s">
        <v>412</v>
      </c>
      <c r="AK36" s="4">
        <v>4</v>
      </c>
      <c r="AL36" t="s">
        <v>697</v>
      </c>
      <c r="AM36" t="s">
        <v>153</v>
      </c>
      <c r="AO36" t="s">
        <v>153</v>
      </c>
      <c r="AP36" s="4"/>
      <c r="AQ36" t="s">
        <v>153</v>
      </c>
      <c r="AR36" s="5"/>
      <c r="AT36" s="4" t="s">
        <v>153</v>
      </c>
      <c r="AU36" s="4" t="s">
        <v>153</v>
      </c>
      <c r="AV36" s="4" t="s">
        <v>153</v>
      </c>
      <c r="AW36" t="s">
        <v>153</v>
      </c>
      <c r="AX36" t="s">
        <v>153</v>
      </c>
      <c r="AY36" t="s">
        <v>153</v>
      </c>
      <c r="AZ36" t="s">
        <v>153</v>
      </c>
      <c r="BA36" t="s">
        <v>153</v>
      </c>
      <c r="BB36" t="s">
        <v>153</v>
      </c>
      <c r="BC36" t="s">
        <v>153</v>
      </c>
      <c r="BD36" s="4" t="s">
        <v>153</v>
      </c>
      <c r="BE36" s="4" t="s">
        <v>153</v>
      </c>
      <c r="BF36" t="s">
        <v>153</v>
      </c>
      <c r="BG36" s="4" t="s">
        <v>153</v>
      </c>
      <c r="BH36" t="s">
        <v>153</v>
      </c>
      <c r="BI36" s="4" t="s">
        <v>153</v>
      </c>
      <c r="BJ36" t="s">
        <v>153</v>
      </c>
      <c r="BK36" s="4" t="s">
        <v>153</v>
      </c>
      <c r="BL36" t="s">
        <v>153</v>
      </c>
      <c r="BM36" t="s">
        <v>153</v>
      </c>
      <c r="BN36" s="4" t="s">
        <v>153</v>
      </c>
      <c r="BO36" s="4" t="s">
        <v>153</v>
      </c>
      <c r="BP36" s="4" t="s">
        <v>153</v>
      </c>
      <c r="BQ36" s="4" t="s">
        <v>153</v>
      </c>
      <c r="BR36" s="4" t="s">
        <v>153</v>
      </c>
      <c r="BS36" s="4" t="s">
        <v>153</v>
      </c>
      <c r="BT36" s="4" t="s">
        <v>153</v>
      </c>
      <c r="BU36" s="4" t="s">
        <v>153</v>
      </c>
      <c r="BV36" s="4"/>
      <c r="BW36" s="4" t="s">
        <v>153</v>
      </c>
      <c r="BX36" s="4" t="s">
        <v>153</v>
      </c>
      <c r="BY36" s="4" t="s">
        <v>153</v>
      </c>
      <c r="BZ36" s="4" t="s">
        <v>153</v>
      </c>
      <c r="CA36" s="4" t="s">
        <v>153</v>
      </c>
      <c r="CB36" s="4"/>
      <c r="CC36" s="4" t="s">
        <v>153</v>
      </c>
      <c r="CD36" t="s">
        <v>153</v>
      </c>
      <c r="CE36" s="4" t="s">
        <v>153</v>
      </c>
      <c r="CF36" s="4" t="s">
        <v>153</v>
      </c>
      <c r="CG36" s="4" t="s">
        <v>153</v>
      </c>
      <c r="CH36" s="5"/>
      <c r="CI36" t="s">
        <v>153</v>
      </c>
      <c r="CJ36" s="4"/>
      <c r="CK36" t="s">
        <v>153</v>
      </c>
      <c r="CL36" t="s">
        <v>153</v>
      </c>
      <c r="CM36" t="s">
        <v>153</v>
      </c>
      <c r="CN36" t="s">
        <v>153</v>
      </c>
      <c r="CO36" s="5"/>
      <c r="CP36" s="4" t="s">
        <v>153</v>
      </c>
      <c r="CQ36" s="4" t="s">
        <v>153</v>
      </c>
      <c r="CR36" t="s">
        <v>153</v>
      </c>
      <c r="CS36" t="s">
        <v>153</v>
      </c>
      <c r="CT36" t="s">
        <v>153</v>
      </c>
      <c r="CU36" t="s">
        <v>153</v>
      </c>
      <c r="CV36" t="s">
        <v>153</v>
      </c>
      <c r="CW36" t="s">
        <v>153</v>
      </c>
      <c r="CX36" t="s">
        <v>153</v>
      </c>
      <c r="CY36" t="s">
        <v>153</v>
      </c>
      <c r="CZ36" t="s">
        <v>153</v>
      </c>
      <c r="DA36" t="s">
        <v>153</v>
      </c>
      <c r="DB36" t="s">
        <v>153</v>
      </c>
      <c r="DC36" t="s">
        <v>153</v>
      </c>
      <c r="DD36" t="s">
        <v>153</v>
      </c>
      <c r="DE36" t="s">
        <v>153</v>
      </c>
      <c r="DF36" t="s">
        <v>153</v>
      </c>
      <c r="DG36" t="s">
        <v>153</v>
      </c>
      <c r="DI36" t="s">
        <v>153</v>
      </c>
      <c r="DJ36" t="s">
        <v>153</v>
      </c>
      <c r="DK36" t="s">
        <v>153</v>
      </c>
      <c r="DL36" t="s">
        <v>153</v>
      </c>
      <c r="DN36" t="s">
        <v>153</v>
      </c>
      <c r="DO36" t="s">
        <v>153</v>
      </c>
      <c r="DP36" t="s">
        <v>153</v>
      </c>
      <c r="DQ36" t="s">
        <v>153</v>
      </c>
      <c r="DR36" t="s">
        <v>153</v>
      </c>
      <c r="DS36" t="s">
        <v>153</v>
      </c>
      <c r="DT36" t="s">
        <v>153</v>
      </c>
      <c r="DU36" t="s">
        <v>153</v>
      </c>
      <c r="DV36" t="s">
        <v>153</v>
      </c>
      <c r="DW36" t="s">
        <v>153</v>
      </c>
      <c r="DX36" s="2"/>
      <c r="DY36" t="s">
        <v>153</v>
      </c>
      <c r="DZ36" t="s">
        <v>153</v>
      </c>
      <c r="EA36" t="s">
        <v>153</v>
      </c>
      <c r="EB36" t="s">
        <v>153</v>
      </c>
      <c r="EC36" t="s">
        <v>153</v>
      </c>
      <c r="ED36" t="s">
        <v>153</v>
      </c>
      <c r="EE36" t="s">
        <v>153</v>
      </c>
      <c r="EF36" t="s">
        <v>153</v>
      </c>
      <c r="EH36" t="s">
        <v>153</v>
      </c>
      <c r="EI36" t="s">
        <v>153</v>
      </c>
      <c r="EJ36" t="s">
        <v>153</v>
      </c>
      <c r="EK36" t="s">
        <v>153</v>
      </c>
      <c r="EM36" t="s">
        <v>153</v>
      </c>
      <c r="EN36" t="s">
        <v>153</v>
      </c>
      <c r="EP36" s="4" t="s">
        <v>153</v>
      </c>
      <c r="EQ36" s="4" t="s">
        <v>153</v>
      </c>
      <c r="ER36" s="4" t="s">
        <v>176</v>
      </c>
      <c r="ES36" s="4" t="s">
        <v>153</v>
      </c>
      <c r="ET36" t="s">
        <v>243</v>
      </c>
      <c r="EU36" t="s">
        <v>638</v>
      </c>
      <c r="EV36" t="s">
        <v>676</v>
      </c>
      <c r="EW36">
        <v>1047713523</v>
      </c>
      <c r="EX36" t="s">
        <v>677</v>
      </c>
    </row>
    <row r="37" spans="1:154" x14ac:dyDescent="0.25">
      <c r="A37" s="3">
        <v>44911.630312499998</v>
      </c>
      <c r="B37" s="4" t="s">
        <v>3</v>
      </c>
      <c r="C37" s="4" t="s">
        <v>659</v>
      </c>
      <c r="D37" s="4" t="s">
        <v>660</v>
      </c>
      <c r="E37" s="4" t="s">
        <v>661</v>
      </c>
      <c r="F37" s="4" t="s">
        <v>662</v>
      </c>
      <c r="G37" s="4" t="s">
        <v>185</v>
      </c>
      <c r="H37" s="4" t="s">
        <v>323</v>
      </c>
      <c r="I37" s="4" t="s">
        <v>153</v>
      </c>
      <c r="J37" s="4" t="s">
        <v>153</v>
      </c>
      <c r="K37" s="5"/>
      <c r="L37" s="4" t="s">
        <v>153</v>
      </c>
      <c r="M37" s="4" t="s">
        <v>698</v>
      </c>
      <c r="N37" s="4" t="s">
        <v>698</v>
      </c>
      <c r="O37" s="4" t="s">
        <v>699</v>
      </c>
      <c r="P37" s="4" t="s">
        <v>700</v>
      </c>
      <c r="Q37" s="4" t="s">
        <v>190</v>
      </c>
      <c r="R37" s="4" t="s">
        <v>666</v>
      </c>
      <c r="S37" s="4" t="s">
        <v>153</v>
      </c>
      <c r="T37" s="4" t="s">
        <v>681</v>
      </c>
      <c r="U37" s="4" t="s">
        <v>701</v>
      </c>
      <c r="V37" s="4" t="s">
        <v>153</v>
      </c>
      <c r="W37" s="4" t="s">
        <v>692</v>
      </c>
      <c r="X37" s="4" t="s">
        <v>693</v>
      </c>
      <c r="Y37" s="4" t="s">
        <v>702</v>
      </c>
      <c r="Z37" s="4" t="s">
        <v>237</v>
      </c>
      <c r="AA37" s="4" t="s">
        <v>701</v>
      </c>
      <c r="AB37" s="4" t="s">
        <v>153</v>
      </c>
      <c r="AC37" s="4" t="s">
        <v>692</v>
      </c>
      <c r="AD37" s="4" t="s">
        <v>693</v>
      </c>
      <c r="AE37" s="4" t="s">
        <v>702</v>
      </c>
      <c r="AF37" s="4" t="s">
        <v>703</v>
      </c>
      <c r="AG37" s="4" t="s">
        <v>704</v>
      </c>
      <c r="AH37" s="4" t="s">
        <v>153</v>
      </c>
      <c r="AI37" s="5">
        <v>44562</v>
      </c>
      <c r="AJ37" t="s">
        <v>591</v>
      </c>
      <c r="AK37" s="4">
        <v>5</v>
      </c>
      <c r="AL37" t="s">
        <v>153</v>
      </c>
      <c r="AM37" t="s">
        <v>153</v>
      </c>
      <c r="AO37" t="s">
        <v>153</v>
      </c>
      <c r="AP37" s="4"/>
      <c r="AQ37" t="s">
        <v>153</v>
      </c>
      <c r="AR37" s="5"/>
      <c r="AT37" s="4" t="s">
        <v>153</v>
      </c>
      <c r="AU37" s="4" t="s">
        <v>153</v>
      </c>
      <c r="AV37" s="4" t="s">
        <v>153</v>
      </c>
      <c r="AW37" t="s">
        <v>153</v>
      </c>
      <c r="AX37" t="s">
        <v>153</v>
      </c>
      <c r="AY37" t="s">
        <v>153</v>
      </c>
      <c r="AZ37" t="s">
        <v>153</v>
      </c>
      <c r="BA37" t="s">
        <v>153</v>
      </c>
      <c r="BB37" t="s">
        <v>153</v>
      </c>
      <c r="BC37" t="s">
        <v>153</v>
      </c>
      <c r="BD37" s="4" t="s">
        <v>153</v>
      </c>
      <c r="BE37" s="4" t="s">
        <v>153</v>
      </c>
      <c r="BF37" t="s">
        <v>153</v>
      </c>
      <c r="BG37" s="4" t="s">
        <v>153</v>
      </c>
      <c r="BH37" t="s">
        <v>153</v>
      </c>
      <c r="BI37" s="4" t="s">
        <v>153</v>
      </c>
      <c r="BJ37" t="s">
        <v>153</v>
      </c>
      <c r="BK37" s="4" t="s">
        <v>153</v>
      </c>
      <c r="BL37" t="s">
        <v>153</v>
      </c>
      <c r="BM37" t="s">
        <v>153</v>
      </c>
      <c r="BN37" s="4" t="s">
        <v>153</v>
      </c>
      <c r="BO37" s="4" t="s">
        <v>153</v>
      </c>
      <c r="BP37" s="4" t="s">
        <v>153</v>
      </c>
      <c r="BQ37" s="4" t="s">
        <v>153</v>
      </c>
      <c r="BR37" s="4" t="s">
        <v>153</v>
      </c>
      <c r="BS37" s="4" t="s">
        <v>153</v>
      </c>
      <c r="BT37" s="4" t="s">
        <v>153</v>
      </c>
      <c r="BU37" s="4" t="s">
        <v>153</v>
      </c>
      <c r="BV37" s="4"/>
      <c r="BW37" s="4" t="s">
        <v>153</v>
      </c>
      <c r="BX37" s="4" t="s">
        <v>153</v>
      </c>
      <c r="BY37" s="4" t="s">
        <v>153</v>
      </c>
      <c r="BZ37" s="4" t="s">
        <v>153</v>
      </c>
      <c r="CA37" s="4" t="s">
        <v>153</v>
      </c>
      <c r="CB37" s="4"/>
      <c r="CC37" s="4" t="s">
        <v>153</v>
      </c>
      <c r="CD37" t="s">
        <v>153</v>
      </c>
      <c r="CE37" s="4" t="s">
        <v>153</v>
      </c>
      <c r="CF37" s="4" t="s">
        <v>153</v>
      </c>
      <c r="CG37" s="4" t="s">
        <v>153</v>
      </c>
      <c r="CH37" s="5"/>
      <c r="CI37" t="s">
        <v>153</v>
      </c>
      <c r="CJ37" s="4"/>
      <c r="CK37" t="s">
        <v>153</v>
      </c>
      <c r="CL37" t="s">
        <v>153</v>
      </c>
      <c r="CM37" t="s">
        <v>153</v>
      </c>
      <c r="CN37" t="s">
        <v>153</v>
      </c>
      <c r="CO37" s="5"/>
      <c r="CP37" s="4" t="s">
        <v>153</v>
      </c>
      <c r="CQ37" s="4" t="s">
        <v>153</v>
      </c>
      <c r="CR37" t="s">
        <v>153</v>
      </c>
      <c r="CS37" t="s">
        <v>153</v>
      </c>
      <c r="CT37" t="s">
        <v>153</v>
      </c>
      <c r="CU37" t="s">
        <v>153</v>
      </c>
      <c r="CV37" t="s">
        <v>153</v>
      </c>
      <c r="CW37" t="s">
        <v>153</v>
      </c>
      <c r="CX37" t="s">
        <v>153</v>
      </c>
      <c r="CY37" t="s">
        <v>153</v>
      </c>
      <c r="CZ37" t="s">
        <v>153</v>
      </c>
      <c r="DA37" t="s">
        <v>153</v>
      </c>
      <c r="DB37" t="s">
        <v>153</v>
      </c>
      <c r="DC37" t="s">
        <v>153</v>
      </c>
      <c r="DD37" t="s">
        <v>153</v>
      </c>
      <c r="DE37" t="s">
        <v>153</v>
      </c>
      <c r="DF37" t="s">
        <v>153</v>
      </c>
      <c r="DG37" t="s">
        <v>153</v>
      </c>
      <c r="DI37" t="s">
        <v>153</v>
      </c>
      <c r="DJ37" t="s">
        <v>153</v>
      </c>
      <c r="DK37" t="s">
        <v>153</v>
      </c>
      <c r="DL37" t="s">
        <v>153</v>
      </c>
      <c r="DN37" t="s">
        <v>153</v>
      </c>
      <c r="DO37" t="s">
        <v>153</v>
      </c>
      <c r="DP37" t="s">
        <v>153</v>
      </c>
      <c r="DQ37" t="s">
        <v>153</v>
      </c>
      <c r="DR37" t="s">
        <v>153</v>
      </c>
      <c r="DS37" t="s">
        <v>153</v>
      </c>
      <c r="DT37" t="s">
        <v>153</v>
      </c>
      <c r="DU37" t="s">
        <v>153</v>
      </c>
      <c r="DV37" t="s">
        <v>153</v>
      </c>
      <c r="DW37" t="s">
        <v>153</v>
      </c>
      <c r="DX37" s="2"/>
      <c r="DY37" t="s">
        <v>153</v>
      </c>
      <c r="DZ37" t="s">
        <v>153</v>
      </c>
      <c r="EA37" t="s">
        <v>153</v>
      </c>
      <c r="EB37" t="s">
        <v>153</v>
      </c>
      <c r="EC37" t="s">
        <v>153</v>
      </c>
      <c r="ED37" t="s">
        <v>153</v>
      </c>
      <c r="EE37" t="s">
        <v>153</v>
      </c>
      <c r="EF37" t="s">
        <v>153</v>
      </c>
      <c r="EH37" t="s">
        <v>153</v>
      </c>
      <c r="EI37" t="s">
        <v>153</v>
      </c>
      <c r="EJ37" t="s">
        <v>153</v>
      </c>
      <c r="EK37" t="s">
        <v>153</v>
      </c>
      <c r="EM37" t="s">
        <v>153</v>
      </c>
      <c r="EN37" t="s">
        <v>153</v>
      </c>
      <c r="EP37" s="4" t="s">
        <v>153</v>
      </c>
      <c r="EQ37" s="4" t="s">
        <v>153</v>
      </c>
      <c r="ER37" s="4" t="s">
        <v>176</v>
      </c>
      <c r="ES37" s="4" t="s">
        <v>153</v>
      </c>
      <c r="ET37" t="s">
        <v>243</v>
      </c>
      <c r="EU37" t="s">
        <v>638</v>
      </c>
      <c r="EV37" t="s">
        <v>676</v>
      </c>
      <c r="EW37">
        <v>1047719810</v>
      </c>
      <c r="EX37" t="s">
        <v>677</v>
      </c>
    </row>
    <row r="38" spans="1:154" x14ac:dyDescent="0.25">
      <c r="A38" s="3">
        <v>44911.642731481479</v>
      </c>
      <c r="B38" s="4" t="s">
        <v>3</v>
      </c>
      <c r="C38" s="4" t="s">
        <v>659</v>
      </c>
      <c r="D38" s="4" t="s">
        <v>660</v>
      </c>
      <c r="E38" s="4" t="s">
        <v>661</v>
      </c>
      <c r="F38" s="4" t="s">
        <v>662</v>
      </c>
      <c r="G38" s="4" t="s">
        <v>185</v>
      </c>
      <c r="H38" s="4" t="s">
        <v>323</v>
      </c>
      <c r="I38" s="4" t="s">
        <v>153</v>
      </c>
      <c r="J38" s="4" t="s">
        <v>153</v>
      </c>
      <c r="K38" s="5"/>
      <c r="L38" s="4" t="s">
        <v>153</v>
      </c>
      <c r="M38" s="4" t="s">
        <v>705</v>
      </c>
      <c r="N38" s="4" t="s">
        <v>705</v>
      </c>
      <c r="O38" s="4" t="s">
        <v>706</v>
      </c>
      <c r="P38" s="4" t="s">
        <v>707</v>
      </c>
      <c r="Q38" s="4" t="s">
        <v>190</v>
      </c>
      <c r="R38" s="4" t="s">
        <v>191</v>
      </c>
      <c r="S38" s="4" t="s">
        <v>708</v>
      </c>
      <c r="T38" s="4" t="s">
        <v>681</v>
      </c>
      <c r="U38" s="4" t="s">
        <v>709</v>
      </c>
      <c r="V38" s="4" t="s">
        <v>153</v>
      </c>
      <c r="W38" s="4" t="s">
        <v>710</v>
      </c>
      <c r="X38" s="4" t="s">
        <v>693</v>
      </c>
      <c r="Y38" s="4" t="s">
        <v>711</v>
      </c>
      <c r="Z38" s="4" t="s">
        <v>237</v>
      </c>
      <c r="AA38" s="4" t="s">
        <v>712</v>
      </c>
      <c r="AB38" s="4" t="s">
        <v>153</v>
      </c>
      <c r="AC38" s="4" t="s">
        <v>713</v>
      </c>
      <c r="AD38" s="4" t="s">
        <v>693</v>
      </c>
      <c r="AE38" s="4" t="s">
        <v>714</v>
      </c>
      <c r="AF38" s="4" t="s">
        <v>715</v>
      </c>
      <c r="AG38" s="4" t="s">
        <v>716</v>
      </c>
      <c r="AH38" s="4" t="s">
        <v>153</v>
      </c>
      <c r="AI38" s="5">
        <v>44562</v>
      </c>
      <c r="AJ38" t="s">
        <v>412</v>
      </c>
      <c r="AK38" s="4">
        <v>6</v>
      </c>
      <c r="AL38" t="s">
        <v>153</v>
      </c>
      <c r="AM38" t="s">
        <v>153</v>
      </c>
      <c r="AO38" t="s">
        <v>153</v>
      </c>
      <c r="AP38" s="4"/>
      <c r="AQ38" t="s">
        <v>153</v>
      </c>
      <c r="AR38" s="5"/>
      <c r="AT38" s="4" t="s">
        <v>153</v>
      </c>
      <c r="AU38" s="4" t="s">
        <v>153</v>
      </c>
      <c r="AV38" s="4" t="s">
        <v>153</v>
      </c>
      <c r="AW38" t="s">
        <v>153</v>
      </c>
      <c r="AX38" t="s">
        <v>153</v>
      </c>
      <c r="AY38" t="s">
        <v>153</v>
      </c>
      <c r="AZ38" t="s">
        <v>153</v>
      </c>
      <c r="BA38" t="s">
        <v>153</v>
      </c>
      <c r="BB38" t="s">
        <v>153</v>
      </c>
      <c r="BC38" t="s">
        <v>153</v>
      </c>
      <c r="BD38" s="4" t="s">
        <v>153</v>
      </c>
      <c r="BE38" s="4" t="s">
        <v>153</v>
      </c>
      <c r="BF38" t="s">
        <v>153</v>
      </c>
      <c r="BG38" s="4" t="s">
        <v>153</v>
      </c>
      <c r="BH38" t="s">
        <v>153</v>
      </c>
      <c r="BI38" s="4" t="s">
        <v>153</v>
      </c>
      <c r="BJ38" t="s">
        <v>153</v>
      </c>
      <c r="BK38" s="4" t="s">
        <v>153</v>
      </c>
      <c r="BL38" t="s">
        <v>153</v>
      </c>
      <c r="BM38" t="s">
        <v>153</v>
      </c>
      <c r="BN38" s="4" t="s">
        <v>153</v>
      </c>
      <c r="BO38" s="4" t="s">
        <v>153</v>
      </c>
      <c r="BP38" s="4" t="s">
        <v>153</v>
      </c>
      <c r="BQ38" s="4" t="s">
        <v>153</v>
      </c>
      <c r="BR38" s="4" t="s">
        <v>153</v>
      </c>
      <c r="BS38" s="4" t="s">
        <v>153</v>
      </c>
      <c r="BT38" s="4" t="s">
        <v>153</v>
      </c>
      <c r="BU38" s="4" t="s">
        <v>153</v>
      </c>
      <c r="BV38" s="4"/>
      <c r="BW38" s="4" t="s">
        <v>153</v>
      </c>
      <c r="BX38" s="4" t="s">
        <v>153</v>
      </c>
      <c r="BY38" s="4" t="s">
        <v>153</v>
      </c>
      <c r="BZ38" s="4" t="s">
        <v>153</v>
      </c>
      <c r="CA38" s="4" t="s">
        <v>153</v>
      </c>
      <c r="CB38" s="4"/>
      <c r="CC38" s="4" t="s">
        <v>153</v>
      </c>
      <c r="CD38" t="s">
        <v>153</v>
      </c>
      <c r="CE38" s="4" t="s">
        <v>153</v>
      </c>
      <c r="CF38" s="4" t="s">
        <v>153</v>
      </c>
      <c r="CG38" s="4" t="s">
        <v>153</v>
      </c>
      <c r="CH38" s="5"/>
      <c r="CI38" t="s">
        <v>153</v>
      </c>
      <c r="CJ38" s="4"/>
      <c r="CK38" t="s">
        <v>153</v>
      </c>
      <c r="CL38" t="s">
        <v>153</v>
      </c>
      <c r="CM38" t="s">
        <v>153</v>
      </c>
      <c r="CN38" t="s">
        <v>153</v>
      </c>
      <c r="CO38" s="5"/>
      <c r="CP38" s="4" t="s">
        <v>153</v>
      </c>
      <c r="CQ38" s="4" t="s">
        <v>153</v>
      </c>
      <c r="CR38" t="s">
        <v>153</v>
      </c>
      <c r="CS38" t="s">
        <v>153</v>
      </c>
      <c r="CT38" t="s">
        <v>153</v>
      </c>
      <c r="CU38" t="s">
        <v>153</v>
      </c>
      <c r="CV38" t="s">
        <v>153</v>
      </c>
      <c r="CW38" t="s">
        <v>153</v>
      </c>
      <c r="CX38" t="s">
        <v>153</v>
      </c>
      <c r="CY38" t="s">
        <v>153</v>
      </c>
      <c r="CZ38" t="s">
        <v>153</v>
      </c>
      <c r="DA38" t="s">
        <v>153</v>
      </c>
      <c r="DB38" t="s">
        <v>153</v>
      </c>
      <c r="DC38" t="s">
        <v>153</v>
      </c>
      <c r="DD38" t="s">
        <v>153</v>
      </c>
      <c r="DE38" t="s">
        <v>153</v>
      </c>
      <c r="DF38" t="s">
        <v>153</v>
      </c>
      <c r="DG38" t="s">
        <v>153</v>
      </c>
      <c r="DI38" t="s">
        <v>153</v>
      </c>
      <c r="DJ38" t="s">
        <v>153</v>
      </c>
      <c r="DK38" t="s">
        <v>153</v>
      </c>
      <c r="DL38" t="s">
        <v>153</v>
      </c>
      <c r="DN38" t="s">
        <v>153</v>
      </c>
      <c r="DO38" t="s">
        <v>153</v>
      </c>
      <c r="DP38" t="s">
        <v>153</v>
      </c>
      <c r="DQ38" t="s">
        <v>153</v>
      </c>
      <c r="DR38" t="s">
        <v>153</v>
      </c>
      <c r="DS38" t="s">
        <v>153</v>
      </c>
      <c r="DT38" t="s">
        <v>153</v>
      </c>
      <c r="DU38" t="s">
        <v>153</v>
      </c>
      <c r="DV38" t="s">
        <v>153</v>
      </c>
      <c r="DW38" t="s">
        <v>153</v>
      </c>
      <c r="DX38" s="2"/>
      <c r="DY38" t="s">
        <v>153</v>
      </c>
      <c r="DZ38" t="s">
        <v>153</v>
      </c>
      <c r="EA38" t="s">
        <v>153</v>
      </c>
      <c r="EB38" t="s">
        <v>153</v>
      </c>
      <c r="EC38" t="s">
        <v>153</v>
      </c>
      <c r="ED38" t="s">
        <v>153</v>
      </c>
      <c r="EE38" t="s">
        <v>153</v>
      </c>
      <c r="EF38" t="s">
        <v>153</v>
      </c>
      <c r="EH38" t="s">
        <v>153</v>
      </c>
      <c r="EI38" t="s">
        <v>153</v>
      </c>
      <c r="EJ38" t="s">
        <v>153</v>
      </c>
      <c r="EK38" t="s">
        <v>153</v>
      </c>
      <c r="EM38" t="s">
        <v>153</v>
      </c>
      <c r="EN38" t="s">
        <v>153</v>
      </c>
      <c r="EP38" s="4" t="s">
        <v>242</v>
      </c>
      <c r="EQ38" s="4" t="s">
        <v>153</v>
      </c>
      <c r="ER38" s="4" t="s">
        <v>176</v>
      </c>
      <c r="ES38" s="4" t="s">
        <v>153</v>
      </c>
      <c r="ET38" t="s">
        <v>243</v>
      </c>
      <c r="EU38" t="s">
        <v>638</v>
      </c>
      <c r="EV38" t="s">
        <v>676</v>
      </c>
      <c r="EW38">
        <v>1047729558</v>
      </c>
      <c r="EX38" t="s">
        <v>677</v>
      </c>
    </row>
    <row r="39" spans="1:154" x14ac:dyDescent="0.25">
      <c r="A39" s="3">
        <v>44911.649907407409</v>
      </c>
      <c r="B39" s="4" t="s">
        <v>3</v>
      </c>
      <c r="C39" s="4" t="s">
        <v>659</v>
      </c>
      <c r="D39" s="4" t="s">
        <v>660</v>
      </c>
      <c r="E39" s="4" t="s">
        <v>661</v>
      </c>
      <c r="F39" s="4" t="s">
        <v>662</v>
      </c>
      <c r="G39" s="4" t="s">
        <v>185</v>
      </c>
      <c r="H39" s="4" t="s">
        <v>323</v>
      </c>
      <c r="I39" s="4" t="s">
        <v>153</v>
      </c>
      <c r="J39" s="4" t="s">
        <v>153</v>
      </c>
      <c r="K39" s="5"/>
      <c r="L39" s="4" t="s">
        <v>153</v>
      </c>
      <c r="M39" s="4" t="s">
        <v>717</v>
      </c>
      <c r="N39" s="4" t="s">
        <v>717</v>
      </c>
      <c r="O39" s="4" t="s">
        <v>718</v>
      </c>
      <c r="P39" s="4" t="s">
        <v>719</v>
      </c>
      <c r="Q39" s="4" t="s">
        <v>190</v>
      </c>
      <c r="R39" s="4" t="s">
        <v>666</v>
      </c>
      <c r="S39" s="4" t="s">
        <v>153</v>
      </c>
      <c r="T39" s="4" t="s">
        <v>681</v>
      </c>
      <c r="U39" s="4" t="s">
        <v>720</v>
      </c>
      <c r="V39" s="4" t="s">
        <v>153</v>
      </c>
      <c r="W39" s="4" t="s">
        <v>721</v>
      </c>
      <c r="X39" s="4" t="s">
        <v>722</v>
      </c>
      <c r="Y39" s="4" t="s">
        <v>723</v>
      </c>
      <c r="Z39" s="4" t="s">
        <v>197</v>
      </c>
      <c r="AA39" s="4" t="s">
        <v>724</v>
      </c>
      <c r="AB39" s="4" t="s">
        <v>153</v>
      </c>
      <c r="AC39" s="4" t="s">
        <v>721</v>
      </c>
      <c r="AD39" s="4" t="s">
        <v>722</v>
      </c>
      <c r="AE39" s="4" t="s">
        <v>723</v>
      </c>
      <c r="AF39" s="4" t="s">
        <v>725</v>
      </c>
      <c r="AG39" s="4" t="s">
        <v>726</v>
      </c>
      <c r="AH39" s="4" t="s">
        <v>153</v>
      </c>
      <c r="AI39" s="5">
        <v>44562</v>
      </c>
      <c r="AJ39" t="s">
        <v>727</v>
      </c>
      <c r="AK39" s="4">
        <v>6</v>
      </c>
      <c r="AL39" t="s">
        <v>153</v>
      </c>
      <c r="AM39" t="s">
        <v>153</v>
      </c>
      <c r="AO39" t="s">
        <v>153</v>
      </c>
      <c r="AP39" s="4"/>
      <c r="AQ39" t="s">
        <v>153</v>
      </c>
      <c r="AR39" s="5"/>
      <c r="AT39" s="4" t="s">
        <v>153</v>
      </c>
      <c r="AU39" s="4" t="s">
        <v>153</v>
      </c>
      <c r="AV39" s="4" t="s">
        <v>153</v>
      </c>
      <c r="AW39" t="s">
        <v>153</v>
      </c>
      <c r="AX39" t="s">
        <v>153</v>
      </c>
      <c r="AY39" t="s">
        <v>153</v>
      </c>
      <c r="AZ39" t="s">
        <v>153</v>
      </c>
      <c r="BA39" t="s">
        <v>153</v>
      </c>
      <c r="BB39" t="s">
        <v>153</v>
      </c>
      <c r="BC39" t="s">
        <v>153</v>
      </c>
      <c r="BD39" s="4" t="s">
        <v>153</v>
      </c>
      <c r="BE39" s="4" t="s">
        <v>153</v>
      </c>
      <c r="BF39" t="s">
        <v>153</v>
      </c>
      <c r="BG39" s="4" t="s">
        <v>153</v>
      </c>
      <c r="BH39" t="s">
        <v>153</v>
      </c>
      <c r="BI39" s="4" t="s">
        <v>153</v>
      </c>
      <c r="BJ39" t="s">
        <v>153</v>
      </c>
      <c r="BK39" s="4" t="s">
        <v>153</v>
      </c>
      <c r="BL39" t="s">
        <v>153</v>
      </c>
      <c r="BM39" t="s">
        <v>153</v>
      </c>
      <c r="BN39" s="4" t="s">
        <v>153</v>
      </c>
      <c r="BO39" s="4" t="s">
        <v>153</v>
      </c>
      <c r="BP39" s="4" t="s">
        <v>153</v>
      </c>
      <c r="BQ39" s="4" t="s">
        <v>153</v>
      </c>
      <c r="BR39" s="4" t="s">
        <v>153</v>
      </c>
      <c r="BS39" s="4" t="s">
        <v>153</v>
      </c>
      <c r="BT39" s="4" t="s">
        <v>153</v>
      </c>
      <c r="BU39" s="4" t="s">
        <v>153</v>
      </c>
      <c r="BV39" s="4"/>
      <c r="BW39" s="4" t="s">
        <v>153</v>
      </c>
      <c r="BX39" s="4" t="s">
        <v>153</v>
      </c>
      <c r="BY39" s="4" t="s">
        <v>153</v>
      </c>
      <c r="BZ39" s="4" t="s">
        <v>153</v>
      </c>
      <c r="CA39" s="4" t="s">
        <v>153</v>
      </c>
      <c r="CB39" s="4"/>
      <c r="CC39" s="4" t="s">
        <v>153</v>
      </c>
      <c r="CD39" t="s">
        <v>153</v>
      </c>
      <c r="CE39" s="4" t="s">
        <v>153</v>
      </c>
      <c r="CF39" s="4" t="s">
        <v>153</v>
      </c>
      <c r="CG39" s="4" t="s">
        <v>153</v>
      </c>
      <c r="CH39" s="5"/>
      <c r="CI39" t="s">
        <v>153</v>
      </c>
      <c r="CJ39" s="4"/>
      <c r="CK39" t="s">
        <v>153</v>
      </c>
      <c r="CL39" t="s">
        <v>153</v>
      </c>
      <c r="CM39" t="s">
        <v>153</v>
      </c>
      <c r="CN39" t="s">
        <v>153</v>
      </c>
      <c r="CO39" s="5"/>
      <c r="CP39" s="4" t="s">
        <v>153</v>
      </c>
      <c r="CQ39" s="4" t="s">
        <v>153</v>
      </c>
      <c r="CR39" t="s">
        <v>153</v>
      </c>
      <c r="CS39" t="s">
        <v>153</v>
      </c>
      <c r="CT39" t="s">
        <v>153</v>
      </c>
      <c r="CU39" t="s">
        <v>153</v>
      </c>
      <c r="CV39" t="s">
        <v>153</v>
      </c>
      <c r="CW39" t="s">
        <v>153</v>
      </c>
      <c r="CX39" t="s">
        <v>153</v>
      </c>
      <c r="CY39" t="s">
        <v>153</v>
      </c>
      <c r="CZ39" t="s">
        <v>153</v>
      </c>
      <c r="DA39" t="s">
        <v>153</v>
      </c>
      <c r="DB39" t="s">
        <v>153</v>
      </c>
      <c r="DC39" t="s">
        <v>153</v>
      </c>
      <c r="DD39" t="s">
        <v>153</v>
      </c>
      <c r="DE39" t="s">
        <v>153</v>
      </c>
      <c r="DF39" t="s">
        <v>153</v>
      </c>
      <c r="DG39" t="s">
        <v>153</v>
      </c>
      <c r="DI39" t="s">
        <v>153</v>
      </c>
      <c r="DJ39" t="s">
        <v>153</v>
      </c>
      <c r="DK39" t="s">
        <v>153</v>
      </c>
      <c r="DL39" t="s">
        <v>153</v>
      </c>
      <c r="DN39" t="s">
        <v>153</v>
      </c>
      <c r="DO39" t="s">
        <v>153</v>
      </c>
      <c r="DP39" t="s">
        <v>153</v>
      </c>
      <c r="DQ39" t="s">
        <v>153</v>
      </c>
      <c r="DR39" t="s">
        <v>153</v>
      </c>
      <c r="DS39" t="s">
        <v>153</v>
      </c>
      <c r="DT39" t="s">
        <v>153</v>
      </c>
      <c r="DU39" t="s">
        <v>153</v>
      </c>
      <c r="DV39" t="s">
        <v>153</v>
      </c>
      <c r="DW39" t="s">
        <v>153</v>
      </c>
      <c r="DX39" s="2"/>
      <c r="DY39" t="s">
        <v>153</v>
      </c>
      <c r="DZ39" t="s">
        <v>153</v>
      </c>
      <c r="EA39" t="s">
        <v>153</v>
      </c>
      <c r="EB39" t="s">
        <v>153</v>
      </c>
      <c r="EC39" t="s">
        <v>153</v>
      </c>
      <c r="ED39" t="s">
        <v>153</v>
      </c>
      <c r="EE39" t="s">
        <v>153</v>
      </c>
      <c r="EF39" t="s">
        <v>153</v>
      </c>
      <c r="EH39" t="s">
        <v>153</v>
      </c>
      <c r="EI39" t="s">
        <v>153</v>
      </c>
      <c r="EJ39" t="s">
        <v>153</v>
      </c>
      <c r="EK39" t="s">
        <v>153</v>
      </c>
      <c r="EM39" t="s">
        <v>153</v>
      </c>
      <c r="EN39" t="s">
        <v>153</v>
      </c>
      <c r="EP39" s="4" t="s">
        <v>153</v>
      </c>
      <c r="EQ39" s="4" t="s">
        <v>153</v>
      </c>
      <c r="ER39" s="4" t="s">
        <v>176</v>
      </c>
      <c r="ES39" s="4" t="s">
        <v>153</v>
      </c>
      <c r="ET39" t="s">
        <v>728</v>
      </c>
      <c r="EU39" t="s">
        <v>638</v>
      </c>
      <c r="EV39" t="s">
        <v>676</v>
      </c>
      <c r="EW39">
        <v>1047734676</v>
      </c>
      <c r="EX39" t="s">
        <v>677</v>
      </c>
    </row>
    <row r="40" spans="1:154" x14ac:dyDescent="0.25">
      <c r="A40" s="3">
        <v>44911.662430555552</v>
      </c>
      <c r="B40" s="4" t="s">
        <v>3</v>
      </c>
      <c r="C40" s="4" t="s">
        <v>659</v>
      </c>
      <c r="D40" s="4" t="s">
        <v>660</v>
      </c>
      <c r="E40" s="4" t="s">
        <v>661</v>
      </c>
      <c r="F40" s="4" t="s">
        <v>662</v>
      </c>
      <c r="G40" s="4" t="s">
        <v>185</v>
      </c>
      <c r="H40" s="4" t="s">
        <v>323</v>
      </c>
      <c r="I40" s="4" t="s">
        <v>153</v>
      </c>
      <c r="J40" s="4" t="s">
        <v>153</v>
      </c>
      <c r="K40" s="5"/>
      <c r="L40" s="4" t="s">
        <v>153</v>
      </c>
      <c r="M40" s="4" t="s">
        <v>729</v>
      </c>
      <c r="N40" s="4" t="s">
        <v>729</v>
      </c>
      <c r="O40" s="4" t="s">
        <v>730</v>
      </c>
      <c r="P40" s="4" t="s">
        <v>731</v>
      </c>
      <c r="Q40" s="4" t="s">
        <v>190</v>
      </c>
      <c r="R40" s="4" t="s">
        <v>191</v>
      </c>
      <c r="S40" s="4" t="s">
        <v>732</v>
      </c>
      <c r="T40" s="4" t="s">
        <v>681</v>
      </c>
      <c r="U40" s="4" t="s">
        <v>733</v>
      </c>
      <c r="V40" s="4" t="s">
        <v>153</v>
      </c>
      <c r="W40" s="4" t="s">
        <v>734</v>
      </c>
      <c r="X40" s="4" t="s">
        <v>735</v>
      </c>
      <c r="Y40" s="4" t="s">
        <v>736</v>
      </c>
      <c r="Z40" s="4" t="s">
        <v>237</v>
      </c>
      <c r="AA40" s="4" t="s">
        <v>733</v>
      </c>
      <c r="AB40" s="4" t="s">
        <v>153</v>
      </c>
      <c r="AC40" s="4" t="s">
        <v>734</v>
      </c>
      <c r="AD40" s="4" t="s">
        <v>693</v>
      </c>
      <c r="AE40" s="4" t="s">
        <v>736</v>
      </c>
      <c r="AF40" s="4" t="s">
        <v>737</v>
      </c>
      <c r="AG40" s="4" t="s">
        <v>738</v>
      </c>
      <c r="AH40" s="4" t="s">
        <v>153</v>
      </c>
      <c r="AI40" s="5">
        <v>44562</v>
      </c>
      <c r="AJ40" t="s">
        <v>739</v>
      </c>
      <c r="AK40" s="4">
        <v>10</v>
      </c>
      <c r="AL40" t="s">
        <v>153</v>
      </c>
      <c r="AM40" t="s">
        <v>153</v>
      </c>
      <c r="AO40" t="s">
        <v>153</v>
      </c>
      <c r="AP40" s="4"/>
      <c r="AQ40" t="s">
        <v>153</v>
      </c>
      <c r="AR40" s="5"/>
      <c r="AT40" s="4" t="s">
        <v>153</v>
      </c>
      <c r="AU40" s="4" t="s">
        <v>153</v>
      </c>
      <c r="AV40" s="4" t="s">
        <v>153</v>
      </c>
      <c r="AW40" t="s">
        <v>153</v>
      </c>
      <c r="AX40" t="s">
        <v>153</v>
      </c>
      <c r="AY40" t="s">
        <v>153</v>
      </c>
      <c r="AZ40" t="s">
        <v>153</v>
      </c>
      <c r="BA40" t="s">
        <v>153</v>
      </c>
      <c r="BB40" t="s">
        <v>153</v>
      </c>
      <c r="BC40" t="s">
        <v>153</v>
      </c>
      <c r="BD40" s="4" t="s">
        <v>153</v>
      </c>
      <c r="BE40" s="4" t="s">
        <v>153</v>
      </c>
      <c r="BF40" t="s">
        <v>153</v>
      </c>
      <c r="BG40" s="4" t="s">
        <v>153</v>
      </c>
      <c r="BH40" t="s">
        <v>153</v>
      </c>
      <c r="BI40" s="4" t="s">
        <v>153</v>
      </c>
      <c r="BJ40" t="s">
        <v>153</v>
      </c>
      <c r="BK40" s="4" t="s">
        <v>153</v>
      </c>
      <c r="BL40" t="s">
        <v>153</v>
      </c>
      <c r="BM40" t="s">
        <v>153</v>
      </c>
      <c r="BN40" s="4" t="s">
        <v>153</v>
      </c>
      <c r="BO40" s="4" t="s">
        <v>153</v>
      </c>
      <c r="BP40" s="4" t="s">
        <v>153</v>
      </c>
      <c r="BQ40" s="4" t="s">
        <v>153</v>
      </c>
      <c r="BR40" s="4" t="s">
        <v>153</v>
      </c>
      <c r="BS40" s="4" t="s">
        <v>153</v>
      </c>
      <c r="BT40" s="4" t="s">
        <v>153</v>
      </c>
      <c r="BU40" s="4" t="s">
        <v>153</v>
      </c>
      <c r="BV40" s="4"/>
      <c r="BW40" s="4" t="s">
        <v>153</v>
      </c>
      <c r="BX40" s="4" t="s">
        <v>153</v>
      </c>
      <c r="BY40" s="4" t="s">
        <v>153</v>
      </c>
      <c r="BZ40" s="4" t="s">
        <v>153</v>
      </c>
      <c r="CA40" s="4" t="s">
        <v>153</v>
      </c>
      <c r="CB40" s="4"/>
      <c r="CC40" s="4" t="s">
        <v>153</v>
      </c>
      <c r="CD40" t="s">
        <v>153</v>
      </c>
      <c r="CE40" s="4" t="s">
        <v>153</v>
      </c>
      <c r="CF40" s="4" t="s">
        <v>153</v>
      </c>
      <c r="CG40" s="4" t="s">
        <v>153</v>
      </c>
      <c r="CH40" s="5"/>
      <c r="CI40" t="s">
        <v>153</v>
      </c>
      <c r="CJ40" s="4"/>
      <c r="CK40" t="s">
        <v>153</v>
      </c>
      <c r="CL40" t="s">
        <v>153</v>
      </c>
      <c r="CM40" t="s">
        <v>153</v>
      </c>
      <c r="CN40" t="s">
        <v>153</v>
      </c>
      <c r="CO40" s="5"/>
      <c r="CP40" s="4" t="s">
        <v>153</v>
      </c>
      <c r="CQ40" s="4" t="s">
        <v>153</v>
      </c>
      <c r="CR40" t="s">
        <v>153</v>
      </c>
      <c r="CS40" t="s">
        <v>153</v>
      </c>
      <c r="CT40" t="s">
        <v>153</v>
      </c>
      <c r="CU40" t="s">
        <v>153</v>
      </c>
      <c r="CV40" t="s">
        <v>153</v>
      </c>
      <c r="CW40" t="s">
        <v>153</v>
      </c>
      <c r="CX40" t="s">
        <v>153</v>
      </c>
      <c r="CY40" t="s">
        <v>153</v>
      </c>
      <c r="CZ40" t="s">
        <v>153</v>
      </c>
      <c r="DA40" t="s">
        <v>153</v>
      </c>
      <c r="DB40" t="s">
        <v>153</v>
      </c>
      <c r="DC40" t="s">
        <v>153</v>
      </c>
      <c r="DD40" t="s">
        <v>153</v>
      </c>
      <c r="DE40" t="s">
        <v>153</v>
      </c>
      <c r="DF40" t="s">
        <v>153</v>
      </c>
      <c r="DG40" t="s">
        <v>153</v>
      </c>
      <c r="DI40" t="s">
        <v>153</v>
      </c>
      <c r="DJ40" t="s">
        <v>153</v>
      </c>
      <c r="DK40" t="s">
        <v>153</v>
      </c>
      <c r="DL40" t="s">
        <v>153</v>
      </c>
      <c r="DN40" t="s">
        <v>153</v>
      </c>
      <c r="DO40" t="s">
        <v>153</v>
      </c>
      <c r="DP40" t="s">
        <v>153</v>
      </c>
      <c r="DQ40" t="s">
        <v>153</v>
      </c>
      <c r="DR40" t="s">
        <v>153</v>
      </c>
      <c r="DS40" t="s">
        <v>153</v>
      </c>
      <c r="DT40" t="s">
        <v>153</v>
      </c>
      <c r="DU40" t="s">
        <v>153</v>
      </c>
      <c r="DV40" t="s">
        <v>153</v>
      </c>
      <c r="DW40" t="s">
        <v>153</v>
      </c>
      <c r="DX40" s="2"/>
      <c r="DY40" t="s">
        <v>153</v>
      </c>
      <c r="DZ40" t="s">
        <v>153</v>
      </c>
      <c r="EA40" t="s">
        <v>153</v>
      </c>
      <c r="EB40" t="s">
        <v>153</v>
      </c>
      <c r="EC40" t="s">
        <v>153</v>
      </c>
      <c r="ED40" t="s">
        <v>153</v>
      </c>
      <c r="EE40" t="s">
        <v>153</v>
      </c>
      <c r="EF40" t="s">
        <v>153</v>
      </c>
      <c r="EH40" t="s">
        <v>153</v>
      </c>
      <c r="EI40" t="s">
        <v>153</v>
      </c>
      <c r="EJ40" t="s">
        <v>153</v>
      </c>
      <c r="EK40" t="s">
        <v>153</v>
      </c>
      <c r="EM40" t="s">
        <v>153</v>
      </c>
      <c r="EN40" t="s">
        <v>153</v>
      </c>
      <c r="EP40" s="4" t="s">
        <v>242</v>
      </c>
      <c r="EQ40" s="4" t="s">
        <v>153</v>
      </c>
      <c r="ER40" s="4" t="s">
        <v>176</v>
      </c>
      <c r="ES40" s="4" t="s">
        <v>153</v>
      </c>
      <c r="ET40" t="s">
        <v>728</v>
      </c>
      <c r="EU40" t="s">
        <v>638</v>
      </c>
      <c r="EV40" t="s">
        <v>676</v>
      </c>
      <c r="EW40">
        <v>1047742760</v>
      </c>
      <c r="EX40" t="s">
        <v>677</v>
      </c>
    </row>
    <row r="41" spans="1:154" x14ac:dyDescent="0.25">
      <c r="A41" s="3">
        <v>44911.669965277775</v>
      </c>
      <c r="B41" s="4" t="s">
        <v>3</v>
      </c>
      <c r="C41" s="4" t="s">
        <v>659</v>
      </c>
      <c r="D41" s="4" t="s">
        <v>660</v>
      </c>
      <c r="E41" s="4" t="s">
        <v>661</v>
      </c>
      <c r="F41" s="4" t="s">
        <v>662</v>
      </c>
      <c r="G41" s="4" t="s">
        <v>185</v>
      </c>
      <c r="H41" s="4" t="s">
        <v>323</v>
      </c>
      <c r="I41" s="4" t="s">
        <v>153</v>
      </c>
      <c r="J41" s="4" t="s">
        <v>153</v>
      </c>
      <c r="K41" s="5"/>
      <c r="L41" s="4" t="s">
        <v>153</v>
      </c>
      <c r="M41" s="4" t="s">
        <v>740</v>
      </c>
      <c r="N41" s="4" t="s">
        <v>741</v>
      </c>
      <c r="O41" s="4" t="s">
        <v>742</v>
      </c>
      <c r="P41" s="4" t="s">
        <v>743</v>
      </c>
      <c r="Q41" s="4" t="s">
        <v>190</v>
      </c>
      <c r="R41" s="4" t="s">
        <v>666</v>
      </c>
      <c r="S41" s="4" t="s">
        <v>153</v>
      </c>
      <c r="T41" s="4" t="s">
        <v>681</v>
      </c>
      <c r="U41" s="4" t="s">
        <v>744</v>
      </c>
      <c r="V41" s="4" t="s">
        <v>153</v>
      </c>
      <c r="W41" s="4" t="s">
        <v>745</v>
      </c>
      <c r="X41" s="4" t="s">
        <v>735</v>
      </c>
      <c r="Y41" s="4" t="s">
        <v>746</v>
      </c>
      <c r="Z41" s="4" t="s">
        <v>237</v>
      </c>
      <c r="AA41" s="4" t="s">
        <v>744</v>
      </c>
      <c r="AB41" s="4" t="s">
        <v>153</v>
      </c>
      <c r="AC41" s="4" t="s">
        <v>745</v>
      </c>
      <c r="AD41" s="4" t="s">
        <v>735</v>
      </c>
      <c r="AE41" s="4" t="s">
        <v>746</v>
      </c>
      <c r="AF41" s="4" t="s">
        <v>747</v>
      </c>
      <c r="AG41" s="4" t="s">
        <v>748</v>
      </c>
      <c r="AH41" s="4" t="s">
        <v>153</v>
      </c>
      <c r="AI41" s="5">
        <v>44562</v>
      </c>
      <c r="AJ41" t="s">
        <v>591</v>
      </c>
      <c r="AK41" s="4">
        <v>6</v>
      </c>
      <c r="AL41" t="s">
        <v>153</v>
      </c>
      <c r="AM41" t="s">
        <v>153</v>
      </c>
      <c r="AO41" t="s">
        <v>153</v>
      </c>
      <c r="AP41" s="4"/>
      <c r="AQ41" t="s">
        <v>153</v>
      </c>
      <c r="AR41" s="5"/>
      <c r="AT41" s="4" t="s">
        <v>153</v>
      </c>
      <c r="AU41" s="4" t="s">
        <v>153</v>
      </c>
      <c r="AV41" s="4" t="s">
        <v>153</v>
      </c>
      <c r="AW41" t="s">
        <v>153</v>
      </c>
      <c r="AX41" t="s">
        <v>153</v>
      </c>
      <c r="AY41" t="s">
        <v>153</v>
      </c>
      <c r="AZ41" t="s">
        <v>153</v>
      </c>
      <c r="BA41" t="s">
        <v>153</v>
      </c>
      <c r="BB41" t="s">
        <v>153</v>
      </c>
      <c r="BC41" t="s">
        <v>153</v>
      </c>
      <c r="BD41" s="4" t="s">
        <v>153</v>
      </c>
      <c r="BE41" s="4" t="s">
        <v>153</v>
      </c>
      <c r="BF41" t="s">
        <v>153</v>
      </c>
      <c r="BG41" s="4" t="s">
        <v>153</v>
      </c>
      <c r="BH41" t="s">
        <v>153</v>
      </c>
      <c r="BI41" s="4" t="s">
        <v>153</v>
      </c>
      <c r="BJ41" t="s">
        <v>153</v>
      </c>
      <c r="BK41" s="4" t="s">
        <v>153</v>
      </c>
      <c r="BL41" t="s">
        <v>153</v>
      </c>
      <c r="BM41" t="s">
        <v>153</v>
      </c>
      <c r="BN41" s="4" t="s">
        <v>153</v>
      </c>
      <c r="BO41" s="4" t="s">
        <v>153</v>
      </c>
      <c r="BP41" s="4" t="s">
        <v>153</v>
      </c>
      <c r="BQ41" s="4" t="s">
        <v>153</v>
      </c>
      <c r="BR41" s="4" t="s">
        <v>153</v>
      </c>
      <c r="BS41" s="4" t="s">
        <v>153</v>
      </c>
      <c r="BT41" s="4" t="s">
        <v>153</v>
      </c>
      <c r="BU41" s="4" t="s">
        <v>153</v>
      </c>
      <c r="BV41" s="4"/>
      <c r="BW41" s="4" t="s">
        <v>153</v>
      </c>
      <c r="BX41" s="4" t="s">
        <v>153</v>
      </c>
      <c r="BY41" s="4" t="s">
        <v>153</v>
      </c>
      <c r="BZ41" s="4" t="s">
        <v>153</v>
      </c>
      <c r="CA41" s="4" t="s">
        <v>153</v>
      </c>
      <c r="CB41" s="4"/>
      <c r="CC41" s="4" t="s">
        <v>153</v>
      </c>
      <c r="CD41" t="s">
        <v>153</v>
      </c>
      <c r="CE41" s="4" t="s">
        <v>153</v>
      </c>
      <c r="CF41" s="4" t="s">
        <v>153</v>
      </c>
      <c r="CG41" s="4" t="s">
        <v>153</v>
      </c>
      <c r="CH41" s="5"/>
      <c r="CI41" t="s">
        <v>153</v>
      </c>
      <c r="CJ41" s="4"/>
      <c r="CK41" t="s">
        <v>153</v>
      </c>
      <c r="CL41" t="s">
        <v>153</v>
      </c>
      <c r="CM41" t="s">
        <v>153</v>
      </c>
      <c r="CN41" t="s">
        <v>153</v>
      </c>
      <c r="CO41" s="5"/>
      <c r="CP41" s="4" t="s">
        <v>153</v>
      </c>
      <c r="CQ41" s="4" t="s">
        <v>153</v>
      </c>
      <c r="CR41" t="s">
        <v>153</v>
      </c>
      <c r="CS41" t="s">
        <v>153</v>
      </c>
      <c r="CT41" t="s">
        <v>153</v>
      </c>
      <c r="CU41" t="s">
        <v>153</v>
      </c>
      <c r="CV41" t="s">
        <v>153</v>
      </c>
      <c r="CW41" t="s">
        <v>153</v>
      </c>
      <c r="CX41" t="s">
        <v>153</v>
      </c>
      <c r="CY41" t="s">
        <v>153</v>
      </c>
      <c r="CZ41" t="s">
        <v>153</v>
      </c>
      <c r="DA41" t="s">
        <v>153</v>
      </c>
      <c r="DB41" t="s">
        <v>153</v>
      </c>
      <c r="DC41" t="s">
        <v>153</v>
      </c>
      <c r="DD41" t="s">
        <v>153</v>
      </c>
      <c r="DE41" t="s">
        <v>153</v>
      </c>
      <c r="DF41" t="s">
        <v>153</v>
      </c>
      <c r="DG41" t="s">
        <v>153</v>
      </c>
      <c r="DI41" t="s">
        <v>153</v>
      </c>
      <c r="DJ41" t="s">
        <v>153</v>
      </c>
      <c r="DK41" t="s">
        <v>153</v>
      </c>
      <c r="DL41" t="s">
        <v>153</v>
      </c>
      <c r="DN41" t="s">
        <v>153</v>
      </c>
      <c r="DO41" t="s">
        <v>153</v>
      </c>
      <c r="DP41" t="s">
        <v>153</v>
      </c>
      <c r="DQ41" t="s">
        <v>153</v>
      </c>
      <c r="DR41" t="s">
        <v>153</v>
      </c>
      <c r="DS41" t="s">
        <v>153</v>
      </c>
      <c r="DT41" t="s">
        <v>153</v>
      </c>
      <c r="DU41" t="s">
        <v>153</v>
      </c>
      <c r="DV41" t="s">
        <v>153</v>
      </c>
      <c r="DW41" t="s">
        <v>153</v>
      </c>
      <c r="DX41" s="2"/>
      <c r="DY41" t="s">
        <v>153</v>
      </c>
      <c r="DZ41" t="s">
        <v>153</v>
      </c>
      <c r="EA41" t="s">
        <v>153</v>
      </c>
      <c r="EB41" t="s">
        <v>153</v>
      </c>
      <c r="EC41" t="s">
        <v>153</v>
      </c>
      <c r="ED41" t="s">
        <v>153</v>
      </c>
      <c r="EE41" t="s">
        <v>153</v>
      </c>
      <c r="EF41" t="s">
        <v>153</v>
      </c>
      <c r="EH41" t="s">
        <v>153</v>
      </c>
      <c r="EI41" t="s">
        <v>153</v>
      </c>
      <c r="EJ41" t="s">
        <v>153</v>
      </c>
      <c r="EK41" t="s">
        <v>153</v>
      </c>
      <c r="EM41" t="s">
        <v>153</v>
      </c>
      <c r="EN41" t="s">
        <v>153</v>
      </c>
      <c r="EP41" s="4" t="s">
        <v>153</v>
      </c>
      <c r="EQ41" s="4" t="s">
        <v>153</v>
      </c>
      <c r="ER41" s="4" t="s">
        <v>176</v>
      </c>
      <c r="ES41" s="4" t="s">
        <v>153</v>
      </c>
      <c r="ET41" t="s">
        <v>728</v>
      </c>
      <c r="EU41" t="s">
        <v>638</v>
      </c>
      <c r="EV41" t="s">
        <v>676</v>
      </c>
      <c r="EW41">
        <v>1047747323</v>
      </c>
      <c r="EX41" t="s">
        <v>677</v>
      </c>
    </row>
    <row r="42" spans="1:154" x14ac:dyDescent="0.25">
      <c r="A42" s="3">
        <v>44911.678402777776</v>
      </c>
      <c r="B42" s="4" t="s">
        <v>3</v>
      </c>
      <c r="C42" s="4" t="s">
        <v>659</v>
      </c>
      <c r="D42" s="4" t="s">
        <v>660</v>
      </c>
      <c r="E42" s="4" t="s">
        <v>661</v>
      </c>
      <c r="F42" s="4" t="s">
        <v>662</v>
      </c>
      <c r="G42" s="4" t="s">
        <v>185</v>
      </c>
      <c r="H42" s="4" t="s">
        <v>323</v>
      </c>
      <c r="I42" s="4" t="s">
        <v>153</v>
      </c>
      <c r="J42" s="4" t="s">
        <v>153</v>
      </c>
      <c r="K42" s="5"/>
      <c r="L42" s="4" t="s">
        <v>153</v>
      </c>
      <c r="M42" s="4" t="s">
        <v>749</v>
      </c>
      <c r="N42" s="4" t="s">
        <v>749</v>
      </c>
      <c r="O42" s="4" t="s">
        <v>750</v>
      </c>
      <c r="P42" s="4" t="s">
        <v>751</v>
      </c>
      <c r="Q42" s="4" t="s">
        <v>190</v>
      </c>
      <c r="R42" s="4" t="s">
        <v>666</v>
      </c>
      <c r="S42" s="4" t="s">
        <v>153</v>
      </c>
      <c r="T42" s="4" t="s">
        <v>681</v>
      </c>
      <c r="U42" s="4" t="s">
        <v>752</v>
      </c>
      <c r="V42" s="4" t="s">
        <v>153</v>
      </c>
      <c r="W42" s="4" t="s">
        <v>753</v>
      </c>
      <c r="X42" s="4" t="s">
        <v>754</v>
      </c>
      <c r="Y42" s="4" t="s">
        <v>755</v>
      </c>
      <c r="Z42" s="4" t="s">
        <v>237</v>
      </c>
      <c r="AA42" s="4" t="s">
        <v>752</v>
      </c>
      <c r="AB42" s="4" t="s">
        <v>153</v>
      </c>
      <c r="AC42" s="4" t="s">
        <v>753</v>
      </c>
      <c r="AD42" s="4" t="s">
        <v>754</v>
      </c>
      <c r="AE42" s="4" t="s">
        <v>755</v>
      </c>
      <c r="AF42" s="4" t="s">
        <v>756</v>
      </c>
      <c r="AG42" s="4" t="s">
        <v>757</v>
      </c>
      <c r="AH42" s="4" t="s">
        <v>153</v>
      </c>
      <c r="AI42" s="5">
        <v>44562</v>
      </c>
      <c r="AJ42" t="s">
        <v>591</v>
      </c>
      <c r="AK42" s="4">
        <v>8</v>
      </c>
      <c r="AL42" t="s">
        <v>153</v>
      </c>
      <c r="AM42" t="s">
        <v>153</v>
      </c>
      <c r="AO42" t="s">
        <v>153</v>
      </c>
      <c r="AP42" s="4"/>
      <c r="AQ42" t="s">
        <v>153</v>
      </c>
      <c r="AR42" s="5"/>
      <c r="AT42" s="4" t="s">
        <v>153</v>
      </c>
      <c r="AU42" s="4" t="s">
        <v>153</v>
      </c>
      <c r="AV42" s="4" t="s">
        <v>153</v>
      </c>
      <c r="AW42" t="s">
        <v>153</v>
      </c>
      <c r="AX42" t="s">
        <v>153</v>
      </c>
      <c r="AY42" t="s">
        <v>153</v>
      </c>
      <c r="AZ42" t="s">
        <v>153</v>
      </c>
      <c r="BA42" t="s">
        <v>153</v>
      </c>
      <c r="BB42" t="s">
        <v>153</v>
      </c>
      <c r="BC42" t="s">
        <v>153</v>
      </c>
      <c r="BD42" s="4" t="s">
        <v>153</v>
      </c>
      <c r="BE42" s="4" t="s">
        <v>153</v>
      </c>
      <c r="BF42" t="s">
        <v>153</v>
      </c>
      <c r="BG42" s="4" t="s">
        <v>153</v>
      </c>
      <c r="BH42" t="s">
        <v>153</v>
      </c>
      <c r="BI42" s="4" t="s">
        <v>153</v>
      </c>
      <c r="BJ42" t="s">
        <v>153</v>
      </c>
      <c r="BK42" s="4" t="s">
        <v>153</v>
      </c>
      <c r="BL42" t="s">
        <v>153</v>
      </c>
      <c r="BM42" t="s">
        <v>153</v>
      </c>
      <c r="BN42" s="4" t="s">
        <v>153</v>
      </c>
      <c r="BO42" s="4" t="s">
        <v>153</v>
      </c>
      <c r="BP42" s="4" t="s">
        <v>153</v>
      </c>
      <c r="BQ42" s="4" t="s">
        <v>153</v>
      </c>
      <c r="BR42" s="4" t="s">
        <v>153</v>
      </c>
      <c r="BS42" s="4" t="s">
        <v>153</v>
      </c>
      <c r="BT42" s="4" t="s">
        <v>153</v>
      </c>
      <c r="BU42" s="4" t="s">
        <v>153</v>
      </c>
      <c r="BV42" s="4"/>
      <c r="BW42" s="4" t="s">
        <v>153</v>
      </c>
      <c r="BX42" s="4" t="s">
        <v>153</v>
      </c>
      <c r="BY42" s="4" t="s">
        <v>153</v>
      </c>
      <c r="BZ42" s="4" t="s">
        <v>153</v>
      </c>
      <c r="CA42" s="4" t="s">
        <v>153</v>
      </c>
      <c r="CB42" s="4"/>
      <c r="CC42" s="4" t="s">
        <v>153</v>
      </c>
      <c r="CD42" t="s">
        <v>153</v>
      </c>
      <c r="CE42" s="4" t="s">
        <v>153</v>
      </c>
      <c r="CF42" s="4" t="s">
        <v>153</v>
      </c>
      <c r="CG42" s="4" t="s">
        <v>153</v>
      </c>
      <c r="CH42" s="5"/>
      <c r="CI42" t="s">
        <v>153</v>
      </c>
      <c r="CJ42" s="4"/>
      <c r="CK42" t="s">
        <v>153</v>
      </c>
      <c r="CL42" t="s">
        <v>153</v>
      </c>
      <c r="CM42" t="s">
        <v>153</v>
      </c>
      <c r="CN42" t="s">
        <v>153</v>
      </c>
      <c r="CO42" s="5"/>
      <c r="CP42" s="4" t="s">
        <v>153</v>
      </c>
      <c r="CQ42" s="4" t="s">
        <v>153</v>
      </c>
      <c r="CR42" t="s">
        <v>153</v>
      </c>
      <c r="CS42" t="s">
        <v>153</v>
      </c>
      <c r="CT42" t="s">
        <v>153</v>
      </c>
      <c r="CU42" t="s">
        <v>153</v>
      </c>
      <c r="CV42" t="s">
        <v>153</v>
      </c>
      <c r="CW42" t="s">
        <v>153</v>
      </c>
      <c r="CX42" t="s">
        <v>153</v>
      </c>
      <c r="CY42" t="s">
        <v>153</v>
      </c>
      <c r="CZ42" t="s">
        <v>153</v>
      </c>
      <c r="DA42" t="s">
        <v>153</v>
      </c>
      <c r="DB42" t="s">
        <v>153</v>
      </c>
      <c r="DC42" t="s">
        <v>153</v>
      </c>
      <c r="DD42" t="s">
        <v>153</v>
      </c>
      <c r="DE42" t="s">
        <v>153</v>
      </c>
      <c r="DF42" t="s">
        <v>153</v>
      </c>
      <c r="DG42" t="s">
        <v>153</v>
      </c>
      <c r="DI42" t="s">
        <v>153</v>
      </c>
      <c r="DJ42" t="s">
        <v>153</v>
      </c>
      <c r="DK42" t="s">
        <v>153</v>
      </c>
      <c r="DL42" t="s">
        <v>153</v>
      </c>
      <c r="DN42" t="s">
        <v>153</v>
      </c>
      <c r="DO42" t="s">
        <v>153</v>
      </c>
      <c r="DP42" t="s">
        <v>153</v>
      </c>
      <c r="DQ42" t="s">
        <v>153</v>
      </c>
      <c r="DR42" t="s">
        <v>153</v>
      </c>
      <c r="DS42" t="s">
        <v>153</v>
      </c>
      <c r="DT42" t="s">
        <v>153</v>
      </c>
      <c r="DU42" t="s">
        <v>153</v>
      </c>
      <c r="DV42" t="s">
        <v>153</v>
      </c>
      <c r="DW42" t="s">
        <v>153</v>
      </c>
      <c r="DX42" s="2"/>
      <c r="DY42" t="s">
        <v>153</v>
      </c>
      <c r="DZ42" t="s">
        <v>153</v>
      </c>
      <c r="EA42" t="s">
        <v>153</v>
      </c>
      <c r="EB42" t="s">
        <v>153</v>
      </c>
      <c r="EC42" t="s">
        <v>153</v>
      </c>
      <c r="ED42" t="s">
        <v>153</v>
      </c>
      <c r="EE42" t="s">
        <v>153</v>
      </c>
      <c r="EF42" t="s">
        <v>153</v>
      </c>
      <c r="EH42" t="s">
        <v>153</v>
      </c>
      <c r="EI42" t="s">
        <v>153</v>
      </c>
      <c r="EJ42" t="s">
        <v>153</v>
      </c>
      <c r="EK42" t="s">
        <v>153</v>
      </c>
      <c r="EM42" t="s">
        <v>153</v>
      </c>
      <c r="EN42" t="s">
        <v>153</v>
      </c>
      <c r="EP42" s="4" t="s">
        <v>153</v>
      </c>
      <c r="EQ42" s="4" t="s">
        <v>153</v>
      </c>
      <c r="ER42" s="4" t="s">
        <v>176</v>
      </c>
      <c r="ES42" s="4" t="s">
        <v>153</v>
      </c>
      <c r="ET42" t="s">
        <v>243</v>
      </c>
      <c r="EU42" t="s">
        <v>638</v>
      </c>
      <c r="EV42" t="s">
        <v>676</v>
      </c>
      <c r="EW42">
        <v>1047752236</v>
      </c>
      <c r="EX42" t="s">
        <v>677</v>
      </c>
    </row>
    <row r="43" spans="1:154" x14ac:dyDescent="0.25">
      <c r="A43" s="3">
        <v>44930.608935185184</v>
      </c>
      <c r="B43" s="4" t="s">
        <v>3</v>
      </c>
      <c r="C43" s="4" t="s">
        <v>758</v>
      </c>
      <c r="D43" s="4" t="s">
        <v>759</v>
      </c>
      <c r="E43" s="4" t="s">
        <v>643</v>
      </c>
      <c r="F43" s="4" t="s">
        <v>760</v>
      </c>
      <c r="G43" s="4" t="s">
        <v>185</v>
      </c>
      <c r="H43" s="4" t="s">
        <v>645</v>
      </c>
      <c r="I43" s="4" t="s">
        <v>153</v>
      </c>
      <c r="J43" s="4" t="s">
        <v>153</v>
      </c>
      <c r="K43" s="5"/>
      <c r="L43" s="4" t="s">
        <v>153</v>
      </c>
      <c r="M43" s="4" t="s">
        <v>761</v>
      </c>
      <c r="N43" s="4" t="s">
        <v>762</v>
      </c>
      <c r="O43" s="4" t="s">
        <v>763</v>
      </c>
      <c r="P43" s="4" t="s">
        <v>764</v>
      </c>
      <c r="Q43" s="4" t="s">
        <v>294</v>
      </c>
      <c r="R43" s="4" t="s">
        <v>191</v>
      </c>
      <c r="S43" s="4" t="s">
        <v>765</v>
      </c>
      <c r="T43" s="4" t="s">
        <v>153</v>
      </c>
      <c r="U43" s="4" t="s">
        <v>766</v>
      </c>
      <c r="V43" s="4" t="s">
        <v>153</v>
      </c>
      <c r="W43" s="4" t="s">
        <v>627</v>
      </c>
      <c r="X43" s="4" t="s">
        <v>429</v>
      </c>
      <c r="Y43" s="4" t="s">
        <v>767</v>
      </c>
      <c r="Z43" s="4" t="s">
        <v>237</v>
      </c>
      <c r="AA43" s="4" t="s">
        <v>766</v>
      </c>
      <c r="AB43" s="4" t="s">
        <v>153</v>
      </c>
      <c r="AC43" s="4" t="s">
        <v>627</v>
      </c>
      <c r="AD43" s="4" t="s">
        <v>429</v>
      </c>
      <c r="AE43" s="4" t="s">
        <v>768</v>
      </c>
      <c r="AF43" s="4" t="s">
        <v>769</v>
      </c>
      <c r="AG43" s="4" t="s">
        <v>770</v>
      </c>
      <c r="AH43" s="4" t="s">
        <v>771</v>
      </c>
      <c r="AI43" s="5">
        <v>44958</v>
      </c>
      <c r="AJ43" t="s">
        <v>772</v>
      </c>
      <c r="AK43" s="4">
        <v>20</v>
      </c>
      <c r="AL43" t="s">
        <v>153</v>
      </c>
      <c r="AM43" t="s">
        <v>153</v>
      </c>
      <c r="AO43" t="s">
        <v>153</v>
      </c>
      <c r="AP43" s="4"/>
      <c r="AQ43" t="s">
        <v>153</v>
      </c>
      <c r="AR43" s="5"/>
      <c r="AT43" s="4" t="s">
        <v>153</v>
      </c>
      <c r="AU43" s="4" t="s">
        <v>153</v>
      </c>
      <c r="AV43" s="4" t="s">
        <v>153</v>
      </c>
      <c r="AW43" t="s">
        <v>153</v>
      </c>
      <c r="AX43" t="s">
        <v>153</v>
      </c>
      <c r="AY43" t="s">
        <v>153</v>
      </c>
      <c r="AZ43" t="s">
        <v>153</v>
      </c>
      <c r="BA43" t="s">
        <v>153</v>
      </c>
      <c r="BB43" t="s">
        <v>153</v>
      </c>
      <c r="BC43" t="s">
        <v>153</v>
      </c>
      <c r="BD43" s="4" t="s">
        <v>153</v>
      </c>
      <c r="BE43" s="4" t="s">
        <v>153</v>
      </c>
      <c r="BF43" t="s">
        <v>153</v>
      </c>
      <c r="BG43" s="4" t="s">
        <v>153</v>
      </c>
      <c r="BH43" t="s">
        <v>153</v>
      </c>
      <c r="BI43" s="4" t="s">
        <v>153</v>
      </c>
      <c r="BJ43" t="s">
        <v>153</v>
      </c>
      <c r="BK43" s="4" t="s">
        <v>153</v>
      </c>
      <c r="BL43" t="s">
        <v>153</v>
      </c>
      <c r="BM43" t="s">
        <v>153</v>
      </c>
      <c r="BN43" s="4" t="s">
        <v>153</v>
      </c>
      <c r="BO43" s="4" t="s">
        <v>153</v>
      </c>
      <c r="BP43" s="4" t="s">
        <v>153</v>
      </c>
      <c r="BQ43" s="4" t="s">
        <v>153</v>
      </c>
      <c r="BR43" s="4" t="s">
        <v>153</v>
      </c>
      <c r="BS43" s="4" t="s">
        <v>153</v>
      </c>
      <c r="BT43" s="4" t="s">
        <v>153</v>
      </c>
      <c r="BU43" s="4" t="s">
        <v>153</v>
      </c>
      <c r="BV43" s="4"/>
      <c r="BW43" s="4" t="s">
        <v>153</v>
      </c>
      <c r="BX43" s="4" t="s">
        <v>153</v>
      </c>
      <c r="BY43" s="4" t="s">
        <v>153</v>
      </c>
      <c r="BZ43" s="4" t="s">
        <v>153</v>
      </c>
      <c r="CA43" s="4" t="s">
        <v>153</v>
      </c>
      <c r="CB43" s="4"/>
      <c r="CC43" s="4" t="s">
        <v>153</v>
      </c>
      <c r="CD43" t="s">
        <v>153</v>
      </c>
      <c r="CE43" s="4" t="s">
        <v>153</v>
      </c>
      <c r="CF43" s="4" t="s">
        <v>153</v>
      </c>
      <c r="CG43" s="4" t="s">
        <v>153</v>
      </c>
      <c r="CH43" s="5"/>
      <c r="CI43" t="s">
        <v>153</v>
      </c>
      <c r="CJ43" s="4"/>
      <c r="CK43" t="s">
        <v>153</v>
      </c>
      <c r="CL43" t="s">
        <v>153</v>
      </c>
      <c r="CM43" t="s">
        <v>153</v>
      </c>
      <c r="CN43" t="s">
        <v>153</v>
      </c>
      <c r="CO43" s="5"/>
      <c r="CP43" s="4" t="s">
        <v>153</v>
      </c>
      <c r="CQ43" s="4" t="s">
        <v>153</v>
      </c>
      <c r="CR43" t="s">
        <v>153</v>
      </c>
      <c r="CS43" t="s">
        <v>153</v>
      </c>
      <c r="CT43" t="s">
        <v>153</v>
      </c>
      <c r="CU43" t="s">
        <v>153</v>
      </c>
      <c r="CV43" t="s">
        <v>153</v>
      </c>
      <c r="CW43" t="s">
        <v>153</v>
      </c>
      <c r="CX43" t="s">
        <v>153</v>
      </c>
      <c r="CY43" t="s">
        <v>153</v>
      </c>
      <c r="CZ43" t="s">
        <v>153</v>
      </c>
      <c r="DA43" t="s">
        <v>153</v>
      </c>
      <c r="DB43" t="s">
        <v>153</v>
      </c>
      <c r="DC43" t="s">
        <v>153</v>
      </c>
      <c r="DD43" t="s">
        <v>153</v>
      </c>
      <c r="DE43" t="s">
        <v>153</v>
      </c>
      <c r="DF43" t="s">
        <v>153</v>
      </c>
      <c r="DG43" t="s">
        <v>153</v>
      </c>
      <c r="DI43" t="s">
        <v>153</v>
      </c>
      <c r="DJ43" t="s">
        <v>153</v>
      </c>
      <c r="DK43" t="s">
        <v>153</v>
      </c>
      <c r="DL43" t="s">
        <v>153</v>
      </c>
      <c r="DN43" t="s">
        <v>153</v>
      </c>
      <c r="DO43" t="s">
        <v>153</v>
      </c>
      <c r="DP43" t="s">
        <v>153</v>
      </c>
      <c r="DQ43" t="s">
        <v>153</v>
      </c>
      <c r="DR43" t="s">
        <v>153</v>
      </c>
      <c r="DS43" t="s">
        <v>153</v>
      </c>
      <c r="DT43" t="s">
        <v>153</v>
      </c>
      <c r="DU43" t="s">
        <v>153</v>
      </c>
      <c r="DV43" t="s">
        <v>153</v>
      </c>
      <c r="DW43" t="s">
        <v>153</v>
      </c>
      <c r="DX43" s="2"/>
      <c r="DY43" t="s">
        <v>153</v>
      </c>
      <c r="DZ43" t="s">
        <v>153</v>
      </c>
      <c r="EA43" t="s">
        <v>153</v>
      </c>
      <c r="EB43" t="s">
        <v>153</v>
      </c>
      <c r="EC43" t="s">
        <v>153</v>
      </c>
      <c r="ED43" t="s">
        <v>153</v>
      </c>
      <c r="EE43" t="s">
        <v>153</v>
      </c>
      <c r="EF43" t="s">
        <v>153</v>
      </c>
      <c r="EH43" t="s">
        <v>153</v>
      </c>
      <c r="EI43" t="s">
        <v>153</v>
      </c>
      <c r="EJ43" t="s">
        <v>153</v>
      </c>
      <c r="EK43" t="s">
        <v>153</v>
      </c>
      <c r="EM43" t="s">
        <v>153</v>
      </c>
      <c r="EN43" t="s">
        <v>153</v>
      </c>
      <c r="EP43" s="4" t="s">
        <v>242</v>
      </c>
      <c r="EQ43" s="4" t="s">
        <v>153</v>
      </c>
      <c r="ER43" s="4" t="s">
        <v>191</v>
      </c>
      <c r="ES43" s="4" t="s">
        <v>153</v>
      </c>
      <c r="ET43" t="s">
        <v>153</v>
      </c>
      <c r="EU43" t="s">
        <v>638</v>
      </c>
      <c r="EV43" t="s">
        <v>657</v>
      </c>
      <c r="EW43">
        <v>1053590559</v>
      </c>
      <c r="EX43" t="s">
        <v>773</v>
      </c>
    </row>
    <row r="44" spans="1:154" x14ac:dyDescent="0.25">
      <c r="A44" s="3">
        <v>44931.829699074071</v>
      </c>
      <c r="B44" s="4" t="s">
        <v>3</v>
      </c>
      <c r="C44" s="4" t="s">
        <v>774</v>
      </c>
      <c r="D44" s="4" t="s">
        <v>545</v>
      </c>
      <c r="E44" s="4" t="s">
        <v>775</v>
      </c>
      <c r="F44" s="4" t="s">
        <v>776</v>
      </c>
      <c r="G44" s="4" t="s">
        <v>185</v>
      </c>
      <c r="H44" s="4" t="s">
        <v>506</v>
      </c>
      <c r="I44" s="4" t="s">
        <v>153</v>
      </c>
      <c r="J44" s="4" t="s">
        <v>153</v>
      </c>
      <c r="K44" s="5"/>
      <c r="L44" s="4" t="s">
        <v>153</v>
      </c>
      <c r="M44" s="4" t="s">
        <v>777</v>
      </c>
      <c r="N44" s="4" t="s">
        <v>153</v>
      </c>
      <c r="O44" s="4" t="s">
        <v>774</v>
      </c>
      <c r="P44" s="4" t="s">
        <v>778</v>
      </c>
      <c r="Q44" s="4" t="s">
        <v>190</v>
      </c>
      <c r="R44" s="4" t="s">
        <v>191</v>
      </c>
      <c r="S44" s="4" t="s">
        <v>779</v>
      </c>
      <c r="T44" s="4" t="s">
        <v>153</v>
      </c>
      <c r="U44" s="4" t="s">
        <v>780</v>
      </c>
      <c r="V44" s="4" t="s">
        <v>153</v>
      </c>
      <c r="W44" s="4" t="s">
        <v>781</v>
      </c>
      <c r="X44" s="4" t="s">
        <v>589</v>
      </c>
      <c r="Y44" s="4" t="s">
        <v>782</v>
      </c>
      <c r="Z44" s="4" t="s">
        <v>237</v>
      </c>
      <c r="AA44" s="4" t="s">
        <v>780</v>
      </c>
      <c r="AB44" s="4" t="s">
        <v>153</v>
      </c>
      <c r="AC44" s="4" t="s">
        <v>781</v>
      </c>
      <c r="AD44" s="4" t="s">
        <v>589</v>
      </c>
      <c r="AE44" s="4" t="s">
        <v>782</v>
      </c>
      <c r="AF44" s="4" t="s">
        <v>783</v>
      </c>
      <c r="AG44" s="4" t="s">
        <v>784</v>
      </c>
      <c r="AH44" s="4" t="s">
        <v>153</v>
      </c>
      <c r="AI44" s="5">
        <v>44260</v>
      </c>
      <c r="AJ44" t="s">
        <v>785</v>
      </c>
      <c r="AK44" s="4">
        <v>5</v>
      </c>
      <c r="AL44" t="s">
        <v>786</v>
      </c>
      <c r="AM44" t="s">
        <v>153</v>
      </c>
      <c r="AO44" t="s">
        <v>153</v>
      </c>
      <c r="AP44" s="4"/>
      <c r="AQ44" t="s">
        <v>153</v>
      </c>
      <c r="AR44" s="5"/>
      <c r="AT44" s="4" t="s">
        <v>153</v>
      </c>
      <c r="AU44" s="4" t="s">
        <v>153</v>
      </c>
      <c r="AV44" s="4" t="s">
        <v>153</v>
      </c>
      <c r="AW44" t="s">
        <v>153</v>
      </c>
      <c r="AX44" t="s">
        <v>153</v>
      </c>
      <c r="AY44" t="s">
        <v>153</v>
      </c>
      <c r="AZ44" t="s">
        <v>153</v>
      </c>
      <c r="BA44" t="s">
        <v>153</v>
      </c>
      <c r="BB44" t="s">
        <v>153</v>
      </c>
      <c r="BC44" t="s">
        <v>153</v>
      </c>
      <c r="BD44" s="4" t="s">
        <v>153</v>
      </c>
      <c r="BE44" s="4" t="s">
        <v>153</v>
      </c>
      <c r="BF44" t="s">
        <v>153</v>
      </c>
      <c r="BG44" s="4" t="s">
        <v>153</v>
      </c>
      <c r="BH44" t="s">
        <v>153</v>
      </c>
      <c r="BI44" s="4" t="s">
        <v>153</v>
      </c>
      <c r="BJ44" t="s">
        <v>153</v>
      </c>
      <c r="BK44" s="4" t="s">
        <v>153</v>
      </c>
      <c r="BL44" t="s">
        <v>153</v>
      </c>
      <c r="BM44" t="s">
        <v>153</v>
      </c>
      <c r="BN44" s="4" t="s">
        <v>153</v>
      </c>
      <c r="BO44" s="4" t="s">
        <v>153</v>
      </c>
      <c r="BP44" s="4" t="s">
        <v>153</v>
      </c>
      <c r="BQ44" s="4" t="s">
        <v>153</v>
      </c>
      <c r="BR44" s="4" t="s">
        <v>153</v>
      </c>
      <c r="BS44" s="4" t="s">
        <v>153</v>
      </c>
      <c r="BT44" s="4" t="s">
        <v>153</v>
      </c>
      <c r="BU44" s="4" t="s">
        <v>153</v>
      </c>
      <c r="BV44" s="4"/>
      <c r="BW44" s="4" t="s">
        <v>153</v>
      </c>
      <c r="BX44" s="4" t="s">
        <v>153</v>
      </c>
      <c r="BY44" s="4" t="s">
        <v>153</v>
      </c>
      <c r="BZ44" s="4" t="s">
        <v>153</v>
      </c>
      <c r="CA44" s="4" t="s">
        <v>153</v>
      </c>
      <c r="CB44" s="4"/>
      <c r="CC44" s="4" t="s">
        <v>153</v>
      </c>
      <c r="CD44" t="s">
        <v>153</v>
      </c>
      <c r="CE44" s="4" t="s">
        <v>153</v>
      </c>
      <c r="CF44" s="4" t="s">
        <v>153</v>
      </c>
      <c r="CG44" s="4" t="s">
        <v>153</v>
      </c>
      <c r="CH44" s="5"/>
      <c r="CI44" t="s">
        <v>153</v>
      </c>
      <c r="CJ44" s="4"/>
      <c r="CK44" t="s">
        <v>153</v>
      </c>
      <c r="CL44" t="s">
        <v>153</v>
      </c>
      <c r="CM44" t="s">
        <v>153</v>
      </c>
      <c r="CN44" t="s">
        <v>153</v>
      </c>
      <c r="CO44" s="5"/>
      <c r="CP44" s="4" t="s">
        <v>153</v>
      </c>
      <c r="CQ44" s="4" t="s">
        <v>153</v>
      </c>
      <c r="CR44" t="s">
        <v>153</v>
      </c>
      <c r="CS44" t="s">
        <v>153</v>
      </c>
      <c r="CT44" t="s">
        <v>153</v>
      </c>
      <c r="CU44" t="s">
        <v>153</v>
      </c>
      <c r="CV44" t="s">
        <v>153</v>
      </c>
      <c r="CW44" t="s">
        <v>153</v>
      </c>
      <c r="CX44" t="s">
        <v>153</v>
      </c>
      <c r="CY44" t="s">
        <v>153</v>
      </c>
      <c r="CZ44" t="s">
        <v>153</v>
      </c>
      <c r="DA44" t="s">
        <v>153</v>
      </c>
      <c r="DB44" t="s">
        <v>153</v>
      </c>
      <c r="DC44" t="s">
        <v>153</v>
      </c>
      <c r="DD44" t="s">
        <v>153</v>
      </c>
      <c r="DE44" t="s">
        <v>153</v>
      </c>
      <c r="DF44" t="s">
        <v>153</v>
      </c>
      <c r="DG44" t="s">
        <v>153</v>
      </c>
      <c r="DI44" t="s">
        <v>153</v>
      </c>
      <c r="DJ44" t="s">
        <v>153</v>
      </c>
      <c r="DK44" t="s">
        <v>153</v>
      </c>
      <c r="DL44" t="s">
        <v>153</v>
      </c>
      <c r="DN44" t="s">
        <v>153</v>
      </c>
      <c r="DO44" t="s">
        <v>153</v>
      </c>
      <c r="DP44" t="s">
        <v>153</v>
      </c>
      <c r="DQ44" t="s">
        <v>153</v>
      </c>
      <c r="DR44" t="s">
        <v>153</v>
      </c>
      <c r="DS44" t="s">
        <v>153</v>
      </c>
      <c r="DT44" t="s">
        <v>153</v>
      </c>
      <c r="DU44" t="s">
        <v>153</v>
      </c>
      <c r="DV44" t="s">
        <v>153</v>
      </c>
      <c r="DW44" t="s">
        <v>153</v>
      </c>
      <c r="DX44" s="2"/>
      <c r="DY44" t="s">
        <v>153</v>
      </c>
      <c r="DZ44" t="s">
        <v>153</v>
      </c>
      <c r="EA44" t="s">
        <v>153</v>
      </c>
      <c r="EB44" t="s">
        <v>153</v>
      </c>
      <c r="EC44" t="s">
        <v>153</v>
      </c>
      <c r="ED44" t="s">
        <v>153</v>
      </c>
      <c r="EE44" t="s">
        <v>153</v>
      </c>
      <c r="EF44" t="s">
        <v>153</v>
      </c>
      <c r="EH44" t="s">
        <v>153</v>
      </c>
      <c r="EI44" t="s">
        <v>153</v>
      </c>
      <c r="EJ44" t="s">
        <v>153</v>
      </c>
      <c r="EK44" t="s">
        <v>153</v>
      </c>
      <c r="EM44" t="s">
        <v>153</v>
      </c>
      <c r="EN44" t="s">
        <v>153</v>
      </c>
      <c r="EP44" s="4" t="s">
        <v>242</v>
      </c>
      <c r="EQ44" s="4" t="s">
        <v>153</v>
      </c>
      <c r="ER44" s="4" t="s">
        <v>191</v>
      </c>
      <c r="ES44" s="4" t="s">
        <v>153</v>
      </c>
      <c r="ET44" t="s">
        <v>153</v>
      </c>
      <c r="EU44" t="s">
        <v>787</v>
      </c>
      <c r="EV44" t="s">
        <v>788</v>
      </c>
      <c r="EW44">
        <v>1054129185</v>
      </c>
      <c r="EX44" t="s">
        <v>789</v>
      </c>
    </row>
    <row r="45" spans="1:154" x14ac:dyDescent="0.25">
      <c r="A45" s="3">
        <v>44933.730150462965</v>
      </c>
      <c r="B45" s="4" t="s">
        <v>3</v>
      </c>
      <c r="C45" s="4" t="s">
        <v>562</v>
      </c>
      <c r="D45" s="4" t="s">
        <v>790</v>
      </c>
      <c r="E45" s="4" t="s">
        <v>791</v>
      </c>
      <c r="F45" s="4" t="s">
        <v>792</v>
      </c>
      <c r="G45" s="4" t="s">
        <v>423</v>
      </c>
      <c r="H45" s="4" t="s">
        <v>793</v>
      </c>
      <c r="I45" s="4" t="s">
        <v>153</v>
      </c>
      <c r="J45" s="4" t="s">
        <v>153</v>
      </c>
      <c r="K45" s="5"/>
      <c r="L45" s="4" t="s">
        <v>153</v>
      </c>
      <c r="M45" s="4" t="s">
        <v>153</v>
      </c>
      <c r="N45" s="4" t="s">
        <v>153</v>
      </c>
      <c r="O45" s="4" t="s">
        <v>153</v>
      </c>
      <c r="P45" s="4" t="s">
        <v>153</v>
      </c>
      <c r="Q45" s="4" t="s">
        <v>153</v>
      </c>
      <c r="R45" s="4" t="s">
        <v>153</v>
      </c>
      <c r="S45" s="4" t="s">
        <v>153</v>
      </c>
      <c r="T45" s="4" t="s">
        <v>153</v>
      </c>
      <c r="U45" s="4" t="s">
        <v>153</v>
      </c>
      <c r="V45" s="4" t="s">
        <v>153</v>
      </c>
      <c r="W45" s="4" t="s">
        <v>153</v>
      </c>
      <c r="X45" s="4" t="s">
        <v>153</v>
      </c>
      <c r="Y45" s="4" t="s">
        <v>153</v>
      </c>
      <c r="Z45" s="4" t="s">
        <v>153</v>
      </c>
      <c r="AA45" s="4" t="s">
        <v>153</v>
      </c>
      <c r="AB45" s="4" t="s">
        <v>153</v>
      </c>
      <c r="AC45" s="4" t="s">
        <v>153</v>
      </c>
      <c r="AD45" s="4" t="s">
        <v>153</v>
      </c>
      <c r="AE45" s="4" t="s">
        <v>153</v>
      </c>
      <c r="AF45" s="4" t="s">
        <v>153</v>
      </c>
      <c r="AG45" s="4" t="s">
        <v>153</v>
      </c>
      <c r="AH45" s="4" t="s">
        <v>153</v>
      </c>
      <c r="AI45" s="5"/>
      <c r="AJ45" t="s">
        <v>153</v>
      </c>
      <c r="AK45" s="4"/>
      <c r="AL45" t="s">
        <v>153</v>
      </c>
      <c r="AM45" t="s">
        <v>153</v>
      </c>
      <c r="AO45" t="s">
        <v>153</v>
      </c>
      <c r="AP45" s="4"/>
      <c r="AQ45" t="s">
        <v>153</v>
      </c>
      <c r="AR45" s="5"/>
      <c r="AT45" s="4" t="s">
        <v>153</v>
      </c>
      <c r="AU45" s="4" t="s">
        <v>153</v>
      </c>
      <c r="AV45" s="4" t="s">
        <v>153</v>
      </c>
      <c r="AW45" t="s">
        <v>153</v>
      </c>
      <c r="AX45" t="s">
        <v>153</v>
      </c>
      <c r="AY45" t="s">
        <v>153</v>
      </c>
      <c r="AZ45" t="s">
        <v>153</v>
      </c>
      <c r="BA45" t="s">
        <v>153</v>
      </c>
      <c r="BB45" t="s">
        <v>153</v>
      </c>
      <c r="BC45" t="s">
        <v>153</v>
      </c>
      <c r="BD45" s="4" t="s">
        <v>153</v>
      </c>
      <c r="BE45" s="4" t="s">
        <v>153</v>
      </c>
      <c r="BF45" t="s">
        <v>153</v>
      </c>
      <c r="BG45" s="4" t="s">
        <v>153</v>
      </c>
      <c r="BH45" t="s">
        <v>153</v>
      </c>
      <c r="BI45" s="4" t="s">
        <v>794</v>
      </c>
      <c r="BJ45" t="s">
        <v>153</v>
      </c>
      <c r="BK45" s="4" t="s">
        <v>795</v>
      </c>
      <c r="BL45" t="s">
        <v>153</v>
      </c>
      <c r="BM45" t="s">
        <v>153</v>
      </c>
      <c r="BN45" s="4" t="s">
        <v>403</v>
      </c>
      <c r="BO45" s="4" t="s">
        <v>191</v>
      </c>
      <c r="BP45" s="4" t="s">
        <v>796</v>
      </c>
      <c r="BQ45" s="4" t="s">
        <v>153</v>
      </c>
      <c r="BR45" s="4" t="s">
        <v>797</v>
      </c>
      <c r="BS45" s="4" t="s">
        <v>153</v>
      </c>
      <c r="BT45" s="4" t="s">
        <v>798</v>
      </c>
      <c r="BU45" s="4" t="s">
        <v>799</v>
      </c>
      <c r="BV45" s="4">
        <v>37066</v>
      </c>
      <c r="BW45" s="4" t="s">
        <v>430</v>
      </c>
      <c r="BX45" s="4" t="s">
        <v>153</v>
      </c>
      <c r="BY45" s="4" t="s">
        <v>153</v>
      </c>
      <c r="BZ45" s="4" t="s">
        <v>153</v>
      </c>
      <c r="CA45" s="4" t="s">
        <v>153</v>
      </c>
      <c r="CB45" s="4"/>
      <c r="CC45" s="4" t="s">
        <v>430</v>
      </c>
      <c r="CD45" t="s">
        <v>153</v>
      </c>
      <c r="CE45" s="4" t="s">
        <v>800</v>
      </c>
      <c r="CF45" s="4" t="s">
        <v>801</v>
      </c>
      <c r="CG45" s="4" t="s">
        <v>802</v>
      </c>
      <c r="CH45" s="5"/>
      <c r="CI45" t="s">
        <v>153</v>
      </c>
      <c r="CJ45" s="4">
        <v>10</v>
      </c>
      <c r="CK45" t="s">
        <v>433</v>
      </c>
      <c r="CL45" t="s">
        <v>153</v>
      </c>
      <c r="CM45" t="s">
        <v>153</v>
      </c>
      <c r="CN45" t="s">
        <v>153</v>
      </c>
      <c r="CO45" s="5"/>
      <c r="CP45" s="4" t="s">
        <v>153</v>
      </c>
      <c r="CQ45" s="4" t="s">
        <v>153</v>
      </c>
      <c r="CR45" t="s">
        <v>153</v>
      </c>
      <c r="CS45" t="s">
        <v>153</v>
      </c>
      <c r="CT45" t="s">
        <v>153</v>
      </c>
      <c r="CU45" t="s">
        <v>153</v>
      </c>
      <c r="CV45" t="s">
        <v>153</v>
      </c>
      <c r="CW45" t="s">
        <v>153</v>
      </c>
      <c r="CX45" t="s">
        <v>153</v>
      </c>
      <c r="CY45" t="s">
        <v>153</v>
      </c>
      <c r="CZ45" t="s">
        <v>153</v>
      </c>
      <c r="DA45" t="s">
        <v>153</v>
      </c>
      <c r="DB45" t="s">
        <v>153</v>
      </c>
      <c r="DC45" t="s">
        <v>153</v>
      </c>
      <c r="DD45" t="s">
        <v>153</v>
      </c>
      <c r="DE45" t="s">
        <v>153</v>
      </c>
      <c r="DF45" t="s">
        <v>153</v>
      </c>
      <c r="DG45" t="s">
        <v>153</v>
      </c>
      <c r="DI45" t="s">
        <v>153</v>
      </c>
      <c r="DJ45" t="s">
        <v>153</v>
      </c>
      <c r="DK45" t="s">
        <v>153</v>
      </c>
      <c r="DL45" t="s">
        <v>153</v>
      </c>
      <c r="DN45" t="s">
        <v>153</v>
      </c>
      <c r="DO45" t="s">
        <v>153</v>
      </c>
      <c r="DP45" t="s">
        <v>153</v>
      </c>
      <c r="DQ45" t="s">
        <v>153</v>
      </c>
      <c r="DR45" t="s">
        <v>153</v>
      </c>
      <c r="DS45" t="s">
        <v>153</v>
      </c>
      <c r="DT45" t="s">
        <v>153</v>
      </c>
      <c r="DU45" t="s">
        <v>153</v>
      </c>
      <c r="DV45" t="s">
        <v>153</v>
      </c>
      <c r="DW45" t="s">
        <v>153</v>
      </c>
      <c r="DX45" s="2"/>
      <c r="DY45" t="s">
        <v>153</v>
      </c>
      <c r="DZ45" t="s">
        <v>153</v>
      </c>
      <c r="EA45" t="s">
        <v>153</v>
      </c>
      <c r="EB45" t="s">
        <v>153</v>
      </c>
      <c r="EC45" t="s">
        <v>153</v>
      </c>
      <c r="ED45" t="s">
        <v>153</v>
      </c>
      <c r="EE45" t="s">
        <v>153</v>
      </c>
      <c r="EF45" t="s">
        <v>153</v>
      </c>
      <c r="EH45" t="s">
        <v>153</v>
      </c>
      <c r="EI45" t="s">
        <v>153</v>
      </c>
      <c r="EJ45" t="s">
        <v>153</v>
      </c>
      <c r="EK45" t="s">
        <v>153</v>
      </c>
      <c r="EM45" t="s">
        <v>153</v>
      </c>
      <c r="EN45" t="s">
        <v>153</v>
      </c>
      <c r="EP45" s="4" t="s">
        <v>153</v>
      </c>
      <c r="EQ45" s="4" t="s">
        <v>153</v>
      </c>
      <c r="ER45" s="4" t="s">
        <v>191</v>
      </c>
      <c r="ES45" s="4" t="s">
        <v>153</v>
      </c>
      <c r="ET45" t="s">
        <v>153</v>
      </c>
      <c r="EU45" t="s">
        <v>803</v>
      </c>
      <c r="EV45" t="s">
        <v>804</v>
      </c>
      <c r="EW45">
        <v>1054740385</v>
      </c>
      <c r="EX45" t="s">
        <v>805</v>
      </c>
    </row>
    <row r="46" spans="1:154" x14ac:dyDescent="0.25">
      <c r="A46" s="3">
        <v>44939.690497685187</v>
      </c>
      <c r="B46" s="4" t="s">
        <v>3</v>
      </c>
      <c r="C46" s="4" t="s">
        <v>502</v>
      </c>
      <c r="D46" s="4" t="s">
        <v>503</v>
      </c>
      <c r="E46" s="4" t="s">
        <v>504</v>
      </c>
      <c r="F46" s="4" t="s">
        <v>505</v>
      </c>
      <c r="G46" s="4" t="s">
        <v>185</v>
      </c>
      <c r="H46" s="4" t="s">
        <v>506</v>
      </c>
      <c r="I46" s="4" t="s">
        <v>153</v>
      </c>
      <c r="J46" s="4" t="s">
        <v>153</v>
      </c>
      <c r="K46" s="5"/>
      <c r="L46" s="4" t="s">
        <v>153</v>
      </c>
      <c r="M46" s="4" t="s">
        <v>806</v>
      </c>
      <c r="N46" s="4" t="s">
        <v>807</v>
      </c>
      <c r="O46" s="4" t="s">
        <v>419</v>
      </c>
      <c r="P46" s="4" t="s">
        <v>808</v>
      </c>
      <c r="Q46" s="4" t="s">
        <v>190</v>
      </c>
      <c r="R46" s="4" t="s">
        <v>308</v>
      </c>
      <c r="S46" s="4" t="s">
        <v>153</v>
      </c>
      <c r="T46" s="4" t="s">
        <v>809</v>
      </c>
      <c r="U46" s="4" t="s">
        <v>810</v>
      </c>
      <c r="V46" s="4" t="s">
        <v>153</v>
      </c>
      <c r="W46" s="4" t="s">
        <v>811</v>
      </c>
      <c r="X46" s="4" t="s">
        <v>589</v>
      </c>
      <c r="Y46" s="4" t="s">
        <v>812</v>
      </c>
      <c r="Z46" s="4" t="s">
        <v>197</v>
      </c>
      <c r="AA46" s="4" t="s">
        <v>813</v>
      </c>
      <c r="AB46" s="4" t="s">
        <v>153</v>
      </c>
      <c r="AC46" s="4" t="s">
        <v>814</v>
      </c>
      <c r="AD46" s="4" t="s">
        <v>589</v>
      </c>
      <c r="AE46" s="4" t="s">
        <v>815</v>
      </c>
      <c r="AF46" s="4" t="s">
        <v>816</v>
      </c>
      <c r="AG46" s="4" t="s">
        <v>817</v>
      </c>
      <c r="AH46" s="4" t="s">
        <v>818</v>
      </c>
      <c r="AI46" s="5">
        <v>44287</v>
      </c>
      <c r="AJ46" t="s">
        <v>819</v>
      </c>
      <c r="AK46" s="4">
        <v>0</v>
      </c>
      <c r="AL46" t="s">
        <v>153</v>
      </c>
      <c r="AM46" t="s">
        <v>153</v>
      </c>
      <c r="AO46" t="s">
        <v>153</v>
      </c>
      <c r="AP46" s="4"/>
      <c r="AQ46" t="s">
        <v>153</v>
      </c>
      <c r="AR46" s="5"/>
      <c r="AT46" s="4" t="s">
        <v>153</v>
      </c>
      <c r="AU46" s="4" t="s">
        <v>153</v>
      </c>
      <c r="AV46" s="4" t="s">
        <v>153</v>
      </c>
      <c r="AW46" t="s">
        <v>153</v>
      </c>
      <c r="AX46" t="s">
        <v>153</v>
      </c>
      <c r="AY46" t="s">
        <v>153</v>
      </c>
      <c r="AZ46" t="s">
        <v>153</v>
      </c>
      <c r="BA46" t="s">
        <v>153</v>
      </c>
      <c r="BB46" t="s">
        <v>153</v>
      </c>
      <c r="BC46" t="s">
        <v>153</v>
      </c>
      <c r="BD46" s="4" t="s">
        <v>153</v>
      </c>
      <c r="BE46" s="4" t="s">
        <v>153</v>
      </c>
      <c r="BF46" t="s">
        <v>153</v>
      </c>
      <c r="BG46" s="4" t="s">
        <v>153</v>
      </c>
      <c r="BH46" t="s">
        <v>153</v>
      </c>
      <c r="BI46" s="4" t="s">
        <v>153</v>
      </c>
      <c r="BJ46" t="s">
        <v>153</v>
      </c>
      <c r="BK46" s="4" t="s">
        <v>153</v>
      </c>
      <c r="BL46" t="s">
        <v>153</v>
      </c>
      <c r="BM46" t="s">
        <v>153</v>
      </c>
      <c r="BN46" s="4" t="s">
        <v>153</v>
      </c>
      <c r="BO46" s="4" t="s">
        <v>153</v>
      </c>
      <c r="BP46" s="4" t="s">
        <v>153</v>
      </c>
      <c r="BQ46" s="4" t="s">
        <v>153</v>
      </c>
      <c r="BR46" s="4" t="s">
        <v>153</v>
      </c>
      <c r="BS46" s="4" t="s">
        <v>153</v>
      </c>
      <c r="BT46" s="4" t="s">
        <v>153</v>
      </c>
      <c r="BU46" s="4" t="s">
        <v>153</v>
      </c>
      <c r="BV46" s="4"/>
      <c r="BW46" s="4" t="s">
        <v>153</v>
      </c>
      <c r="BX46" s="4" t="s">
        <v>153</v>
      </c>
      <c r="BY46" s="4" t="s">
        <v>153</v>
      </c>
      <c r="BZ46" s="4" t="s">
        <v>153</v>
      </c>
      <c r="CA46" s="4" t="s">
        <v>153</v>
      </c>
      <c r="CB46" s="4"/>
      <c r="CC46" s="4" t="s">
        <v>153</v>
      </c>
      <c r="CD46" t="s">
        <v>153</v>
      </c>
      <c r="CE46" s="4" t="s">
        <v>153</v>
      </c>
      <c r="CF46" s="4" t="s">
        <v>153</v>
      </c>
      <c r="CG46" s="4" t="s">
        <v>153</v>
      </c>
      <c r="CH46" s="5"/>
      <c r="CI46" t="s">
        <v>153</v>
      </c>
      <c r="CJ46" s="4"/>
      <c r="CK46" t="s">
        <v>153</v>
      </c>
      <c r="CL46" t="s">
        <v>153</v>
      </c>
      <c r="CM46" t="s">
        <v>153</v>
      </c>
      <c r="CN46" t="s">
        <v>153</v>
      </c>
      <c r="CO46" s="5"/>
      <c r="CP46" s="4" t="s">
        <v>153</v>
      </c>
      <c r="CQ46" s="4" t="s">
        <v>153</v>
      </c>
      <c r="CR46" t="s">
        <v>153</v>
      </c>
      <c r="CS46" t="s">
        <v>153</v>
      </c>
      <c r="CT46" t="s">
        <v>153</v>
      </c>
      <c r="CU46" t="s">
        <v>153</v>
      </c>
      <c r="CV46" t="s">
        <v>153</v>
      </c>
      <c r="CW46" t="s">
        <v>153</v>
      </c>
      <c r="CX46" t="s">
        <v>153</v>
      </c>
      <c r="CY46" t="s">
        <v>153</v>
      </c>
      <c r="CZ46" t="s">
        <v>153</v>
      </c>
      <c r="DA46" t="s">
        <v>153</v>
      </c>
      <c r="DB46" t="s">
        <v>153</v>
      </c>
      <c r="DC46" t="s">
        <v>153</v>
      </c>
      <c r="DD46" t="s">
        <v>153</v>
      </c>
      <c r="DE46" t="s">
        <v>153</v>
      </c>
      <c r="DF46" t="s">
        <v>153</v>
      </c>
      <c r="DG46" t="s">
        <v>153</v>
      </c>
      <c r="DI46" t="s">
        <v>153</v>
      </c>
      <c r="DJ46" t="s">
        <v>153</v>
      </c>
      <c r="DK46" t="s">
        <v>153</v>
      </c>
      <c r="DL46" t="s">
        <v>153</v>
      </c>
      <c r="DN46" t="s">
        <v>153</v>
      </c>
      <c r="DO46" t="s">
        <v>153</v>
      </c>
      <c r="DP46" t="s">
        <v>153</v>
      </c>
      <c r="DQ46" t="s">
        <v>153</v>
      </c>
      <c r="DR46" t="s">
        <v>153</v>
      </c>
      <c r="DS46" t="s">
        <v>153</v>
      </c>
      <c r="DT46" t="s">
        <v>153</v>
      </c>
      <c r="DU46" t="s">
        <v>153</v>
      </c>
      <c r="DV46" t="s">
        <v>153</v>
      </c>
      <c r="DW46" t="s">
        <v>153</v>
      </c>
      <c r="DX46" s="2"/>
      <c r="DY46" t="s">
        <v>153</v>
      </c>
      <c r="DZ46" t="s">
        <v>153</v>
      </c>
      <c r="EA46" t="s">
        <v>153</v>
      </c>
      <c r="EB46" t="s">
        <v>153</v>
      </c>
      <c r="EC46" t="s">
        <v>153</v>
      </c>
      <c r="ED46" t="s">
        <v>153</v>
      </c>
      <c r="EE46" t="s">
        <v>153</v>
      </c>
      <c r="EF46" t="s">
        <v>153</v>
      </c>
      <c r="EH46" t="s">
        <v>153</v>
      </c>
      <c r="EI46" t="s">
        <v>153</v>
      </c>
      <c r="EJ46" t="s">
        <v>153</v>
      </c>
      <c r="EK46" t="s">
        <v>153</v>
      </c>
      <c r="EM46" t="s">
        <v>153</v>
      </c>
      <c r="EN46" t="s">
        <v>153</v>
      </c>
      <c r="EP46" s="4" t="s">
        <v>153</v>
      </c>
      <c r="EQ46" s="4" t="s">
        <v>153</v>
      </c>
      <c r="ER46" s="4" t="s">
        <v>191</v>
      </c>
      <c r="ES46" s="4" t="s">
        <v>153</v>
      </c>
      <c r="ET46" t="s">
        <v>820</v>
      </c>
      <c r="EU46" t="s">
        <v>821</v>
      </c>
      <c r="EV46" t="s">
        <v>519</v>
      </c>
      <c r="EW46">
        <v>1057143262</v>
      </c>
      <c r="EX46" t="s">
        <v>520</v>
      </c>
    </row>
    <row r="47" spans="1:154" x14ac:dyDescent="0.25">
      <c r="A47" s="3">
        <v>44950.79787037037</v>
      </c>
      <c r="B47" s="4" t="s">
        <v>3</v>
      </c>
      <c r="C47" s="4" t="s">
        <v>822</v>
      </c>
      <c r="D47" s="4" t="s">
        <v>823</v>
      </c>
      <c r="E47" s="4" t="s">
        <v>824</v>
      </c>
      <c r="F47" s="4" t="s">
        <v>825</v>
      </c>
      <c r="G47" s="4" t="s">
        <v>185</v>
      </c>
      <c r="H47" s="4" t="s">
        <v>826</v>
      </c>
      <c r="I47" s="4" t="s">
        <v>153</v>
      </c>
      <c r="J47" s="4" t="s">
        <v>153</v>
      </c>
      <c r="K47" s="5"/>
      <c r="L47" s="4" t="s">
        <v>153</v>
      </c>
      <c r="M47" s="4" t="s">
        <v>827</v>
      </c>
      <c r="N47" s="4" t="s">
        <v>828</v>
      </c>
      <c r="O47" s="4" t="s">
        <v>829</v>
      </c>
      <c r="P47" s="4" t="s">
        <v>830</v>
      </c>
      <c r="Q47" s="4" t="s">
        <v>190</v>
      </c>
      <c r="R47" s="4" t="s">
        <v>191</v>
      </c>
      <c r="S47" s="4" t="s">
        <v>831</v>
      </c>
      <c r="T47" s="4" t="s">
        <v>153</v>
      </c>
      <c r="U47" s="4" t="s">
        <v>832</v>
      </c>
      <c r="V47" s="4" t="s">
        <v>153</v>
      </c>
      <c r="W47" s="4" t="s">
        <v>833</v>
      </c>
      <c r="X47" s="4" t="s">
        <v>347</v>
      </c>
      <c r="Y47" s="4" t="s">
        <v>834</v>
      </c>
      <c r="Z47" s="4" t="s">
        <v>835</v>
      </c>
      <c r="AA47" s="4" t="s">
        <v>836</v>
      </c>
      <c r="AB47" s="4" t="s">
        <v>153</v>
      </c>
      <c r="AC47" s="4" t="s">
        <v>837</v>
      </c>
      <c r="AD47" s="4" t="s">
        <v>347</v>
      </c>
      <c r="AE47" s="4" t="s">
        <v>838</v>
      </c>
      <c r="AF47" s="4" t="s">
        <v>839</v>
      </c>
      <c r="AG47" s="4" t="s">
        <v>840</v>
      </c>
      <c r="AH47" s="4" t="s">
        <v>153</v>
      </c>
      <c r="AI47" s="5">
        <v>44774</v>
      </c>
      <c r="AJ47" t="s">
        <v>153</v>
      </c>
      <c r="AK47" s="4"/>
      <c r="AL47" t="s">
        <v>841</v>
      </c>
      <c r="AM47" t="s">
        <v>153</v>
      </c>
      <c r="AO47" t="s">
        <v>153</v>
      </c>
      <c r="AP47" s="4"/>
      <c r="AQ47" t="s">
        <v>153</v>
      </c>
      <c r="AR47" s="5"/>
      <c r="AT47" s="4" t="s">
        <v>153</v>
      </c>
      <c r="AU47" s="4" t="s">
        <v>153</v>
      </c>
      <c r="AV47" s="4" t="s">
        <v>153</v>
      </c>
      <c r="AW47" t="s">
        <v>153</v>
      </c>
      <c r="AX47" t="s">
        <v>153</v>
      </c>
      <c r="AY47" t="s">
        <v>153</v>
      </c>
      <c r="AZ47" t="s">
        <v>153</v>
      </c>
      <c r="BA47" t="s">
        <v>153</v>
      </c>
      <c r="BB47" t="s">
        <v>153</v>
      </c>
      <c r="BC47" t="s">
        <v>153</v>
      </c>
      <c r="BD47" s="4" t="s">
        <v>153</v>
      </c>
      <c r="BE47" s="4" t="s">
        <v>153</v>
      </c>
      <c r="BF47" t="s">
        <v>153</v>
      </c>
      <c r="BG47" s="4" t="s">
        <v>153</v>
      </c>
      <c r="BH47" t="s">
        <v>153</v>
      </c>
      <c r="BI47" s="4" t="s">
        <v>153</v>
      </c>
      <c r="BJ47" t="s">
        <v>153</v>
      </c>
      <c r="BK47" s="4" t="s">
        <v>153</v>
      </c>
      <c r="BL47" t="s">
        <v>153</v>
      </c>
      <c r="BM47" t="s">
        <v>153</v>
      </c>
      <c r="BN47" s="4" t="s">
        <v>153</v>
      </c>
      <c r="BO47" s="4" t="s">
        <v>153</v>
      </c>
      <c r="BP47" s="4" t="s">
        <v>153</v>
      </c>
      <c r="BQ47" s="4" t="s">
        <v>153</v>
      </c>
      <c r="BR47" s="4" t="s">
        <v>153</v>
      </c>
      <c r="BS47" s="4" t="s">
        <v>153</v>
      </c>
      <c r="BT47" s="4" t="s">
        <v>153</v>
      </c>
      <c r="BU47" s="4" t="s">
        <v>153</v>
      </c>
      <c r="BV47" s="4"/>
      <c r="BW47" s="4" t="s">
        <v>153</v>
      </c>
      <c r="BX47" s="4" t="s">
        <v>153</v>
      </c>
      <c r="BY47" s="4" t="s">
        <v>153</v>
      </c>
      <c r="BZ47" s="4" t="s">
        <v>153</v>
      </c>
      <c r="CA47" s="4" t="s">
        <v>153</v>
      </c>
      <c r="CB47" s="4"/>
      <c r="CC47" s="4" t="s">
        <v>153</v>
      </c>
      <c r="CD47" t="s">
        <v>153</v>
      </c>
      <c r="CE47" s="4" t="s">
        <v>153</v>
      </c>
      <c r="CF47" s="4" t="s">
        <v>153</v>
      </c>
      <c r="CG47" s="4" t="s">
        <v>153</v>
      </c>
      <c r="CH47" s="5"/>
      <c r="CI47" t="s">
        <v>153</v>
      </c>
      <c r="CJ47" s="4"/>
      <c r="CK47" t="s">
        <v>153</v>
      </c>
      <c r="CL47" t="s">
        <v>153</v>
      </c>
      <c r="CM47" t="s">
        <v>153</v>
      </c>
      <c r="CN47" t="s">
        <v>153</v>
      </c>
      <c r="CO47" s="5"/>
      <c r="CP47" s="4" t="s">
        <v>153</v>
      </c>
      <c r="CQ47" s="4" t="s">
        <v>153</v>
      </c>
      <c r="CR47" t="s">
        <v>153</v>
      </c>
      <c r="CS47" t="s">
        <v>153</v>
      </c>
      <c r="CT47" t="s">
        <v>153</v>
      </c>
      <c r="CU47" t="s">
        <v>153</v>
      </c>
      <c r="CV47" t="s">
        <v>153</v>
      </c>
      <c r="CW47" t="s">
        <v>153</v>
      </c>
      <c r="CX47" t="s">
        <v>153</v>
      </c>
      <c r="CY47" t="s">
        <v>153</v>
      </c>
      <c r="CZ47" t="s">
        <v>153</v>
      </c>
      <c r="DA47" t="s">
        <v>153</v>
      </c>
      <c r="DB47" t="s">
        <v>153</v>
      </c>
      <c r="DC47" t="s">
        <v>153</v>
      </c>
      <c r="DD47" t="s">
        <v>153</v>
      </c>
      <c r="DE47" t="s">
        <v>153</v>
      </c>
      <c r="DF47" t="s">
        <v>153</v>
      </c>
      <c r="DG47" t="s">
        <v>153</v>
      </c>
      <c r="DI47" t="s">
        <v>153</v>
      </c>
      <c r="DJ47" t="s">
        <v>153</v>
      </c>
      <c r="DK47" t="s">
        <v>153</v>
      </c>
      <c r="DL47" t="s">
        <v>153</v>
      </c>
      <c r="DN47" t="s">
        <v>153</v>
      </c>
      <c r="DO47" t="s">
        <v>153</v>
      </c>
      <c r="DP47" t="s">
        <v>153</v>
      </c>
      <c r="DQ47" t="s">
        <v>153</v>
      </c>
      <c r="DR47" t="s">
        <v>153</v>
      </c>
      <c r="DS47" t="s">
        <v>153</v>
      </c>
      <c r="DT47" t="s">
        <v>153</v>
      </c>
      <c r="DU47" t="s">
        <v>153</v>
      </c>
      <c r="DV47" t="s">
        <v>153</v>
      </c>
      <c r="DW47" t="s">
        <v>153</v>
      </c>
      <c r="DX47" s="2"/>
      <c r="DY47" t="s">
        <v>153</v>
      </c>
      <c r="DZ47" t="s">
        <v>153</v>
      </c>
      <c r="EA47" t="s">
        <v>153</v>
      </c>
      <c r="EB47" t="s">
        <v>153</v>
      </c>
      <c r="EC47" t="s">
        <v>153</v>
      </c>
      <c r="ED47" t="s">
        <v>153</v>
      </c>
      <c r="EE47" t="s">
        <v>153</v>
      </c>
      <c r="EF47" t="s">
        <v>153</v>
      </c>
      <c r="EH47" t="s">
        <v>153</v>
      </c>
      <c r="EI47" t="s">
        <v>153</v>
      </c>
      <c r="EJ47" t="s">
        <v>153</v>
      </c>
      <c r="EK47" t="s">
        <v>153</v>
      </c>
      <c r="EM47" t="s">
        <v>153</v>
      </c>
      <c r="EN47" t="s">
        <v>153</v>
      </c>
      <c r="EP47" s="4" t="s">
        <v>243</v>
      </c>
      <c r="EQ47" s="4" t="s">
        <v>842</v>
      </c>
      <c r="ER47" s="4" t="s">
        <v>205</v>
      </c>
      <c r="ES47" s="4" t="s">
        <v>153</v>
      </c>
      <c r="ET47" t="s">
        <v>843</v>
      </c>
      <c r="EU47" t="s">
        <v>844</v>
      </c>
      <c r="EV47" t="s">
        <v>845</v>
      </c>
      <c r="EW47">
        <v>1061098745</v>
      </c>
      <c r="EX47" t="s">
        <v>846</v>
      </c>
    </row>
    <row r="48" spans="1:154" x14ac:dyDescent="0.25">
      <c r="A48" s="3">
        <v>44959.798298611109</v>
      </c>
      <c r="B48" s="4" t="s">
        <v>3</v>
      </c>
      <c r="C48" s="4" t="s">
        <v>822</v>
      </c>
      <c r="D48" s="4" t="s">
        <v>823</v>
      </c>
      <c r="E48" s="4" t="s">
        <v>824</v>
      </c>
      <c r="F48" s="4" t="s">
        <v>825</v>
      </c>
      <c r="G48" s="4" t="s">
        <v>185</v>
      </c>
      <c r="H48" s="4" t="s">
        <v>826</v>
      </c>
      <c r="I48" s="4" t="s">
        <v>153</v>
      </c>
      <c r="J48" s="4" t="s">
        <v>153</v>
      </c>
      <c r="K48" s="5"/>
      <c r="L48" s="4" t="s">
        <v>153</v>
      </c>
      <c r="M48" s="4" t="s">
        <v>847</v>
      </c>
      <c r="N48" s="4" t="s">
        <v>848</v>
      </c>
      <c r="O48" s="4" t="s">
        <v>849</v>
      </c>
      <c r="P48" s="4" t="s">
        <v>850</v>
      </c>
      <c r="Q48" s="4" t="s">
        <v>190</v>
      </c>
      <c r="R48" s="4" t="s">
        <v>191</v>
      </c>
      <c r="S48" s="4" t="s">
        <v>851</v>
      </c>
      <c r="T48" s="4" t="s">
        <v>153</v>
      </c>
      <c r="U48" s="4" t="s">
        <v>852</v>
      </c>
      <c r="V48" s="4" t="s">
        <v>153</v>
      </c>
      <c r="W48" s="4" t="s">
        <v>853</v>
      </c>
      <c r="X48" s="4" t="s">
        <v>347</v>
      </c>
      <c r="Y48" s="4" t="s">
        <v>854</v>
      </c>
      <c r="Z48" s="4" t="s">
        <v>197</v>
      </c>
      <c r="AA48" s="4" t="s">
        <v>855</v>
      </c>
      <c r="AB48" s="4" t="s">
        <v>856</v>
      </c>
      <c r="AC48" s="4" t="s">
        <v>853</v>
      </c>
      <c r="AD48" s="4" t="s">
        <v>347</v>
      </c>
      <c r="AE48" s="4" t="s">
        <v>857</v>
      </c>
      <c r="AF48" s="4" t="s">
        <v>858</v>
      </c>
      <c r="AG48" s="4" t="s">
        <v>859</v>
      </c>
      <c r="AH48" s="4" t="s">
        <v>153</v>
      </c>
      <c r="AI48" s="5">
        <v>44990</v>
      </c>
      <c r="AJ48" t="s">
        <v>153</v>
      </c>
      <c r="AK48" s="4"/>
      <c r="AL48" t="s">
        <v>860</v>
      </c>
      <c r="AM48" t="s">
        <v>153</v>
      </c>
      <c r="AO48" t="s">
        <v>153</v>
      </c>
      <c r="AP48" s="4"/>
      <c r="AQ48" t="s">
        <v>153</v>
      </c>
      <c r="AR48" s="5"/>
      <c r="AT48" s="4" t="s">
        <v>153</v>
      </c>
      <c r="AU48" s="4" t="s">
        <v>153</v>
      </c>
      <c r="AV48" s="4" t="s">
        <v>153</v>
      </c>
      <c r="AW48" t="s">
        <v>153</v>
      </c>
      <c r="AX48" t="s">
        <v>153</v>
      </c>
      <c r="AY48" t="s">
        <v>153</v>
      </c>
      <c r="AZ48" t="s">
        <v>153</v>
      </c>
      <c r="BA48" t="s">
        <v>153</v>
      </c>
      <c r="BB48" t="s">
        <v>153</v>
      </c>
      <c r="BC48" t="s">
        <v>153</v>
      </c>
      <c r="BD48" s="4" t="s">
        <v>153</v>
      </c>
      <c r="BE48" s="4" t="s">
        <v>153</v>
      </c>
      <c r="BF48" t="s">
        <v>153</v>
      </c>
      <c r="BG48" s="4" t="s">
        <v>153</v>
      </c>
      <c r="BH48" t="s">
        <v>153</v>
      </c>
      <c r="BI48" s="4" t="s">
        <v>153</v>
      </c>
      <c r="BJ48" t="s">
        <v>153</v>
      </c>
      <c r="BK48" s="4" t="s">
        <v>153</v>
      </c>
      <c r="BL48" t="s">
        <v>153</v>
      </c>
      <c r="BM48" t="s">
        <v>153</v>
      </c>
      <c r="BN48" s="4" t="s">
        <v>153</v>
      </c>
      <c r="BO48" s="4" t="s">
        <v>153</v>
      </c>
      <c r="BP48" s="4" t="s">
        <v>153</v>
      </c>
      <c r="BQ48" s="4" t="s">
        <v>153</v>
      </c>
      <c r="BR48" s="4" t="s">
        <v>153</v>
      </c>
      <c r="BS48" s="4" t="s">
        <v>153</v>
      </c>
      <c r="BT48" s="4" t="s">
        <v>153</v>
      </c>
      <c r="BU48" s="4" t="s">
        <v>153</v>
      </c>
      <c r="BV48" s="4"/>
      <c r="BW48" s="4" t="s">
        <v>153</v>
      </c>
      <c r="BX48" s="4" t="s">
        <v>153</v>
      </c>
      <c r="BY48" s="4" t="s">
        <v>153</v>
      </c>
      <c r="BZ48" s="4" t="s">
        <v>153</v>
      </c>
      <c r="CA48" s="4" t="s">
        <v>153</v>
      </c>
      <c r="CB48" s="4"/>
      <c r="CC48" s="4" t="s">
        <v>153</v>
      </c>
      <c r="CD48" t="s">
        <v>153</v>
      </c>
      <c r="CE48" s="4" t="s">
        <v>153</v>
      </c>
      <c r="CF48" s="4" t="s">
        <v>153</v>
      </c>
      <c r="CG48" s="4" t="s">
        <v>153</v>
      </c>
      <c r="CH48" s="5"/>
      <c r="CI48" t="s">
        <v>153</v>
      </c>
      <c r="CJ48" s="4"/>
      <c r="CK48" t="s">
        <v>153</v>
      </c>
      <c r="CL48" t="s">
        <v>153</v>
      </c>
      <c r="CM48" t="s">
        <v>153</v>
      </c>
      <c r="CN48" t="s">
        <v>153</v>
      </c>
      <c r="CO48" s="5"/>
      <c r="CP48" s="4" t="s">
        <v>153</v>
      </c>
      <c r="CQ48" s="4" t="s">
        <v>153</v>
      </c>
      <c r="CR48" t="s">
        <v>153</v>
      </c>
      <c r="CS48" t="s">
        <v>153</v>
      </c>
      <c r="CT48" t="s">
        <v>153</v>
      </c>
      <c r="CU48" t="s">
        <v>153</v>
      </c>
      <c r="CV48" t="s">
        <v>153</v>
      </c>
      <c r="CW48" t="s">
        <v>153</v>
      </c>
      <c r="CX48" t="s">
        <v>153</v>
      </c>
      <c r="CY48" t="s">
        <v>153</v>
      </c>
      <c r="CZ48" t="s">
        <v>153</v>
      </c>
      <c r="DA48" t="s">
        <v>153</v>
      </c>
      <c r="DB48" t="s">
        <v>153</v>
      </c>
      <c r="DC48" t="s">
        <v>153</v>
      </c>
      <c r="DD48" t="s">
        <v>153</v>
      </c>
      <c r="DE48" t="s">
        <v>153</v>
      </c>
      <c r="DF48" t="s">
        <v>153</v>
      </c>
      <c r="DG48" t="s">
        <v>153</v>
      </c>
      <c r="DI48" t="s">
        <v>153</v>
      </c>
      <c r="DJ48" t="s">
        <v>153</v>
      </c>
      <c r="DK48" t="s">
        <v>153</v>
      </c>
      <c r="DL48" t="s">
        <v>153</v>
      </c>
      <c r="DN48" t="s">
        <v>153</v>
      </c>
      <c r="DO48" t="s">
        <v>153</v>
      </c>
      <c r="DP48" t="s">
        <v>153</v>
      </c>
      <c r="DQ48" t="s">
        <v>153</v>
      </c>
      <c r="DR48" t="s">
        <v>153</v>
      </c>
      <c r="DS48" t="s">
        <v>153</v>
      </c>
      <c r="DT48" t="s">
        <v>153</v>
      </c>
      <c r="DU48" t="s">
        <v>153</v>
      </c>
      <c r="DV48" t="s">
        <v>153</v>
      </c>
      <c r="DW48" t="s">
        <v>153</v>
      </c>
      <c r="DX48" s="2"/>
      <c r="DY48" t="s">
        <v>153</v>
      </c>
      <c r="DZ48" t="s">
        <v>153</v>
      </c>
      <c r="EA48" t="s">
        <v>153</v>
      </c>
      <c r="EB48" t="s">
        <v>153</v>
      </c>
      <c r="EC48" t="s">
        <v>153</v>
      </c>
      <c r="ED48" t="s">
        <v>153</v>
      </c>
      <c r="EE48" t="s">
        <v>153</v>
      </c>
      <c r="EF48" t="s">
        <v>153</v>
      </c>
      <c r="EH48" t="s">
        <v>153</v>
      </c>
      <c r="EI48" t="s">
        <v>153</v>
      </c>
      <c r="EJ48" t="s">
        <v>153</v>
      </c>
      <c r="EK48" t="s">
        <v>153</v>
      </c>
      <c r="EM48" t="s">
        <v>153</v>
      </c>
      <c r="EN48" t="s">
        <v>153</v>
      </c>
      <c r="EP48" s="4" t="s">
        <v>243</v>
      </c>
      <c r="EQ48" s="4" t="s">
        <v>842</v>
      </c>
      <c r="ER48" s="4" t="s">
        <v>205</v>
      </c>
      <c r="ES48" s="4" t="s">
        <v>153</v>
      </c>
      <c r="ET48" t="s">
        <v>861</v>
      </c>
      <c r="EU48" t="s">
        <v>844</v>
      </c>
      <c r="EV48" t="s">
        <v>845</v>
      </c>
      <c r="EW48">
        <v>1064458370</v>
      </c>
      <c r="EX48" t="s">
        <v>846</v>
      </c>
    </row>
    <row r="49" spans="1:154" x14ac:dyDescent="0.25">
      <c r="A49" s="3">
        <v>44966.627071759256</v>
      </c>
      <c r="B49" s="4" t="s">
        <v>3</v>
      </c>
      <c r="C49" s="4" t="s">
        <v>222</v>
      </c>
      <c r="D49" s="4" t="s">
        <v>223</v>
      </c>
      <c r="E49" s="4" t="s">
        <v>224</v>
      </c>
      <c r="F49" s="4" t="s">
        <v>225</v>
      </c>
      <c r="G49" s="4" t="s">
        <v>185</v>
      </c>
      <c r="H49" s="4" t="s">
        <v>226</v>
      </c>
      <c r="I49" s="4" t="s">
        <v>153</v>
      </c>
      <c r="J49" s="4" t="s">
        <v>153</v>
      </c>
      <c r="K49" s="5"/>
      <c r="L49" s="4" t="s">
        <v>153</v>
      </c>
      <c r="M49" s="4" t="s">
        <v>862</v>
      </c>
      <c r="N49" s="4" t="s">
        <v>863</v>
      </c>
      <c r="O49" s="4" t="s">
        <v>864</v>
      </c>
      <c r="P49" s="4" t="s">
        <v>865</v>
      </c>
      <c r="Q49" s="4" t="s">
        <v>190</v>
      </c>
      <c r="R49" s="4" t="s">
        <v>191</v>
      </c>
      <c r="S49" s="4" t="s">
        <v>866</v>
      </c>
      <c r="T49" s="4" t="s">
        <v>867</v>
      </c>
      <c r="U49" s="4" t="s">
        <v>868</v>
      </c>
      <c r="V49" s="4" t="s">
        <v>153</v>
      </c>
      <c r="W49" s="4" t="s">
        <v>869</v>
      </c>
      <c r="X49" s="4" t="s">
        <v>870</v>
      </c>
      <c r="Y49" s="4" t="s">
        <v>871</v>
      </c>
      <c r="Z49" s="4" t="s">
        <v>237</v>
      </c>
      <c r="AA49" s="4" t="s">
        <v>872</v>
      </c>
      <c r="AB49" s="4" t="s">
        <v>153</v>
      </c>
      <c r="AC49" s="4" t="s">
        <v>869</v>
      </c>
      <c r="AD49" s="4" t="s">
        <v>870</v>
      </c>
      <c r="AE49" s="4" t="s">
        <v>871</v>
      </c>
      <c r="AF49" s="4" t="s">
        <v>873</v>
      </c>
      <c r="AG49" s="4" t="s">
        <v>874</v>
      </c>
      <c r="AH49" s="4" t="s">
        <v>875</v>
      </c>
      <c r="AI49" s="5">
        <v>44981</v>
      </c>
      <c r="AJ49" t="s">
        <v>153</v>
      </c>
      <c r="AK49" s="4"/>
      <c r="AL49" t="s">
        <v>153</v>
      </c>
      <c r="AM49" t="s">
        <v>153</v>
      </c>
      <c r="AO49" t="s">
        <v>153</v>
      </c>
      <c r="AP49" s="4"/>
      <c r="AQ49" t="s">
        <v>153</v>
      </c>
      <c r="AR49" s="5"/>
      <c r="AT49" s="4" t="s">
        <v>153</v>
      </c>
      <c r="AU49" s="4" t="s">
        <v>153</v>
      </c>
      <c r="AV49" s="4" t="s">
        <v>153</v>
      </c>
      <c r="AW49" t="s">
        <v>153</v>
      </c>
      <c r="AX49" t="s">
        <v>153</v>
      </c>
      <c r="AY49" t="s">
        <v>153</v>
      </c>
      <c r="AZ49" t="s">
        <v>153</v>
      </c>
      <c r="BA49" t="s">
        <v>153</v>
      </c>
      <c r="BB49" t="s">
        <v>153</v>
      </c>
      <c r="BC49" t="s">
        <v>153</v>
      </c>
      <c r="BD49" s="4" t="s">
        <v>153</v>
      </c>
      <c r="BE49" s="4" t="s">
        <v>153</v>
      </c>
      <c r="BF49" t="s">
        <v>153</v>
      </c>
      <c r="BG49" s="4" t="s">
        <v>153</v>
      </c>
      <c r="BH49" t="s">
        <v>153</v>
      </c>
      <c r="BI49" s="4" t="s">
        <v>153</v>
      </c>
      <c r="BJ49" t="s">
        <v>153</v>
      </c>
      <c r="BK49" s="4" t="s">
        <v>153</v>
      </c>
      <c r="BL49" t="s">
        <v>153</v>
      </c>
      <c r="BM49" t="s">
        <v>153</v>
      </c>
      <c r="BN49" s="4" t="s">
        <v>153</v>
      </c>
      <c r="BO49" s="4" t="s">
        <v>153</v>
      </c>
      <c r="BP49" s="4" t="s">
        <v>153</v>
      </c>
      <c r="BQ49" s="4" t="s">
        <v>153</v>
      </c>
      <c r="BR49" s="4" t="s">
        <v>153</v>
      </c>
      <c r="BS49" s="4" t="s">
        <v>153</v>
      </c>
      <c r="BT49" s="4" t="s">
        <v>153</v>
      </c>
      <c r="BU49" s="4" t="s">
        <v>153</v>
      </c>
      <c r="BV49" s="4"/>
      <c r="BW49" s="4" t="s">
        <v>153</v>
      </c>
      <c r="BX49" s="4" t="s">
        <v>153</v>
      </c>
      <c r="BY49" s="4" t="s">
        <v>153</v>
      </c>
      <c r="BZ49" s="4" t="s">
        <v>153</v>
      </c>
      <c r="CA49" s="4" t="s">
        <v>153</v>
      </c>
      <c r="CB49" s="4"/>
      <c r="CC49" s="4" t="s">
        <v>153</v>
      </c>
      <c r="CD49" t="s">
        <v>153</v>
      </c>
      <c r="CE49" s="4" t="s">
        <v>153</v>
      </c>
      <c r="CF49" s="4" t="s">
        <v>153</v>
      </c>
      <c r="CG49" s="4" t="s">
        <v>153</v>
      </c>
      <c r="CH49" s="5"/>
      <c r="CI49" t="s">
        <v>153</v>
      </c>
      <c r="CJ49" s="4"/>
      <c r="CK49" t="s">
        <v>153</v>
      </c>
      <c r="CL49" t="s">
        <v>153</v>
      </c>
      <c r="CM49" t="s">
        <v>153</v>
      </c>
      <c r="CN49" t="s">
        <v>153</v>
      </c>
      <c r="CO49" s="5"/>
      <c r="CP49" s="4" t="s">
        <v>153</v>
      </c>
      <c r="CQ49" s="4" t="s">
        <v>153</v>
      </c>
      <c r="CR49" t="s">
        <v>153</v>
      </c>
      <c r="CS49" t="s">
        <v>153</v>
      </c>
      <c r="CT49" t="s">
        <v>153</v>
      </c>
      <c r="CU49" t="s">
        <v>153</v>
      </c>
      <c r="CV49" t="s">
        <v>153</v>
      </c>
      <c r="CW49" t="s">
        <v>153</v>
      </c>
      <c r="CX49" t="s">
        <v>153</v>
      </c>
      <c r="CY49" t="s">
        <v>153</v>
      </c>
      <c r="CZ49" t="s">
        <v>153</v>
      </c>
      <c r="DA49" t="s">
        <v>153</v>
      </c>
      <c r="DB49" t="s">
        <v>153</v>
      </c>
      <c r="DC49" t="s">
        <v>153</v>
      </c>
      <c r="DD49" t="s">
        <v>153</v>
      </c>
      <c r="DE49" t="s">
        <v>153</v>
      </c>
      <c r="DF49" t="s">
        <v>153</v>
      </c>
      <c r="DG49" t="s">
        <v>153</v>
      </c>
      <c r="DI49" t="s">
        <v>153</v>
      </c>
      <c r="DJ49" t="s">
        <v>153</v>
      </c>
      <c r="DK49" t="s">
        <v>153</v>
      </c>
      <c r="DL49" t="s">
        <v>153</v>
      </c>
      <c r="DN49" t="s">
        <v>153</v>
      </c>
      <c r="DO49" t="s">
        <v>153</v>
      </c>
      <c r="DP49" t="s">
        <v>153</v>
      </c>
      <c r="DQ49" t="s">
        <v>153</v>
      </c>
      <c r="DR49" t="s">
        <v>153</v>
      </c>
      <c r="DS49" t="s">
        <v>153</v>
      </c>
      <c r="DT49" t="s">
        <v>153</v>
      </c>
      <c r="DU49" t="s">
        <v>153</v>
      </c>
      <c r="DV49" t="s">
        <v>153</v>
      </c>
      <c r="DW49" t="s">
        <v>153</v>
      </c>
      <c r="DX49" s="2"/>
      <c r="DY49" t="s">
        <v>153</v>
      </c>
      <c r="DZ49" t="s">
        <v>153</v>
      </c>
      <c r="EA49" t="s">
        <v>153</v>
      </c>
      <c r="EB49" t="s">
        <v>153</v>
      </c>
      <c r="EC49" t="s">
        <v>153</v>
      </c>
      <c r="ED49" t="s">
        <v>153</v>
      </c>
      <c r="EE49" t="s">
        <v>153</v>
      </c>
      <c r="EF49" t="s">
        <v>153</v>
      </c>
      <c r="EH49" t="s">
        <v>153</v>
      </c>
      <c r="EI49" t="s">
        <v>153</v>
      </c>
      <c r="EJ49" t="s">
        <v>153</v>
      </c>
      <c r="EK49" t="s">
        <v>153</v>
      </c>
      <c r="EM49" t="s">
        <v>153</v>
      </c>
      <c r="EN49" t="s">
        <v>153</v>
      </c>
      <c r="EP49" s="4" t="s">
        <v>242</v>
      </c>
      <c r="EQ49" s="4" t="s">
        <v>153</v>
      </c>
      <c r="ER49" s="4" t="s">
        <v>191</v>
      </c>
      <c r="ES49" s="4" t="s">
        <v>153</v>
      </c>
      <c r="ET49" t="s">
        <v>153</v>
      </c>
      <c r="EU49" t="s">
        <v>876</v>
      </c>
      <c r="EV49" t="s">
        <v>246</v>
      </c>
      <c r="EW49">
        <v>1067293099</v>
      </c>
      <c r="EX49" t="s">
        <v>247</v>
      </c>
    </row>
    <row r="50" spans="1:154" x14ac:dyDescent="0.25">
      <c r="A50" s="3">
        <v>44979.475011574075</v>
      </c>
      <c r="B50" s="4" t="s">
        <v>3</v>
      </c>
      <c r="C50" s="4" t="s">
        <v>877</v>
      </c>
      <c r="D50" s="4" t="s">
        <v>878</v>
      </c>
      <c r="E50" s="4" t="s">
        <v>879</v>
      </c>
      <c r="F50" s="4" t="s">
        <v>880</v>
      </c>
      <c r="G50" s="4" t="s">
        <v>252</v>
      </c>
      <c r="H50" s="4" t="s">
        <v>566</v>
      </c>
      <c r="I50" s="4" t="s">
        <v>153</v>
      </c>
      <c r="J50" s="4" t="s">
        <v>881</v>
      </c>
      <c r="K50" s="5"/>
      <c r="L50" s="4" t="s">
        <v>153</v>
      </c>
      <c r="M50" s="4" t="s">
        <v>153</v>
      </c>
      <c r="N50" s="4" t="s">
        <v>153</v>
      </c>
      <c r="O50" s="4" t="s">
        <v>153</v>
      </c>
      <c r="P50" s="4" t="s">
        <v>153</v>
      </c>
      <c r="Q50" s="4" t="s">
        <v>153</v>
      </c>
      <c r="R50" s="4" t="s">
        <v>153</v>
      </c>
      <c r="S50" s="4" t="s">
        <v>153</v>
      </c>
      <c r="T50" s="4" t="s">
        <v>153</v>
      </c>
      <c r="U50" s="4" t="s">
        <v>153</v>
      </c>
      <c r="V50" s="4" t="s">
        <v>153</v>
      </c>
      <c r="W50" s="4" t="s">
        <v>153</v>
      </c>
      <c r="X50" s="4" t="s">
        <v>153</v>
      </c>
      <c r="Y50" s="4" t="s">
        <v>153</v>
      </c>
      <c r="Z50" s="4" t="s">
        <v>153</v>
      </c>
      <c r="AA50" s="4" t="s">
        <v>153</v>
      </c>
      <c r="AB50" s="4" t="s">
        <v>153</v>
      </c>
      <c r="AC50" s="4" t="s">
        <v>153</v>
      </c>
      <c r="AD50" s="4" t="s">
        <v>153</v>
      </c>
      <c r="AE50" s="4" t="s">
        <v>153</v>
      </c>
      <c r="AF50" s="4" t="s">
        <v>153</v>
      </c>
      <c r="AG50" s="4" t="s">
        <v>153</v>
      </c>
      <c r="AH50" s="4" t="s">
        <v>153</v>
      </c>
      <c r="AI50" s="5"/>
      <c r="AJ50" t="s">
        <v>153</v>
      </c>
      <c r="AK50" s="4"/>
      <c r="AL50" t="s">
        <v>153</v>
      </c>
      <c r="AM50" t="s">
        <v>153</v>
      </c>
      <c r="AO50" t="s">
        <v>153</v>
      </c>
      <c r="AP50" s="4"/>
      <c r="AQ50" t="s">
        <v>153</v>
      </c>
      <c r="AR50" s="5">
        <v>44871</v>
      </c>
      <c r="AS50">
        <v>1</v>
      </c>
      <c r="AT50" s="4" t="s">
        <v>882</v>
      </c>
      <c r="AU50" s="4" t="s">
        <v>883</v>
      </c>
      <c r="AV50" s="4" t="s">
        <v>359</v>
      </c>
      <c r="AW50" t="s">
        <v>884</v>
      </c>
      <c r="AX50" t="s">
        <v>153</v>
      </c>
      <c r="AY50" t="s">
        <v>153</v>
      </c>
      <c r="AZ50" t="s">
        <v>885</v>
      </c>
      <c r="BA50" t="s">
        <v>153</v>
      </c>
      <c r="BB50" t="s">
        <v>153</v>
      </c>
      <c r="BC50" t="s">
        <v>153</v>
      </c>
      <c r="BD50" s="4" t="s">
        <v>886</v>
      </c>
      <c r="BE50" s="4" t="s">
        <v>887</v>
      </c>
      <c r="BF50" t="s">
        <v>242</v>
      </c>
      <c r="BG50" s="4" t="s">
        <v>888</v>
      </c>
      <c r="BH50" t="s">
        <v>153</v>
      </c>
      <c r="BI50" s="4" t="s">
        <v>153</v>
      </c>
      <c r="BJ50" t="s">
        <v>153</v>
      </c>
      <c r="BK50" s="4" t="s">
        <v>153</v>
      </c>
      <c r="BL50" t="s">
        <v>153</v>
      </c>
      <c r="BM50" t="s">
        <v>153</v>
      </c>
      <c r="BN50" s="4" t="s">
        <v>153</v>
      </c>
      <c r="BO50" s="4" t="s">
        <v>153</v>
      </c>
      <c r="BP50" s="4" t="s">
        <v>153</v>
      </c>
      <c r="BQ50" s="4" t="s">
        <v>153</v>
      </c>
      <c r="BR50" s="4" t="s">
        <v>153</v>
      </c>
      <c r="BS50" s="4" t="s">
        <v>153</v>
      </c>
      <c r="BT50" s="4" t="s">
        <v>153</v>
      </c>
      <c r="BU50" s="4" t="s">
        <v>153</v>
      </c>
      <c r="BV50" s="4"/>
      <c r="BW50" s="4" t="s">
        <v>153</v>
      </c>
      <c r="BX50" s="4" t="s">
        <v>153</v>
      </c>
      <c r="BY50" s="4" t="s">
        <v>153</v>
      </c>
      <c r="BZ50" s="4" t="s">
        <v>153</v>
      </c>
      <c r="CA50" s="4" t="s">
        <v>153</v>
      </c>
      <c r="CB50" s="4"/>
      <c r="CC50" s="4" t="s">
        <v>153</v>
      </c>
      <c r="CD50" t="s">
        <v>153</v>
      </c>
      <c r="CE50" s="4" t="s">
        <v>153</v>
      </c>
      <c r="CF50" s="4" t="s">
        <v>153</v>
      </c>
      <c r="CG50" s="4" t="s">
        <v>153</v>
      </c>
      <c r="CH50" s="5"/>
      <c r="CI50" t="s">
        <v>153</v>
      </c>
      <c r="CJ50" s="4"/>
      <c r="CK50" t="s">
        <v>153</v>
      </c>
      <c r="CL50" t="s">
        <v>153</v>
      </c>
      <c r="CM50" t="s">
        <v>153</v>
      </c>
      <c r="CN50" t="s">
        <v>153</v>
      </c>
      <c r="CO50" s="5"/>
      <c r="CP50" s="4" t="s">
        <v>153</v>
      </c>
      <c r="CQ50" s="4" t="s">
        <v>153</v>
      </c>
      <c r="CR50" t="s">
        <v>153</v>
      </c>
      <c r="CS50" t="s">
        <v>153</v>
      </c>
      <c r="CT50" t="s">
        <v>153</v>
      </c>
      <c r="CU50" t="s">
        <v>153</v>
      </c>
      <c r="CV50" t="s">
        <v>153</v>
      </c>
      <c r="CW50" t="s">
        <v>153</v>
      </c>
      <c r="CX50" t="s">
        <v>153</v>
      </c>
      <c r="CY50" t="s">
        <v>153</v>
      </c>
      <c r="CZ50" t="s">
        <v>153</v>
      </c>
      <c r="DA50" t="s">
        <v>153</v>
      </c>
      <c r="DB50" t="s">
        <v>153</v>
      </c>
      <c r="DC50" t="s">
        <v>153</v>
      </c>
      <c r="DD50" t="s">
        <v>153</v>
      </c>
      <c r="DE50" t="s">
        <v>153</v>
      </c>
      <c r="DF50" t="s">
        <v>153</v>
      </c>
      <c r="DG50" t="s">
        <v>153</v>
      </c>
      <c r="DI50" t="s">
        <v>153</v>
      </c>
      <c r="DJ50" t="s">
        <v>153</v>
      </c>
      <c r="DK50" t="s">
        <v>153</v>
      </c>
      <c r="DL50" t="s">
        <v>153</v>
      </c>
      <c r="DN50" t="s">
        <v>153</v>
      </c>
      <c r="DO50" t="s">
        <v>153</v>
      </c>
      <c r="DP50" t="s">
        <v>153</v>
      </c>
      <c r="DQ50" t="s">
        <v>153</v>
      </c>
      <c r="DR50" t="s">
        <v>153</v>
      </c>
      <c r="DS50" t="s">
        <v>153</v>
      </c>
      <c r="DT50" t="s">
        <v>153</v>
      </c>
      <c r="DU50" t="s">
        <v>153</v>
      </c>
      <c r="DV50" t="s">
        <v>153</v>
      </c>
      <c r="DW50" t="s">
        <v>153</v>
      </c>
      <c r="DX50" s="2"/>
      <c r="DY50" t="s">
        <v>153</v>
      </c>
      <c r="DZ50" t="s">
        <v>153</v>
      </c>
      <c r="EA50" t="s">
        <v>153</v>
      </c>
      <c r="EB50" t="s">
        <v>153</v>
      </c>
      <c r="EC50" t="s">
        <v>153</v>
      </c>
      <c r="ED50" t="s">
        <v>153</v>
      </c>
      <c r="EE50" t="s">
        <v>153</v>
      </c>
      <c r="EF50" t="s">
        <v>153</v>
      </c>
      <c r="EH50" t="s">
        <v>153</v>
      </c>
      <c r="EI50" t="s">
        <v>153</v>
      </c>
      <c r="EJ50" t="s">
        <v>153</v>
      </c>
      <c r="EK50" t="s">
        <v>153</v>
      </c>
      <c r="EM50" t="s">
        <v>153</v>
      </c>
      <c r="EN50" t="s">
        <v>153</v>
      </c>
      <c r="EP50" s="4" t="s">
        <v>153</v>
      </c>
      <c r="EQ50" s="4" t="s">
        <v>153</v>
      </c>
      <c r="ER50" s="4" t="s">
        <v>191</v>
      </c>
      <c r="ES50" s="4" t="s">
        <v>153</v>
      </c>
      <c r="ET50" t="s">
        <v>889</v>
      </c>
      <c r="EU50" t="s">
        <v>876</v>
      </c>
      <c r="EV50" t="s">
        <v>890</v>
      </c>
      <c r="EW50">
        <v>1071996730</v>
      </c>
      <c r="EX50" t="s">
        <v>891</v>
      </c>
    </row>
    <row r="51" spans="1:154" x14ac:dyDescent="0.25">
      <c r="A51" s="3">
        <v>44979.963356481479</v>
      </c>
      <c r="B51" s="4" t="s">
        <v>3</v>
      </c>
      <c r="C51" s="4" t="s">
        <v>892</v>
      </c>
      <c r="D51" s="4" t="s">
        <v>893</v>
      </c>
      <c r="E51" s="4" t="s">
        <v>894</v>
      </c>
      <c r="F51" s="4" t="s">
        <v>895</v>
      </c>
      <c r="G51" s="4" t="s">
        <v>185</v>
      </c>
      <c r="H51" s="4" t="s">
        <v>542</v>
      </c>
      <c r="I51" s="4" t="s">
        <v>153</v>
      </c>
      <c r="J51" s="4" t="s">
        <v>153</v>
      </c>
      <c r="K51" s="5"/>
      <c r="L51" s="4" t="s">
        <v>153</v>
      </c>
      <c r="M51" s="4" t="s">
        <v>896</v>
      </c>
      <c r="N51" s="4" t="s">
        <v>153</v>
      </c>
      <c r="O51" s="4" t="s">
        <v>897</v>
      </c>
      <c r="P51" s="4" t="s">
        <v>898</v>
      </c>
      <c r="Q51" s="4" t="s">
        <v>190</v>
      </c>
      <c r="R51" s="4" t="s">
        <v>191</v>
      </c>
      <c r="S51" s="4" t="s">
        <v>899</v>
      </c>
      <c r="T51" s="4" t="s">
        <v>153</v>
      </c>
      <c r="U51" s="4" t="s">
        <v>900</v>
      </c>
      <c r="V51" s="4" t="s">
        <v>153</v>
      </c>
      <c r="W51" s="4" t="s">
        <v>901</v>
      </c>
      <c r="X51" s="4" t="s">
        <v>902</v>
      </c>
      <c r="Y51" s="4" t="s">
        <v>903</v>
      </c>
      <c r="Z51" s="4" t="s">
        <v>237</v>
      </c>
      <c r="AA51" s="4" t="s">
        <v>904</v>
      </c>
      <c r="AB51" s="4" t="s">
        <v>153</v>
      </c>
      <c r="AC51" s="4" t="s">
        <v>901</v>
      </c>
      <c r="AD51" s="4" t="s">
        <v>902</v>
      </c>
      <c r="AE51" s="4" t="s">
        <v>903</v>
      </c>
      <c r="AF51" s="4" t="s">
        <v>905</v>
      </c>
      <c r="AG51" s="4" t="s">
        <v>906</v>
      </c>
      <c r="AH51" s="4" t="s">
        <v>907</v>
      </c>
      <c r="AI51" s="5">
        <v>44947</v>
      </c>
      <c r="AJ51" t="s">
        <v>445</v>
      </c>
      <c r="AK51" s="4">
        <v>31820</v>
      </c>
      <c r="AL51" t="s">
        <v>153</v>
      </c>
      <c r="AM51" t="s">
        <v>153</v>
      </c>
      <c r="AO51" t="s">
        <v>153</v>
      </c>
      <c r="AP51" s="4"/>
      <c r="AQ51" t="s">
        <v>153</v>
      </c>
      <c r="AR51" s="5"/>
      <c r="AT51" s="4" t="s">
        <v>153</v>
      </c>
      <c r="AU51" s="4" t="s">
        <v>153</v>
      </c>
      <c r="AV51" s="4" t="s">
        <v>153</v>
      </c>
      <c r="AW51" t="s">
        <v>153</v>
      </c>
      <c r="AX51" t="s">
        <v>153</v>
      </c>
      <c r="AY51" t="s">
        <v>153</v>
      </c>
      <c r="AZ51" t="s">
        <v>153</v>
      </c>
      <c r="BA51" t="s">
        <v>153</v>
      </c>
      <c r="BB51" t="s">
        <v>153</v>
      </c>
      <c r="BC51" t="s">
        <v>153</v>
      </c>
      <c r="BD51" s="4" t="s">
        <v>153</v>
      </c>
      <c r="BE51" s="4" t="s">
        <v>153</v>
      </c>
      <c r="BF51" t="s">
        <v>153</v>
      </c>
      <c r="BG51" s="4" t="s">
        <v>153</v>
      </c>
      <c r="BH51" t="s">
        <v>153</v>
      </c>
      <c r="BI51" s="4" t="s">
        <v>153</v>
      </c>
      <c r="BJ51" t="s">
        <v>153</v>
      </c>
      <c r="BK51" s="4" t="s">
        <v>153</v>
      </c>
      <c r="BL51" t="s">
        <v>153</v>
      </c>
      <c r="BM51" t="s">
        <v>153</v>
      </c>
      <c r="BN51" s="4" t="s">
        <v>153</v>
      </c>
      <c r="BO51" s="4" t="s">
        <v>153</v>
      </c>
      <c r="BP51" s="4" t="s">
        <v>153</v>
      </c>
      <c r="BQ51" s="4" t="s">
        <v>153</v>
      </c>
      <c r="BR51" s="4" t="s">
        <v>153</v>
      </c>
      <c r="BS51" s="4" t="s">
        <v>153</v>
      </c>
      <c r="BT51" s="4" t="s">
        <v>153</v>
      </c>
      <c r="BU51" s="4" t="s">
        <v>153</v>
      </c>
      <c r="BV51" s="4"/>
      <c r="BW51" s="4" t="s">
        <v>153</v>
      </c>
      <c r="BX51" s="4" t="s">
        <v>153</v>
      </c>
      <c r="BY51" s="4" t="s">
        <v>153</v>
      </c>
      <c r="BZ51" s="4" t="s">
        <v>153</v>
      </c>
      <c r="CA51" s="4" t="s">
        <v>153</v>
      </c>
      <c r="CB51" s="4"/>
      <c r="CC51" s="4" t="s">
        <v>153</v>
      </c>
      <c r="CD51" t="s">
        <v>153</v>
      </c>
      <c r="CE51" s="4" t="s">
        <v>153</v>
      </c>
      <c r="CF51" s="4" t="s">
        <v>153</v>
      </c>
      <c r="CG51" s="4" t="s">
        <v>153</v>
      </c>
      <c r="CH51" s="5"/>
      <c r="CI51" t="s">
        <v>153</v>
      </c>
      <c r="CJ51" s="4"/>
      <c r="CK51" t="s">
        <v>153</v>
      </c>
      <c r="CL51" t="s">
        <v>153</v>
      </c>
      <c r="CM51" t="s">
        <v>153</v>
      </c>
      <c r="CN51" t="s">
        <v>153</v>
      </c>
      <c r="CO51" s="5"/>
      <c r="CP51" s="4" t="s">
        <v>153</v>
      </c>
      <c r="CQ51" s="4" t="s">
        <v>153</v>
      </c>
      <c r="CR51" t="s">
        <v>153</v>
      </c>
      <c r="CS51" t="s">
        <v>153</v>
      </c>
      <c r="CT51" t="s">
        <v>153</v>
      </c>
      <c r="CU51" t="s">
        <v>153</v>
      </c>
      <c r="CV51" t="s">
        <v>153</v>
      </c>
      <c r="CW51" t="s">
        <v>153</v>
      </c>
      <c r="CX51" t="s">
        <v>153</v>
      </c>
      <c r="CY51" t="s">
        <v>153</v>
      </c>
      <c r="CZ51" t="s">
        <v>153</v>
      </c>
      <c r="DA51" t="s">
        <v>153</v>
      </c>
      <c r="DB51" t="s">
        <v>153</v>
      </c>
      <c r="DC51" t="s">
        <v>153</v>
      </c>
      <c r="DD51" t="s">
        <v>153</v>
      </c>
      <c r="DE51" t="s">
        <v>153</v>
      </c>
      <c r="DF51" t="s">
        <v>153</v>
      </c>
      <c r="DG51" t="s">
        <v>153</v>
      </c>
      <c r="DI51" t="s">
        <v>153</v>
      </c>
      <c r="DJ51" t="s">
        <v>153</v>
      </c>
      <c r="DK51" t="s">
        <v>153</v>
      </c>
      <c r="DL51" t="s">
        <v>153</v>
      </c>
      <c r="DN51" t="s">
        <v>153</v>
      </c>
      <c r="DO51" t="s">
        <v>153</v>
      </c>
      <c r="DP51" t="s">
        <v>153</v>
      </c>
      <c r="DQ51" t="s">
        <v>153</v>
      </c>
      <c r="DR51" t="s">
        <v>153</v>
      </c>
      <c r="DS51" t="s">
        <v>153</v>
      </c>
      <c r="DT51" t="s">
        <v>153</v>
      </c>
      <c r="DU51" t="s">
        <v>153</v>
      </c>
      <c r="DV51" t="s">
        <v>153</v>
      </c>
      <c r="DW51" t="s">
        <v>153</v>
      </c>
      <c r="DX51" s="2"/>
      <c r="DY51" t="s">
        <v>153</v>
      </c>
      <c r="DZ51" t="s">
        <v>153</v>
      </c>
      <c r="EA51" t="s">
        <v>153</v>
      </c>
      <c r="EB51" t="s">
        <v>153</v>
      </c>
      <c r="EC51" t="s">
        <v>153</v>
      </c>
      <c r="ED51" t="s">
        <v>153</v>
      </c>
      <c r="EE51" t="s">
        <v>153</v>
      </c>
      <c r="EF51" t="s">
        <v>153</v>
      </c>
      <c r="EH51" t="s">
        <v>153</v>
      </c>
      <c r="EI51" t="s">
        <v>153</v>
      </c>
      <c r="EJ51" t="s">
        <v>153</v>
      </c>
      <c r="EK51" t="s">
        <v>153</v>
      </c>
      <c r="EM51" t="s">
        <v>153</v>
      </c>
      <c r="EN51" t="s">
        <v>153</v>
      </c>
      <c r="EP51" s="4" t="s">
        <v>242</v>
      </c>
      <c r="EQ51" s="4" t="s">
        <v>153</v>
      </c>
      <c r="ER51" s="4" t="s">
        <v>243</v>
      </c>
      <c r="ES51" s="4" t="s">
        <v>244</v>
      </c>
      <c r="ET51" t="s">
        <v>908</v>
      </c>
      <c r="EU51" t="s">
        <v>821</v>
      </c>
      <c r="EV51" t="s">
        <v>909</v>
      </c>
      <c r="EW51">
        <v>1072257434</v>
      </c>
      <c r="EX51" t="s">
        <v>910</v>
      </c>
    </row>
    <row r="52" spans="1:154" x14ac:dyDescent="0.25">
      <c r="A52" s="3">
        <v>44981.705416666664</v>
      </c>
      <c r="B52" s="4" t="s">
        <v>3</v>
      </c>
      <c r="C52" s="4" t="s">
        <v>822</v>
      </c>
      <c r="D52" s="4" t="s">
        <v>823</v>
      </c>
      <c r="E52" s="4" t="s">
        <v>824</v>
      </c>
      <c r="F52" s="4" t="s">
        <v>825</v>
      </c>
      <c r="G52" s="4" t="s">
        <v>252</v>
      </c>
      <c r="H52" s="4" t="s">
        <v>826</v>
      </c>
      <c r="I52" s="4" t="s">
        <v>153</v>
      </c>
      <c r="J52" s="4" t="s">
        <v>911</v>
      </c>
      <c r="K52" s="5"/>
      <c r="L52" s="4" t="s">
        <v>153</v>
      </c>
      <c r="M52" s="4" t="s">
        <v>153</v>
      </c>
      <c r="N52" s="4" t="s">
        <v>153</v>
      </c>
      <c r="O52" s="4" t="s">
        <v>153</v>
      </c>
      <c r="P52" s="4" t="s">
        <v>153</v>
      </c>
      <c r="Q52" s="4" t="s">
        <v>153</v>
      </c>
      <c r="R52" s="4" t="s">
        <v>153</v>
      </c>
      <c r="S52" s="4" t="s">
        <v>153</v>
      </c>
      <c r="T52" s="4" t="s">
        <v>153</v>
      </c>
      <c r="U52" s="4" t="s">
        <v>153</v>
      </c>
      <c r="V52" s="4" t="s">
        <v>153</v>
      </c>
      <c r="W52" s="4" t="s">
        <v>153</v>
      </c>
      <c r="X52" s="4" t="s">
        <v>153</v>
      </c>
      <c r="Y52" s="4" t="s">
        <v>153</v>
      </c>
      <c r="Z52" s="4" t="s">
        <v>153</v>
      </c>
      <c r="AA52" s="4" t="s">
        <v>153</v>
      </c>
      <c r="AB52" s="4" t="s">
        <v>153</v>
      </c>
      <c r="AC52" s="4" t="s">
        <v>153</v>
      </c>
      <c r="AD52" s="4" t="s">
        <v>153</v>
      </c>
      <c r="AE52" s="4" t="s">
        <v>153</v>
      </c>
      <c r="AF52" s="4" t="s">
        <v>153</v>
      </c>
      <c r="AG52" s="4" t="s">
        <v>153</v>
      </c>
      <c r="AH52" s="4" t="s">
        <v>153</v>
      </c>
      <c r="AI52" s="5"/>
      <c r="AJ52" t="s">
        <v>153</v>
      </c>
      <c r="AK52" s="4"/>
      <c r="AL52" t="s">
        <v>153</v>
      </c>
      <c r="AM52" t="s">
        <v>153</v>
      </c>
      <c r="AO52" t="s">
        <v>153</v>
      </c>
      <c r="AP52" s="4"/>
      <c r="AQ52" t="s">
        <v>153</v>
      </c>
      <c r="AR52" s="5">
        <v>44926</v>
      </c>
      <c r="AS52">
        <v>1</v>
      </c>
      <c r="AT52" s="4" t="s">
        <v>419</v>
      </c>
      <c r="AU52" s="4" t="s">
        <v>912</v>
      </c>
      <c r="AV52" s="4" t="s">
        <v>359</v>
      </c>
      <c r="AW52" t="s">
        <v>153</v>
      </c>
      <c r="AX52" t="s">
        <v>153</v>
      </c>
      <c r="AY52" t="s">
        <v>153</v>
      </c>
      <c r="AZ52" t="s">
        <v>913</v>
      </c>
      <c r="BA52" t="s">
        <v>153</v>
      </c>
      <c r="BB52" t="s">
        <v>153</v>
      </c>
      <c r="BC52" t="s">
        <v>153</v>
      </c>
      <c r="BD52" s="4" t="s">
        <v>914</v>
      </c>
      <c r="BE52" s="4" t="s">
        <v>915</v>
      </c>
      <c r="BF52" t="s">
        <v>242</v>
      </c>
      <c r="BG52" s="4" t="s">
        <v>637</v>
      </c>
      <c r="BH52" t="s">
        <v>153</v>
      </c>
      <c r="BI52" s="4" t="s">
        <v>153</v>
      </c>
      <c r="BJ52" t="s">
        <v>153</v>
      </c>
      <c r="BK52" s="4" t="s">
        <v>153</v>
      </c>
      <c r="BL52" t="s">
        <v>153</v>
      </c>
      <c r="BM52" t="s">
        <v>153</v>
      </c>
      <c r="BN52" s="4" t="s">
        <v>153</v>
      </c>
      <c r="BO52" s="4" t="s">
        <v>153</v>
      </c>
      <c r="BP52" s="4" t="s">
        <v>153</v>
      </c>
      <c r="BQ52" s="4" t="s">
        <v>153</v>
      </c>
      <c r="BR52" s="4" t="s">
        <v>153</v>
      </c>
      <c r="BS52" s="4" t="s">
        <v>153</v>
      </c>
      <c r="BT52" s="4" t="s">
        <v>153</v>
      </c>
      <c r="BU52" s="4" t="s">
        <v>153</v>
      </c>
      <c r="BV52" s="4"/>
      <c r="BW52" s="4" t="s">
        <v>153</v>
      </c>
      <c r="BX52" s="4" t="s">
        <v>153</v>
      </c>
      <c r="BY52" s="4" t="s">
        <v>153</v>
      </c>
      <c r="BZ52" s="4" t="s">
        <v>153</v>
      </c>
      <c r="CA52" s="4" t="s">
        <v>153</v>
      </c>
      <c r="CB52" s="4"/>
      <c r="CC52" s="4" t="s">
        <v>153</v>
      </c>
      <c r="CD52" t="s">
        <v>153</v>
      </c>
      <c r="CE52" s="4" t="s">
        <v>153</v>
      </c>
      <c r="CF52" s="4" t="s">
        <v>153</v>
      </c>
      <c r="CG52" s="4" t="s">
        <v>153</v>
      </c>
      <c r="CH52" s="5"/>
      <c r="CI52" t="s">
        <v>153</v>
      </c>
      <c r="CJ52" s="4"/>
      <c r="CK52" t="s">
        <v>153</v>
      </c>
      <c r="CL52" t="s">
        <v>153</v>
      </c>
      <c r="CM52" t="s">
        <v>153</v>
      </c>
      <c r="CN52" t="s">
        <v>153</v>
      </c>
      <c r="CO52" s="5"/>
      <c r="CP52" s="4" t="s">
        <v>153</v>
      </c>
      <c r="CQ52" s="4" t="s">
        <v>153</v>
      </c>
      <c r="CR52" t="s">
        <v>153</v>
      </c>
      <c r="CS52" t="s">
        <v>153</v>
      </c>
      <c r="CT52" t="s">
        <v>153</v>
      </c>
      <c r="CU52" t="s">
        <v>153</v>
      </c>
      <c r="CV52" t="s">
        <v>153</v>
      </c>
      <c r="CW52" t="s">
        <v>153</v>
      </c>
      <c r="CX52" t="s">
        <v>153</v>
      </c>
      <c r="CY52" t="s">
        <v>153</v>
      </c>
      <c r="CZ52" t="s">
        <v>153</v>
      </c>
      <c r="DA52" t="s">
        <v>153</v>
      </c>
      <c r="DB52" t="s">
        <v>153</v>
      </c>
      <c r="DC52" t="s">
        <v>153</v>
      </c>
      <c r="DD52" t="s">
        <v>153</v>
      </c>
      <c r="DE52" t="s">
        <v>153</v>
      </c>
      <c r="DF52" t="s">
        <v>153</v>
      </c>
      <c r="DG52" t="s">
        <v>153</v>
      </c>
      <c r="DI52" t="s">
        <v>153</v>
      </c>
      <c r="DJ52" t="s">
        <v>153</v>
      </c>
      <c r="DK52" t="s">
        <v>153</v>
      </c>
      <c r="DL52" t="s">
        <v>153</v>
      </c>
      <c r="DN52" t="s">
        <v>153</v>
      </c>
      <c r="DO52" t="s">
        <v>153</v>
      </c>
      <c r="DP52" t="s">
        <v>153</v>
      </c>
      <c r="DQ52" t="s">
        <v>153</v>
      </c>
      <c r="DR52" t="s">
        <v>153</v>
      </c>
      <c r="DS52" t="s">
        <v>153</v>
      </c>
      <c r="DT52" t="s">
        <v>153</v>
      </c>
      <c r="DU52" t="s">
        <v>153</v>
      </c>
      <c r="DV52" t="s">
        <v>153</v>
      </c>
      <c r="DW52" t="s">
        <v>153</v>
      </c>
      <c r="DX52" s="2"/>
      <c r="DY52" t="s">
        <v>153</v>
      </c>
      <c r="DZ52" t="s">
        <v>153</v>
      </c>
      <c r="EA52" t="s">
        <v>153</v>
      </c>
      <c r="EB52" t="s">
        <v>153</v>
      </c>
      <c r="EC52" t="s">
        <v>153</v>
      </c>
      <c r="ED52" t="s">
        <v>153</v>
      </c>
      <c r="EE52" t="s">
        <v>153</v>
      </c>
      <c r="EF52" t="s">
        <v>153</v>
      </c>
      <c r="EH52" t="s">
        <v>153</v>
      </c>
      <c r="EI52" t="s">
        <v>153</v>
      </c>
      <c r="EJ52" t="s">
        <v>153</v>
      </c>
      <c r="EK52" t="s">
        <v>153</v>
      </c>
      <c r="EM52" t="s">
        <v>153</v>
      </c>
      <c r="EN52" t="s">
        <v>153</v>
      </c>
      <c r="EP52" s="4" t="s">
        <v>153</v>
      </c>
      <c r="EQ52" s="4" t="s">
        <v>153</v>
      </c>
      <c r="ER52" s="4" t="s">
        <v>191</v>
      </c>
      <c r="ES52" s="4" t="s">
        <v>153</v>
      </c>
      <c r="ET52" t="s">
        <v>916</v>
      </c>
      <c r="EU52" t="s">
        <v>917</v>
      </c>
      <c r="EV52" t="s">
        <v>845</v>
      </c>
      <c r="EW52">
        <v>1072949949</v>
      </c>
      <c r="EX52" t="s">
        <v>846</v>
      </c>
    </row>
    <row r="53" spans="1:154" x14ac:dyDescent="0.25">
      <c r="A53" s="3">
        <v>44981.713923611111</v>
      </c>
      <c r="B53" s="4" t="s">
        <v>3</v>
      </c>
      <c r="C53" s="4" t="s">
        <v>822</v>
      </c>
      <c r="D53" s="4" t="s">
        <v>823</v>
      </c>
      <c r="E53" s="4" t="s">
        <v>824</v>
      </c>
      <c r="F53" s="4" t="s">
        <v>825</v>
      </c>
      <c r="G53" s="4" t="s">
        <v>252</v>
      </c>
      <c r="H53" s="4" t="s">
        <v>826</v>
      </c>
      <c r="I53" s="4" t="s">
        <v>153</v>
      </c>
      <c r="J53" s="4" t="s">
        <v>918</v>
      </c>
      <c r="K53" s="5"/>
      <c r="L53" s="4" t="s">
        <v>153</v>
      </c>
      <c r="M53" s="4" t="s">
        <v>153</v>
      </c>
      <c r="N53" s="4" t="s">
        <v>153</v>
      </c>
      <c r="O53" s="4" t="s">
        <v>153</v>
      </c>
      <c r="P53" s="4" t="s">
        <v>153</v>
      </c>
      <c r="Q53" s="4" t="s">
        <v>153</v>
      </c>
      <c r="R53" s="4" t="s">
        <v>153</v>
      </c>
      <c r="S53" s="4" t="s">
        <v>153</v>
      </c>
      <c r="T53" s="4" t="s">
        <v>153</v>
      </c>
      <c r="U53" s="4" t="s">
        <v>153</v>
      </c>
      <c r="V53" s="4" t="s">
        <v>153</v>
      </c>
      <c r="W53" s="4" t="s">
        <v>153</v>
      </c>
      <c r="X53" s="4" t="s">
        <v>153</v>
      </c>
      <c r="Y53" s="4" t="s">
        <v>153</v>
      </c>
      <c r="Z53" s="4" t="s">
        <v>153</v>
      </c>
      <c r="AA53" s="4" t="s">
        <v>153</v>
      </c>
      <c r="AB53" s="4" t="s">
        <v>153</v>
      </c>
      <c r="AC53" s="4" t="s">
        <v>153</v>
      </c>
      <c r="AD53" s="4" t="s">
        <v>153</v>
      </c>
      <c r="AE53" s="4" t="s">
        <v>153</v>
      </c>
      <c r="AF53" s="4" t="s">
        <v>153</v>
      </c>
      <c r="AG53" s="4" t="s">
        <v>153</v>
      </c>
      <c r="AH53" s="4" t="s">
        <v>153</v>
      </c>
      <c r="AI53" s="5"/>
      <c r="AJ53" t="s">
        <v>153</v>
      </c>
      <c r="AK53" s="4"/>
      <c r="AL53" t="s">
        <v>153</v>
      </c>
      <c r="AM53" t="s">
        <v>153</v>
      </c>
      <c r="AO53" t="s">
        <v>153</v>
      </c>
      <c r="AP53" s="4"/>
      <c r="AQ53" t="s">
        <v>153</v>
      </c>
      <c r="AR53" s="5">
        <v>44772</v>
      </c>
      <c r="AS53">
        <v>2</v>
      </c>
      <c r="AT53" s="4" t="s">
        <v>919</v>
      </c>
      <c r="AU53" s="4" t="s">
        <v>920</v>
      </c>
      <c r="AV53" s="4" t="s">
        <v>921</v>
      </c>
      <c r="AW53" t="s">
        <v>153</v>
      </c>
      <c r="AX53" t="s">
        <v>922</v>
      </c>
      <c r="AY53" t="s">
        <v>153</v>
      </c>
      <c r="AZ53" t="s">
        <v>923</v>
      </c>
      <c r="BA53" t="s">
        <v>153</v>
      </c>
      <c r="BB53" t="s">
        <v>153</v>
      </c>
      <c r="BC53" t="s">
        <v>924</v>
      </c>
      <c r="BD53" s="4" t="s">
        <v>925</v>
      </c>
      <c r="BE53" s="4" t="s">
        <v>926</v>
      </c>
      <c r="BF53" t="s">
        <v>242</v>
      </c>
      <c r="BG53" s="4" t="s">
        <v>927</v>
      </c>
      <c r="BH53" t="s">
        <v>153</v>
      </c>
      <c r="BI53" s="4" t="s">
        <v>153</v>
      </c>
      <c r="BJ53" t="s">
        <v>153</v>
      </c>
      <c r="BK53" s="4" t="s">
        <v>153</v>
      </c>
      <c r="BL53" t="s">
        <v>153</v>
      </c>
      <c r="BM53" t="s">
        <v>153</v>
      </c>
      <c r="BN53" s="4" t="s">
        <v>153</v>
      </c>
      <c r="BO53" s="4" t="s">
        <v>153</v>
      </c>
      <c r="BP53" s="4" t="s">
        <v>153</v>
      </c>
      <c r="BQ53" s="4" t="s">
        <v>153</v>
      </c>
      <c r="BR53" s="4" t="s">
        <v>153</v>
      </c>
      <c r="BS53" s="4" t="s">
        <v>153</v>
      </c>
      <c r="BT53" s="4" t="s">
        <v>153</v>
      </c>
      <c r="BU53" s="4" t="s">
        <v>153</v>
      </c>
      <c r="BV53" s="4"/>
      <c r="BW53" s="4" t="s">
        <v>153</v>
      </c>
      <c r="BX53" s="4" t="s">
        <v>153</v>
      </c>
      <c r="BY53" s="4" t="s">
        <v>153</v>
      </c>
      <c r="BZ53" s="4" t="s">
        <v>153</v>
      </c>
      <c r="CA53" s="4" t="s">
        <v>153</v>
      </c>
      <c r="CB53" s="4"/>
      <c r="CC53" s="4" t="s">
        <v>153</v>
      </c>
      <c r="CD53" t="s">
        <v>153</v>
      </c>
      <c r="CE53" s="4" t="s">
        <v>153</v>
      </c>
      <c r="CF53" s="4" t="s">
        <v>153</v>
      </c>
      <c r="CG53" s="4" t="s">
        <v>153</v>
      </c>
      <c r="CH53" s="5"/>
      <c r="CI53" t="s">
        <v>153</v>
      </c>
      <c r="CJ53" s="4"/>
      <c r="CK53" t="s">
        <v>153</v>
      </c>
      <c r="CL53" t="s">
        <v>153</v>
      </c>
      <c r="CM53" t="s">
        <v>153</v>
      </c>
      <c r="CN53" t="s">
        <v>153</v>
      </c>
      <c r="CO53" s="5"/>
      <c r="CP53" s="4" t="s">
        <v>153</v>
      </c>
      <c r="CQ53" s="4" t="s">
        <v>153</v>
      </c>
      <c r="CR53" t="s">
        <v>153</v>
      </c>
      <c r="CS53" t="s">
        <v>153</v>
      </c>
      <c r="CT53" t="s">
        <v>153</v>
      </c>
      <c r="CU53" t="s">
        <v>153</v>
      </c>
      <c r="CV53" t="s">
        <v>153</v>
      </c>
      <c r="CW53" t="s">
        <v>153</v>
      </c>
      <c r="CX53" t="s">
        <v>153</v>
      </c>
      <c r="CY53" t="s">
        <v>153</v>
      </c>
      <c r="CZ53" t="s">
        <v>153</v>
      </c>
      <c r="DA53" t="s">
        <v>153</v>
      </c>
      <c r="DB53" t="s">
        <v>153</v>
      </c>
      <c r="DC53" t="s">
        <v>153</v>
      </c>
      <c r="DD53" t="s">
        <v>153</v>
      </c>
      <c r="DE53" t="s">
        <v>153</v>
      </c>
      <c r="DF53" t="s">
        <v>153</v>
      </c>
      <c r="DG53" t="s">
        <v>153</v>
      </c>
      <c r="DI53" t="s">
        <v>153</v>
      </c>
      <c r="DJ53" t="s">
        <v>153</v>
      </c>
      <c r="DK53" t="s">
        <v>153</v>
      </c>
      <c r="DL53" t="s">
        <v>153</v>
      </c>
      <c r="DN53" t="s">
        <v>153</v>
      </c>
      <c r="DO53" t="s">
        <v>153</v>
      </c>
      <c r="DP53" t="s">
        <v>153</v>
      </c>
      <c r="DQ53" t="s">
        <v>153</v>
      </c>
      <c r="DR53" t="s">
        <v>153</v>
      </c>
      <c r="DS53" t="s">
        <v>153</v>
      </c>
      <c r="DT53" t="s">
        <v>153</v>
      </c>
      <c r="DU53" t="s">
        <v>153</v>
      </c>
      <c r="DV53" t="s">
        <v>153</v>
      </c>
      <c r="DW53" t="s">
        <v>153</v>
      </c>
      <c r="DX53" s="2"/>
      <c r="DY53" t="s">
        <v>153</v>
      </c>
      <c r="DZ53" t="s">
        <v>153</v>
      </c>
      <c r="EA53" t="s">
        <v>153</v>
      </c>
      <c r="EB53" t="s">
        <v>153</v>
      </c>
      <c r="EC53" t="s">
        <v>153</v>
      </c>
      <c r="ED53" t="s">
        <v>153</v>
      </c>
      <c r="EE53" t="s">
        <v>153</v>
      </c>
      <c r="EF53" t="s">
        <v>153</v>
      </c>
      <c r="EH53" t="s">
        <v>153</v>
      </c>
      <c r="EI53" t="s">
        <v>153</v>
      </c>
      <c r="EJ53" t="s">
        <v>153</v>
      </c>
      <c r="EK53" t="s">
        <v>153</v>
      </c>
      <c r="EM53" t="s">
        <v>153</v>
      </c>
      <c r="EN53" t="s">
        <v>153</v>
      </c>
      <c r="EP53" s="4" t="s">
        <v>153</v>
      </c>
      <c r="EQ53" s="4" t="s">
        <v>153</v>
      </c>
      <c r="ER53" s="4" t="s">
        <v>205</v>
      </c>
      <c r="ES53" s="4" t="s">
        <v>153</v>
      </c>
      <c r="ET53" t="s">
        <v>928</v>
      </c>
      <c r="EU53" t="s">
        <v>917</v>
      </c>
      <c r="EV53" t="s">
        <v>845</v>
      </c>
      <c r="EW53">
        <v>1072954243</v>
      </c>
      <c r="EX53" t="s">
        <v>846</v>
      </c>
    </row>
    <row r="54" spans="1:154" x14ac:dyDescent="0.25">
      <c r="A54" s="3">
        <v>44992.830347222225</v>
      </c>
      <c r="B54" s="4" t="s">
        <v>3</v>
      </c>
      <c r="C54" s="4" t="s">
        <v>929</v>
      </c>
      <c r="D54" s="4" t="s">
        <v>930</v>
      </c>
      <c r="E54" s="4" t="s">
        <v>931</v>
      </c>
      <c r="F54" s="4" t="s">
        <v>932</v>
      </c>
      <c r="G54" s="4" t="s">
        <v>423</v>
      </c>
      <c r="H54" s="4" t="s">
        <v>159</v>
      </c>
      <c r="I54" s="4" t="s">
        <v>153</v>
      </c>
      <c r="J54" s="4" t="s">
        <v>153</v>
      </c>
      <c r="K54" s="5"/>
      <c r="L54" s="4" t="s">
        <v>153</v>
      </c>
      <c r="M54" s="4" t="s">
        <v>153</v>
      </c>
      <c r="N54" s="4" t="s">
        <v>153</v>
      </c>
      <c r="O54" s="4" t="s">
        <v>153</v>
      </c>
      <c r="P54" s="4" t="s">
        <v>153</v>
      </c>
      <c r="Q54" s="4" t="s">
        <v>153</v>
      </c>
      <c r="R54" s="4" t="s">
        <v>153</v>
      </c>
      <c r="S54" s="4" t="s">
        <v>153</v>
      </c>
      <c r="T54" s="4" t="s">
        <v>153</v>
      </c>
      <c r="U54" s="4" t="s">
        <v>153</v>
      </c>
      <c r="V54" s="4" t="s">
        <v>153</v>
      </c>
      <c r="W54" s="4" t="s">
        <v>153</v>
      </c>
      <c r="X54" s="4" t="s">
        <v>153</v>
      </c>
      <c r="Y54" s="4" t="s">
        <v>153</v>
      </c>
      <c r="Z54" s="4" t="s">
        <v>153</v>
      </c>
      <c r="AA54" s="4" t="s">
        <v>153</v>
      </c>
      <c r="AB54" s="4" t="s">
        <v>153</v>
      </c>
      <c r="AC54" s="4" t="s">
        <v>153</v>
      </c>
      <c r="AD54" s="4" t="s">
        <v>153</v>
      </c>
      <c r="AE54" s="4" t="s">
        <v>153</v>
      </c>
      <c r="AF54" s="4" t="s">
        <v>153</v>
      </c>
      <c r="AG54" s="4" t="s">
        <v>153</v>
      </c>
      <c r="AH54" s="4" t="s">
        <v>153</v>
      </c>
      <c r="AI54" s="5"/>
      <c r="AJ54" t="s">
        <v>153</v>
      </c>
      <c r="AK54" s="4"/>
      <c r="AL54" t="s">
        <v>153</v>
      </c>
      <c r="AM54" t="s">
        <v>153</v>
      </c>
      <c r="AO54" t="s">
        <v>153</v>
      </c>
      <c r="AP54" s="4"/>
      <c r="AQ54" t="s">
        <v>153</v>
      </c>
      <c r="AR54" s="5"/>
      <c r="AT54" s="4" t="s">
        <v>153</v>
      </c>
      <c r="AU54" s="4" t="s">
        <v>153</v>
      </c>
      <c r="AV54" s="4" t="s">
        <v>153</v>
      </c>
      <c r="AW54" t="s">
        <v>153</v>
      </c>
      <c r="AX54" t="s">
        <v>153</v>
      </c>
      <c r="AY54" t="s">
        <v>153</v>
      </c>
      <c r="AZ54" t="s">
        <v>153</v>
      </c>
      <c r="BA54" t="s">
        <v>153</v>
      </c>
      <c r="BB54" t="s">
        <v>153</v>
      </c>
      <c r="BC54" t="s">
        <v>153</v>
      </c>
      <c r="BD54" s="4" t="s">
        <v>153</v>
      </c>
      <c r="BE54" s="4" t="s">
        <v>153</v>
      </c>
      <c r="BF54" t="s">
        <v>153</v>
      </c>
      <c r="BG54" s="4" t="s">
        <v>153</v>
      </c>
      <c r="BH54" t="s">
        <v>153</v>
      </c>
      <c r="BI54" s="4" t="s">
        <v>933</v>
      </c>
      <c r="BJ54" t="s">
        <v>934</v>
      </c>
      <c r="BK54" s="4" t="s">
        <v>934</v>
      </c>
      <c r="BL54" t="s">
        <v>935</v>
      </c>
      <c r="BM54" t="s">
        <v>936</v>
      </c>
      <c r="BN54" s="4" t="s">
        <v>403</v>
      </c>
      <c r="BO54" s="4" t="s">
        <v>191</v>
      </c>
      <c r="BP54" s="4" t="s">
        <v>937</v>
      </c>
      <c r="BQ54" s="4" t="s">
        <v>153</v>
      </c>
      <c r="BR54" s="4" t="s">
        <v>938</v>
      </c>
      <c r="BS54" s="4" t="s">
        <v>153</v>
      </c>
      <c r="BT54" s="4" t="s">
        <v>939</v>
      </c>
      <c r="BU54" s="4" t="s">
        <v>167</v>
      </c>
      <c r="BV54" s="4">
        <v>98270</v>
      </c>
      <c r="BW54" s="4" t="s">
        <v>430</v>
      </c>
      <c r="BX54" s="4" t="s">
        <v>153</v>
      </c>
      <c r="BY54" s="4" t="s">
        <v>153</v>
      </c>
      <c r="BZ54" s="4" t="s">
        <v>153</v>
      </c>
      <c r="CA54" s="4" t="s">
        <v>153</v>
      </c>
      <c r="CB54" s="4"/>
      <c r="CC54" s="4" t="s">
        <v>430</v>
      </c>
      <c r="CD54" t="s">
        <v>153</v>
      </c>
      <c r="CE54" s="4" t="s">
        <v>931</v>
      </c>
      <c r="CF54" s="4" t="s">
        <v>932</v>
      </c>
      <c r="CG54" s="4" t="s">
        <v>940</v>
      </c>
      <c r="CH54" s="5"/>
      <c r="CI54" t="s">
        <v>153</v>
      </c>
      <c r="CJ54" s="4"/>
      <c r="CK54" t="s">
        <v>433</v>
      </c>
      <c r="CL54" t="s">
        <v>153</v>
      </c>
      <c r="CM54" t="s">
        <v>153</v>
      </c>
      <c r="CN54" t="s">
        <v>153</v>
      </c>
      <c r="CO54" s="5"/>
      <c r="CP54" s="4" t="s">
        <v>153</v>
      </c>
      <c r="CQ54" s="4" t="s">
        <v>153</v>
      </c>
      <c r="CR54" t="s">
        <v>153</v>
      </c>
      <c r="CS54" t="s">
        <v>153</v>
      </c>
      <c r="CT54" t="s">
        <v>153</v>
      </c>
      <c r="CU54" t="s">
        <v>153</v>
      </c>
      <c r="CV54" t="s">
        <v>153</v>
      </c>
      <c r="CW54" t="s">
        <v>153</v>
      </c>
      <c r="CX54" t="s">
        <v>153</v>
      </c>
      <c r="CY54" t="s">
        <v>153</v>
      </c>
      <c r="CZ54" t="s">
        <v>153</v>
      </c>
      <c r="DA54" t="s">
        <v>153</v>
      </c>
      <c r="DB54" t="s">
        <v>153</v>
      </c>
      <c r="DC54" t="s">
        <v>153</v>
      </c>
      <c r="DD54" t="s">
        <v>153</v>
      </c>
      <c r="DE54" t="s">
        <v>153</v>
      </c>
      <c r="DF54" t="s">
        <v>153</v>
      </c>
      <c r="DG54" t="s">
        <v>153</v>
      </c>
      <c r="DI54" t="s">
        <v>153</v>
      </c>
      <c r="DJ54" t="s">
        <v>153</v>
      </c>
      <c r="DK54" t="s">
        <v>153</v>
      </c>
      <c r="DL54" t="s">
        <v>153</v>
      </c>
      <c r="DN54" t="s">
        <v>153</v>
      </c>
      <c r="DO54" t="s">
        <v>153</v>
      </c>
      <c r="DP54" t="s">
        <v>153</v>
      </c>
      <c r="DQ54" t="s">
        <v>153</v>
      </c>
      <c r="DR54" t="s">
        <v>153</v>
      </c>
      <c r="DS54" t="s">
        <v>153</v>
      </c>
      <c r="DT54" t="s">
        <v>153</v>
      </c>
      <c r="DU54" t="s">
        <v>153</v>
      </c>
      <c r="DV54" t="s">
        <v>153</v>
      </c>
      <c r="DW54" t="s">
        <v>153</v>
      </c>
      <c r="DX54" s="2"/>
      <c r="DY54" t="s">
        <v>153</v>
      </c>
      <c r="DZ54" t="s">
        <v>153</v>
      </c>
      <c r="EA54" t="s">
        <v>153</v>
      </c>
      <c r="EB54" t="s">
        <v>153</v>
      </c>
      <c r="EC54" t="s">
        <v>153</v>
      </c>
      <c r="ED54" t="s">
        <v>153</v>
      </c>
      <c r="EE54" t="s">
        <v>153</v>
      </c>
      <c r="EF54" t="s">
        <v>153</v>
      </c>
      <c r="EH54" t="s">
        <v>153</v>
      </c>
      <c r="EI54" t="s">
        <v>153</v>
      </c>
      <c r="EJ54" t="s">
        <v>153</v>
      </c>
      <c r="EK54" t="s">
        <v>153</v>
      </c>
      <c r="EM54" t="s">
        <v>153</v>
      </c>
      <c r="EN54" t="s">
        <v>153</v>
      </c>
      <c r="EP54" s="4" t="s">
        <v>153</v>
      </c>
      <c r="EQ54" s="4" t="s">
        <v>153</v>
      </c>
      <c r="ER54" s="4" t="s">
        <v>191</v>
      </c>
      <c r="ES54" s="4" t="s">
        <v>153</v>
      </c>
      <c r="ET54" t="s">
        <v>153</v>
      </c>
      <c r="EU54" t="s">
        <v>941</v>
      </c>
      <c r="EV54" t="s">
        <v>942</v>
      </c>
      <c r="EW54">
        <v>1076906615</v>
      </c>
      <c r="EX54" t="s">
        <v>943</v>
      </c>
    </row>
    <row r="55" spans="1:154" x14ac:dyDescent="0.25">
      <c r="A55" s="3">
        <v>44995.543634259258</v>
      </c>
      <c r="B55" s="4" t="s">
        <v>3</v>
      </c>
      <c r="C55" s="4" t="s">
        <v>944</v>
      </c>
      <c r="D55" s="4" t="s">
        <v>945</v>
      </c>
      <c r="E55" s="4" t="s">
        <v>946</v>
      </c>
      <c r="F55" s="4" t="s">
        <v>947</v>
      </c>
      <c r="G55" s="4" t="s">
        <v>948</v>
      </c>
      <c r="H55" s="4" t="s">
        <v>506</v>
      </c>
      <c r="I55" s="4" t="s">
        <v>153</v>
      </c>
      <c r="J55" s="4" t="s">
        <v>153</v>
      </c>
      <c r="K55" s="5">
        <v>44743</v>
      </c>
      <c r="L55" s="4" t="s">
        <v>949</v>
      </c>
      <c r="M55" s="4" t="s">
        <v>950</v>
      </c>
      <c r="N55" s="4" t="s">
        <v>153</v>
      </c>
      <c r="O55" s="4" t="s">
        <v>951</v>
      </c>
      <c r="P55" s="4" t="s">
        <v>945</v>
      </c>
      <c r="Q55" s="4" t="s">
        <v>153</v>
      </c>
      <c r="R55" s="4" t="s">
        <v>191</v>
      </c>
      <c r="S55" s="4" t="s">
        <v>952</v>
      </c>
      <c r="T55" s="4" t="s">
        <v>153</v>
      </c>
      <c r="U55" s="4" t="s">
        <v>953</v>
      </c>
      <c r="V55" s="4" t="s">
        <v>153</v>
      </c>
      <c r="W55" s="4" t="s">
        <v>954</v>
      </c>
      <c r="X55" s="4" t="s">
        <v>235</v>
      </c>
      <c r="Y55" s="4" t="s">
        <v>955</v>
      </c>
      <c r="Z55" s="4" t="s">
        <v>237</v>
      </c>
      <c r="AA55" s="4" t="s">
        <v>956</v>
      </c>
      <c r="AB55" s="4" t="s">
        <v>153</v>
      </c>
      <c r="AC55" s="4" t="s">
        <v>954</v>
      </c>
      <c r="AD55" s="4" t="s">
        <v>235</v>
      </c>
      <c r="AE55" s="4" t="s">
        <v>957</v>
      </c>
      <c r="AF55" s="4" t="s">
        <v>958</v>
      </c>
      <c r="AG55" s="4" t="s">
        <v>947</v>
      </c>
      <c r="AH55" s="4" t="s">
        <v>959</v>
      </c>
      <c r="AI55" s="5"/>
      <c r="AJ55" t="s">
        <v>960</v>
      </c>
      <c r="AK55" s="4">
        <v>1</v>
      </c>
      <c r="AL55" t="s">
        <v>961</v>
      </c>
      <c r="AM55" t="s">
        <v>153</v>
      </c>
      <c r="AO55" t="s">
        <v>153</v>
      </c>
      <c r="AP55" s="4"/>
      <c r="AQ55" t="s">
        <v>153</v>
      </c>
      <c r="AR55" s="5"/>
      <c r="AT55" s="4" t="s">
        <v>153</v>
      </c>
      <c r="AU55" s="4" t="s">
        <v>153</v>
      </c>
      <c r="AV55" s="4" t="s">
        <v>153</v>
      </c>
      <c r="AW55" t="s">
        <v>153</v>
      </c>
      <c r="AX55" t="s">
        <v>153</v>
      </c>
      <c r="AY55" t="s">
        <v>153</v>
      </c>
      <c r="AZ55" t="s">
        <v>153</v>
      </c>
      <c r="BA55" t="s">
        <v>153</v>
      </c>
      <c r="BB55" t="s">
        <v>153</v>
      </c>
      <c r="BC55" t="s">
        <v>153</v>
      </c>
      <c r="BD55" s="4" t="s">
        <v>153</v>
      </c>
      <c r="BE55" s="4" t="s">
        <v>153</v>
      </c>
      <c r="BF55" t="s">
        <v>153</v>
      </c>
      <c r="BG55" s="4" t="s">
        <v>153</v>
      </c>
      <c r="BH55" t="s">
        <v>153</v>
      </c>
      <c r="BI55" s="4" t="s">
        <v>153</v>
      </c>
      <c r="BJ55" t="s">
        <v>153</v>
      </c>
      <c r="BK55" s="4" t="s">
        <v>153</v>
      </c>
      <c r="BL55" t="s">
        <v>153</v>
      </c>
      <c r="BM55" t="s">
        <v>153</v>
      </c>
      <c r="BN55" s="4" t="s">
        <v>153</v>
      </c>
      <c r="BO55" s="4" t="s">
        <v>153</v>
      </c>
      <c r="BP55" s="4" t="s">
        <v>153</v>
      </c>
      <c r="BQ55" s="4" t="s">
        <v>153</v>
      </c>
      <c r="BR55" s="4" t="s">
        <v>153</v>
      </c>
      <c r="BS55" s="4" t="s">
        <v>153</v>
      </c>
      <c r="BT55" s="4" t="s">
        <v>153</v>
      </c>
      <c r="BU55" s="4" t="s">
        <v>153</v>
      </c>
      <c r="BV55" s="4"/>
      <c r="BW55" s="4" t="s">
        <v>153</v>
      </c>
      <c r="BX55" s="4" t="s">
        <v>153</v>
      </c>
      <c r="BY55" s="4" t="s">
        <v>153</v>
      </c>
      <c r="BZ55" s="4" t="s">
        <v>153</v>
      </c>
      <c r="CA55" s="4" t="s">
        <v>153</v>
      </c>
      <c r="CB55" s="4"/>
      <c r="CC55" s="4" t="s">
        <v>153</v>
      </c>
      <c r="CD55" t="s">
        <v>153</v>
      </c>
      <c r="CE55" s="4" t="s">
        <v>153</v>
      </c>
      <c r="CF55" s="4" t="s">
        <v>153</v>
      </c>
      <c r="CG55" s="4" t="s">
        <v>153</v>
      </c>
      <c r="CH55" s="5"/>
      <c r="CI55" t="s">
        <v>153</v>
      </c>
      <c r="CJ55" s="4"/>
      <c r="CK55" t="s">
        <v>153</v>
      </c>
      <c r="CL55" t="s">
        <v>153</v>
      </c>
      <c r="CM55" t="s">
        <v>153</v>
      </c>
      <c r="CN55" t="s">
        <v>153</v>
      </c>
      <c r="CO55" s="5"/>
      <c r="CP55" s="4" t="s">
        <v>153</v>
      </c>
      <c r="CQ55" s="4" t="s">
        <v>153</v>
      </c>
      <c r="CR55" t="s">
        <v>153</v>
      </c>
      <c r="CS55" t="s">
        <v>153</v>
      </c>
      <c r="CT55" t="s">
        <v>153</v>
      </c>
      <c r="CU55" t="s">
        <v>153</v>
      </c>
      <c r="CV55" t="s">
        <v>153</v>
      </c>
      <c r="CW55" t="s">
        <v>153</v>
      </c>
      <c r="CX55" t="s">
        <v>153</v>
      </c>
      <c r="CY55" t="s">
        <v>153</v>
      </c>
      <c r="CZ55" t="s">
        <v>153</v>
      </c>
      <c r="DA55" t="s">
        <v>153</v>
      </c>
      <c r="DB55" t="s">
        <v>153</v>
      </c>
      <c r="DC55" t="s">
        <v>153</v>
      </c>
      <c r="DD55" t="s">
        <v>153</v>
      </c>
      <c r="DE55" t="s">
        <v>153</v>
      </c>
      <c r="DF55" t="s">
        <v>153</v>
      </c>
      <c r="DG55" t="s">
        <v>153</v>
      </c>
      <c r="DI55" t="s">
        <v>153</v>
      </c>
      <c r="DJ55" t="s">
        <v>153</v>
      </c>
      <c r="DK55" t="s">
        <v>153</v>
      </c>
      <c r="DL55" t="s">
        <v>153</v>
      </c>
      <c r="DN55" t="s">
        <v>153</v>
      </c>
      <c r="DO55" t="s">
        <v>153</v>
      </c>
      <c r="DP55" t="s">
        <v>153</v>
      </c>
      <c r="DQ55" t="s">
        <v>153</v>
      </c>
      <c r="DR55" t="s">
        <v>153</v>
      </c>
      <c r="DS55" t="s">
        <v>153</v>
      </c>
      <c r="DT55" t="s">
        <v>153</v>
      </c>
      <c r="DU55" t="s">
        <v>153</v>
      </c>
      <c r="DV55" t="s">
        <v>153</v>
      </c>
      <c r="DW55" t="s">
        <v>153</v>
      </c>
      <c r="DX55" s="2"/>
      <c r="DY55" t="s">
        <v>153</v>
      </c>
      <c r="DZ55" t="s">
        <v>153</v>
      </c>
      <c r="EA55" t="s">
        <v>153</v>
      </c>
      <c r="EB55" t="s">
        <v>153</v>
      </c>
      <c r="EC55" t="s">
        <v>153</v>
      </c>
      <c r="ED55" t="s">
        <v>153</v>
      </c>
      <c r="EE55" t="s">
        <v>153</v>
      </c>
      <c r="EF55" t="s">
        <v>153</v>
      </c>
      <c r="EH55" t="s">
        <v>153</v>
      </c>
      <c r="EI55" t="s">
        <v>153</v>
      </c>
      <c r="EJ55" t="s">
        <v>153</v>
      </c>
      <c r="EK55" t="s">
        <v>153</v>
      </c>
      <c r="EM55" t="s">
        <v>153</v>
      </c>
      <c r="EN55" t="s">
        <v>153</v>
      </c>
      <c r="EP55" s="4" t="s">
        <v>242</v>
      </c>
      <c r="EQ55" s="4" t="s">
        <v>153</v>
      </c>
      <c r="ER55" s="4" t="s">
        <v>191</v>
      </c>
      <c r="ES55" s="4" t="s">
        <v>153</v>
      </c>
      <c r="ET55" t="s">
        <v>962</v>
      </c>
      <c r="EU55" t="s">
        <v>963</v>
      </c>
      <c r="EV55" t="s">
        <v>964</v>
      </c>
      <c r="EW55">
        <v>1078014225</v>
      </c>
      <c r="EX55" t="s">
        <v>965</v>
      </c>
    </row>
    <row r="56" spans="1:154" x14ac:dyDescent="0.25">
      <c r="A56" s="3">
        <v>44998.58457175926</v>
      </c>
      <c r="B56" s="4" t="s">
        <v>3</v>
      </c>
      <c r="C56" s="4" t="s">
        <v>222</v>
      </c>
      <c r="D56" s="4" t="s">
        <v>223</v>
      </c>
      <c r="E56" s="4" t="s">
        <v>224</v>
      </c>
      <c r="F56" s="4" t="s">
        <v>225</v>
      </c>
      <c r="G56" s="4" t="s">
        <v>948</v>
      </c>
      <c r="H56" s="4" t="s">
        <v>226</v>
      </c>
      <c r="I56" s="4" t="s">
        <v>153</v>
      </c>
      <c r="J56" s="4" t="s">
        <v>966</v>
      </c>
      <c r="K56" s="5">
        <v>44927</v>
      </c>
      <c r="L56" s="4" t="s">
        <v>967</v>
      </c>
      <c r="M56" s="4" t="s">
        <v>968</v>
      </c>
      <c r="N56" s="4" t="s">
        <v>228</v>
      </c>
      <c r="O56" s="4" t="s">
        <v>229</v>
      </c>
      <c r="P56" s="4" t="s">
        <v>230</v>
      </c>
      <c r="Q56" s="4" t="s">
        <v>153</v>
      </c>
      <c r="R56" s="4" t="s">
        <v>205</v>
      </c>
      <c r="S56" s="4" t="s">
        <v>153</v>
      </c>
      <c r="T56" s="4" t="s">
        <v>153</v>
      </c>
      <c r="U56" s="4" t="s">
        <v>153</v>
      </c>
      <c r="V56" s="4" t="s">
        <v>153</v>
      </c>
      <c r="W56" s="4" t="s">
        <v>153</v>
      </c>
      <c r="X56" s="4" t="s">
        <v>153</v>
      </c>
      <c r="Y56" s="4" t="s">
        <v>153</v>
      </c>
      <c r="Z56" s="4" t="s">
        <v>153</v>
      </c>
      <c r="AA56" s="4" t="s">
        <v>969</v>
      </c>
      <c r="AB56" s="4" t="s">
        <v>153</v>
      </c>
      <c r="AC56" s="4" t="s">
        <v>234</v>
      </c>
      <c r="AD56" s="4" t="s">
        <v>235</v>
      </c>
      <c r="AE56" s="4" t="s">
        <v>236</v>
      </c>
      <c r="AF56" s="4" t="s">
        <v>238</v>
      </c>
      <c r="AG56" s="4" t="s">
        <v>239</v>
      </c>
      <c r="AH56" s="4" t="s">
        <v>153</v>
      </c>
      <c r="AI56" s="5"/>
      <c r="AJ56" t="s">
        <v>153</v>
      </c>
      <c r="AK56" s="4"/>
      <c r="AL56" t="s">
        <v>153</v>
      </c>
      <c r="AM56" t="s">
        <v>153</v>
      </c>
      <c r="AO56" t="s">
        <v>153</v>
      </c>
      <c r="AP56" s="4"/>
      <c r="AQ56" t="s">
        <v>153</v>
      </c>
      <c r="AR56" s="5"/>
      <c r="AT56" s="4" t="s">
        <v>153</v>
      </c>
      <c r="AU56" s="4" t="s">
        <v>153</v>
      </c>
      <c r="AV56" s="4" t="s">
        <v>153</v>
      </c>
      <c r="AW56" t="s">
        <v>153</v>
      </c>
      <c r="AX56" t="s">
        <v>153</v>
      </c>
      <c r="AY56" t="s">
        <v>153</v>
      </c>
      <c r="AZ56" t="s">
        <v>153</v>
      </c>
      <c r="BA56" t="s">
        <v>153</v>
      </c>
      <c r="BB56" t="s">
        <v>153</v>
      </c>
      <c r="BC56" t="s">
        <v>153</v>
      </c>
      <c r="BD56" s="4" t="s">
        <v>153</v>
      </c>
      <c r="BE56" s="4" t="s">
        <v>153</v>
      </c>
      <c r="BF56" t="s">
        <v>153</v>
      </c>
      <c r="BG56" s="4" t="s">
        <v>153</v>
      </c>
      <c r="BH56" t="s">
        <v>153</v>
      </c>
      <c r="BI56" s="4" t="s">
        <v>153</v>
      </c>
      <c r="BJ56" t="s">
        <v>153</v>
      </c>
      <c r="BK56" s="4" t="s">
        <v>153</v>
      </c>
      <c r="BL56" t="s">
        <v>153</v>
      </c>
      <c r="BM56" t="s">
        <v>153</v>
      </c>
      <c r="BN56" s="4" t="s">
        <v>153</v>
      </c>
      <c r="BO56" s="4" t="s">
        <v>153</v>
      </c>
      <c r="BP56" s="4" t="s">
        <v>153</v>
      </c>
      <c r="BQ56" s="4" t="s">
        <v>153</v>
      </c>
      <c r="BR56" s="4" t="s">
        <v>153</v>
      </c>
      <c r="BS56" s="4" t="s">
        <v>153</v>
      </c>
      <c r="BT56" s="4" t="s">
        <v>153</v>
      </c>
      <c r="BU56" s="4" t="s">
        <v>153</v>
      </c>
      <c r="BV56" s="4"/>
      <c r="BW56" s="4" t="s">
        <v>153</v>
      </c>
      <c r="BX56" s="4" t="s">
        <v>153</v>
      </c>
      <c r="BY56" s="4" t="s">
        <v>153</v>
      </c>
      <c r="BZ56" s="4" t="s">
        <v>153</v>
      </c>
      <c r="CA56" s="4" t="s">
        <v>153</v>
      </c>
      <c r="CB56" s="4"/>
      <c r="CC56" s="4" t="s">
        <v>153</v>
      </c>
      <c r="CD56" t="s">
        <v>153</v>
      </c>
      <c r="CE56" s="4" t="s">
        <v>153</v>
      </c>
      <c r="CF56" s="4" t="s">
        <v>153</v>
      </c>
      <c r="CG56" s="4" t="s">
        <v>153</v>
      </c>
      <c r="CH56" s="5"/>
      <c r="CI56" t="s">
        <v>153</v>
      </c>
      <c r="CJ56" s="4"/>
      <c r="CK56" t="s">
        <v>153</v>
      </c>
      <c r="CL56" t="s">
        <v>153</v>
      </c>
      <c r="CM56" t="s">
        <v>153</v>
      </c>
      <c r="CN56" t="s">
        <v>153</v>
      </c>
      <c r="CO56" s="5"/>
      <c r="CP56" s="4" t="s">
        <v>153</v>
      </c>
      <c r="CQ56" s="4" t="s">
        <v>153</v>
      </c>
      <c r="CR56" t="s">
        <v>153</v>
      </c>
      <c r="CS56" t="s">
        <v>153</v>
      </c>
      <c r="CT56" t="s">
        <v>153</v>
      </c>
      <c r="CU56" t="s">
        <v>153</v>
      </c>
      <c r="CV56" t="s">
        <v>153</v>
      </c>
      <c r="CW56" t="s">
        <v>153</v>
      </c>
      <c r="CX56" t="s">
        <v>153</v>
      </c>
      <c r="CY56" t="s">
        <v>153</v>
      </c>
      <c r="CZ56" t="s">
        <v>153</v>
      </c>
      <c r="DA56" t="s">
        <v>153</v>
      </c>
      <c r="DB56" t="s">
        <v>153</v>
      </c>
      <c r="DC56" t="s">
        <v>153</v>
      </c>
      <c r="DD56" t="s">
        <v>153</v>
      </c>
      <c r="DE56" t="s">
        <v>153</v>
      </c>
      <c r="DF56" t="s">
        <v>153</v>
      </c>
      <c r="DG56" t="s">
        <v>153</v>
      </c>
      <c r="DI56" t="s">
        <v>153</v>
      </c>
      <c r="DJ56" t="s">
        <v>153</v>
      </c>
      <c r="DK56" t="s">
        <v>153</v>
      </c>
      <c r="DL56" t="s">
        <v>153</v>
      </c>
      <c r="DN56" t="s">
        <v>153</v>
      </c>
      <c r="DO56" t="s">
        <v>153</v>
      </c>
      <c r="DP56" t="s">
        <v>153</v>
      </c>
      <c r="DQ56" t="s">
        <v>153</v>
      </c>
      <c r="DR56" t="s">
        <v>153</v>
      </c>
      <c r="DS56" t="s">
        <v>153</v>
      </c>
      <c r="DT56" t="s">
        <v>153</v>
      </c>
      <c r="DU56" t="s">
        <v>153</v>
      </c>
      <c r="DV56" t="s">
        <v>153</v>
      </c>
      <c r="DW56" t="s">
        <v>153</v>
      </c>
      <c r="DX56" s="2"/>
      <c r="DY56" t="s">
        <v>153</v>
      </c>
      <c r="DZ56" t="s">
        <v>153</v>
      </c>
      <c r="EA56" t="s">
        <v>153</v>
      </c>
      <c r="EB56" t="s">
        <v>153</v>
      </c>
      <c r="EC56" t="s">
        <v>153</v>
      </c>
      <c r="ED56" t="s">
        <v>153</v>
      </c>
      <c r="EE56" t="s">
        <v>153</v>
      </c>
      <c r="EF56" t="s">
        <v>153</v>
      </c>
      <c r="EH56" t="s">
        <v>153</v>
      </c>
      <c r="EI56" t="s">
        <v>153</v>
      </c>
      <c r="EJ56" t="s">
        <v>153</v>
      </c>
      <c r="EK56" t="s">
        <v>153</v>
      </c>
      <c r="EM56" t="s">
        <v>153</v>
      </c>
      <c r="EN56" t="s">
        <v>153</v>
      </c>
      <c r="EP56" s="4" t="s">
        <v>153</v>
      </c>
      <c r="EQ56" s="4" t="s">
        <v>153</v>
      </c>
      <c r="ER56" s="4" t="s">
        <v>205</v>
      </c>
      <c r="ES56" s="4" t="s">
        <v>153</v>
      </c>
      <c r="ET56" t="s">
        <v>970</v>
      </c>
      <c r="EU56" t="s">
        <v>876</v>
      </c>
      <c r="EV56" t="s">
        <v>246</v>
      </c>
      <c r="EW56">
        <v>1078907560</v>
      </c>
      <c r="EX56" t="s">
        <v>247</v>
      </c>
    </row>
    <row r="57" spans="1:154" x14ac:dyDescent="0.25">
      <c r="A57" s="3">
        <v>45005.995810185188</v>
      </c>
      <c r="B57" s="4" t="s">
        <v>3</v>
      </c>
      <c r="C57" s="4" t="s">
        <v>248</v>
      </c>
      <c r="D57" s="4" t="s">
        <v>249</v>
      </c>
      <c r="E57" s="4" t="s">
        <v>250</v>
      </c>
      <c r="F57" s="4" t="s">
        <v>251</v>
      </c>
      <c r="G57" s="4" t="s">
        <v>252</v>
      </c>
      <c r="H57" s="4" t="s">
        <v>253</v>
      </c>
      <c r="I57" s="4" t="s">
        <v>153</v>
      </c>
      <c r="J57" s="4" t="s">
        <v>153</v>
      </c>
      <c r="K57" s="5"/>
      <c r="L57" s="4" t="s">
        <v>153</v>
      </c>
      <c r="M57" s="4" t="s">
        <v>153</v>
      </c>
      <c r="N57" s="4" t="s">
        <v>153</v>
      </c>
      <c r="O57" s="4" t="s">
        <v>153</v>
      </c>
      <c r="P57" s="4" t="s">
        <v>153</v>
      </c>
      <c r="Q57" s="4" t="s">
        <v>153</v>
      </c>
      <c r="R57" s="4" t="s">
        <v>153</v>
      </c>
      <c r="S57" s="4" t="s">
        <v>153</v>
      </c>
      <c r="T57" s="4" t="s">
        <v>153</v>
      </c>
      <c r="U57" s="4" t="s">
        <v>153</v>
      </c>
      <c r="V57" s="4" t="s">
        <v>153</v>
      </c>
      <c r="W57" s="4" t="s">
        <v>153</v>
      </c>
      <c r="X57" s="4" t="s">
        <v>153</v>
      </c>
      <c r="Y57" s="4" t="s">
        <v>153</v>
      </c>
      <c r="Z57" s="4" t="s">
        <v>153</v>
      </c>
      <c r="AA57" s="4" t="s">
        <v>153</v>
      </c>
      <c r="AB57" s="4" t="s">
        <v>153</v>
      </c>
      <c r="AC57" s="4" t="s">
        <v>153</v>
      </c>
      <c r="AD57" s="4" t="s">
        <v>153</v>
      </c>
      <c r="AE57" s="4" t="s">
        <v>153</v>
      </c>
      <c r="AF57" s="4" t="s">
        <v>153</v>
      </c>
      <c r="AG57" s="4" t="s">
        <v>153</v>
      </c>
      <c r="AH57" s="4" t="s">
        <v>153</v>
      </c>
      <c r="AI57" s="5"/>
      <c r="AJ57" t="s">
        <v>153</v>
      </c>
      <c r="AK57" s="4"/>
      <c r="AL57" t="s">
        <v>153</v>
      </c>
      <c r="AM57" t="s">
        <v>153</v>
      </c>
      <c r="AO57" t="s">
        <v>153</v>
      </c>
      <c r="AP57" s="4"/>
      <c r="AQ57" t="s">
        <v>153</v>
      </c>
      <c r="AR57" s="5">
        <v>44854</v>
      </c>
      <c r="AS57">
        <v>1</v>
      </c>
      <c r="AT57" s="4" t="s">
        <v>419</v>
      </c>
      <c r="AU57" s="4" t="s">
        <v>971</v>
      </c>
      <c r="AV57" s="4" t="s">
        <v>359</v>
      </c>
      <c r="AW57" t="s">
        <v>153</v>
      </c>
      <c r="AX57" t="s">
        <v>153</v>
      </c>
      <c r="AY57" t="s">
        <v>153</v>
      </c>
      <c r="AZ57" t="s">
        <v>432</v>
      </c>
      <c r="BA57" t="s">
        <v>153</v>
      </c>
      <c r="BB57" t="s">
        <v>153</v>
      </c>
      <c r="BC57" t="s">
        <v>153</v>
      </c>
      <c r="BD57" s="4" t="s">
        <v>972</v>
      </c>
      <c r="BE57" s="4" t="s">
        <v>973</v>
      </c>
      <c r="BF57" t="s">
        <v>243</v>
      </c>
      <c r="BG57" s="4" t="s">
        <v>153</v>
      </c>
      <c r="BH57" t="s">
        <v>153</v>
      </c>
      <c r="BI57" s="4" t="s">
        <v>153</v>
      </c>
      <c r="BJ57" t="s">
        <v>153</v>
      </c>
      <c r="BK57" s="4" t="s">
        <v>153</v>
      </c>
      <c r="BL57" t="s">
        <v>153</v>
      </c>
      <c r="BM57" t="s">
        <v>153</v>
      </c>
      <c r="BN57" s="4" t="s">
        <v>153</v>
      </c>
      <c r="BO57" s="4" t="s">
        <v>153</v>
      </c>
      <c r="BP57" s="4" t="s">
        <v>153</v>
      </c>
      <c r="BQ57" s="4" t="s">
        <v>153</v>
      </c>
      <c r="BR57" s="4" t="s">
        <v>153</v>
      </c>
      <c r="BS57" s="4" t="s">
        <v>153</v>
      </c>
      <c r="BT57" s="4" t="s">
        <v>153</v>
      </c>
      <c r="BU57" s="4" t="s">
        <v>153</v>
      </c>
      <c r="BV57" s="4"/>
      <c r="BW57" s="4" t="s">
        <v>153</v>
      </c>
      <c r="BX57" s="4" t="s">
        <v>153</v>
      </c>
      <c r="BY57" s="4" t="s">
        <v>153</v>
      </c>
      <c r="BZ57" s="4" t="s">
        <v>153</v>
      </c>
      <c r="CA57" s="4" t="s">
        <v>153</v>
      </c>
      <c r="CB57" s="4"/>
      <c r="CC57" s="4" t="s">
        <v>153</v>
      </c>
      <c r="CD57" t="s">
        <v>153</v>
      </c>
      <c r="CE57" s="4" t="s">
        <v>153</v>
      </c>
      <c r="CF57" s="4" t="s">
        <v>153</v>
      </c>
      <c r="CG57" s="4" t="s">
        <v>153</v>
      </c>
      <c r="CH57" s="5"/>
      <c r="CI57" t="s">
        <v>153</v>
      </c>
      <c r="CJ57" s="4"/>
      <c r="CK57" t="s">
        <v>153</v>
      </c>
      <c r="CL57" t="s">
        <v>153</v>
      </c>
      <c r="CM57" t="s">
        <v>153</v>
      </c>
      <c r="CN57" t="s">
        <v>153</v>
      </c>
      <c r="CO57" s="5"/>
      <c r="CP57" s="4" t="s">
        <v>153</v>
      </c>
      <c r="CQ57" s="4" t="s">
        <v>153</v>
      </c>
      <c r="CR57" t="s">
        <v>153</v>
      </c>
      <c r="CS57" t="s">
        <v>153</v>
      </c>
      <c r="CT57" t="s">
        <v>153</v>
      </c>
      <c r="CU57" t="s">
        <v>153</v>
      </c>
      <c r="CV57" t="s">
        <v>153</v>
      </c>
      <c r="CW57" t="s">
        <v>153</v>
      </c>
      <c r="CX57" t="s">
        <v>153</v>
      </c>
      <c r="CY57" t="s">
        <v>153</v>
      </c>
      <c r="CZ57" t="s">
        <v>153</v>
      </c>
      <c r="DA57" t="s">
        <v>153</v>
      </c>
      <c r="DB57" t="s">
        <v>153</v>
      </c>
      <c r="DC57" t="s">
        <v>153</v>
      </c>
      <c r="DD57" t="s">
        <v>153</v>
      </c>
      <c r="DE57" t="s">
        <v>153</v>
      </c>
      <c r="DF57" t="s">
        <v>153</v>
      </c>
      <c r="DG57" t="s">
        <v>153</v>
      </c>
      <c r="DI57" t="s">
        <v>153</v>
      </c>
      <c r="DJ57" t="s">
        <v>153</v>
      </c>
      <c r="DK57" t="s">
        <v>153</v>
      </c>
      <c r="DL57" t="s">
        <v>153</v>
      </c>
      <c r="DN57" t="s">
        <v>153</v>
      </c>
      <c r="DO57" t="s">
        <v>153</v>
      </c>
      <c r="DP57" t="s">
        <v>153</v>
      </c>
      <c r="DQ57" t="s">
        <v>153</v>
      </c>
      <c r="DR57" t="s">
        <v>153</v>
      </c>
      <c r="DS57" t="s">
        <v>153</v>
      </c>
      <c r="DT57" t="s">
        <v>153</v>
      </c>
      <c r="DU57" t="s">
        <v>153</v>
      </c>
      <c r="DV57" t="s">
        <v>153</v>
      </c>
      <c r="DW57" t="s">
        <v>153</v>
      </c>
      <c r="DX57" s="2"/>
      <c r="DY57" t="s">
        <v>153</v>
      </c>
      <c r="DZ57" t="s">
        <v>153</v>
      </c>
      <c r="EA57" t="s">
        <v>153</v>
      </c>
      <c r="EB57" t="s">
        <v>153</v>
      </c>
      <c r="EC57" t="s">
        <v>153</v>
      </c>
      <c r="ED57" t="s">
        <v>153</v>
      </c>
      <c r="EE57" t="s">
        <v>153</v>
      </c>
      <c r="EF57" t="s">
        <v>153</v>
      </c>
      <c r="EH57" t="s">
        <v>153</v>
      </c>
      <c r="EI57" t="s">
        <v>153</v>
      </c>
      <c r="EJ57" t="s">
        <v>153</v>
      </c>
      <c r="EK57" t="s">
        <v>153</v>
      </c>
      <c r="EM57" t="s">
        <v>153</v>
      </c>
      <c r="EN57" t="s">
        <v>153</v>
      </c>
      <c r="EP57" s="4" t="s">
        <v>153</v>
      </c>
      <c r="EQ57" s="4" t="s">
        <v>153</v>
      </c>
      <c r="ER57" s="4" t="s">
        <v>243</v>
      </c>
      <c r="ES57" s="4" t="s">
        <v>205</v>
      </c>
      <c r="ET57" t="s">
        <v>974</v>
      </c>
      <c r="EU57" t="s">
        <v>941</v>
      </c>
      <c r="EV57" t="s">
        <v>262</v>
      </c>
      <c r="EW57">
        <v>1081866990</v>
      </c>
      <c r="EX57" t="s">
        <v>263</v>
      </c>
    </row>
    <row r="58" spans="1:154" x14ac:dyDescent="0.25">
      <c r="A58" s="3">
        <v>45013.533043981479</v>
      </c>
      <c r="B58" s="4" t="s">
        <v>3</v>
      </c>
      <c r="C58" s="4" t="s">
        <v>892</v>
      </c>
      <c r="D58" s="4" t="s">
        <v>893</v>
      </c>
      <c r="E58" s="4" t="s">
        <v>894</v>
      </c>
      <c r="F58" s="4" t="s">
        <v>895</v>
      </c>
      <c r="G58" s="4" t="s">
        <v>185</v>
      </c>
      <c r="H58" s="4" t="s">
        <v>542</v>
      </c>
      <c r="I58" s="4" t="s">
        <v>153</v>
      </c>
      <c r="J58" s="4" t="s">
        <v>153</v>
      </c>
      <c r="K58" s="5"/>
      <c r="L58" s="4" t="s">
        <v>153</v>
      </c>
      <c r="M58" s="4" t="s">
        <v>975</v>
      </c>
      <c r="N58" s="4" t="s">
        <v>976</v>
      </c>
      <c r="O58" s="4" t="s">
        <v>977</v>
      </c>
      <c r="P58" s="4" t="s">
        <v>978</v>
      </c>
      <c r="Q58" s="4" t="s">
        <v>190</v>
      </c>
      <c r="R58" s="4" t="s">
        <v>191</v>
      </c>
      <c r="S58" s="4" t="s">
        <v>979</v>
      </c>
      <c r="T58" s="4" t="s">
        <v>153</v>
      </c>
      <c r="U58" s="4" t="s">
        <v>980</v>
      </c>
      <c r="V58" s="4" t="s">
        <v>153</v>
      </c>
      <c r="W58" s="4" t="s">
        <v>981</v>
      </c>
      <c r="X58" s="4" t="s">
        <v>722</v>
      </c>
      <c r="Y58" s="4" t="s">
        <v>982</v>
      </c>
      <c r="Z58" s="4" t="s">
        <v>237</v>
      </c>
      <c r="AA58" s="4" t="s">
        <v>980</v>
      </c>
      <c r="AB58" s="4" t="s">
        <v>153</v>
      </c>
      <c r="AC58" s="4" t="s">
        <v>981</v>
      </c>
      <c r="AD58" s="4" t="s">
        <v>722</v>
      </c>
      <c r="AE58" s="4" t="s">
        <v>982</v>
      </c>
      <c r="AF58" s="4" t="s">
        <v>983</v>
      </c>
      <c r="AG58" s="4" t="s">
        <v>984</v>
      </c>
      <c r="AH58" s="4" t="s">
        <v>153</v>
      </c>
      <c r="AI58" s="5">
        <v>44755</v>
      </c>
      <c r="AJ58" t="s">
        <v>153</v>
      </c>
      <c r="AK58" s="4">
        <v>5</v>
      </c>
      <c r="AL58" t="s">
        <v>153</v>
      </c>
      <c r="AM58" t="s">
        <v>153</v>
      </c>
      <c r="AO58" t="s">
        <v>153</v>
      </c>
      <c r="AP58" s="4"/>
      <c r="AQ58" t="s">
        <v>153</v>
      </c>
      <c r="AR58" s="5"/>
      <c r="AT58" s="4" t="s">
        <v>153</v>
      </c>
      <c r="AU58" s="4" t="s">
        <v>153</v>
      </c>
      <c r="AV58" s="4" t="s">
        <v>153</v>
      </c>
      <c r="AW58" t="s">
        <v>153</v>
      </c>
      <c r="AX58" t="s">
        <v>153</v>
      </c>
      <c r="AY58" t="s">
        <v>153</v>
      </c>
      <c r="AZ58" t="s">
        <v>153</v>
      </c>
      <c r="BA58" t="s">
        <v>153</v>
      </c>
      <c r="BB58" t="s">
        <v>153</v>
      </c>
      <c r="BC58" t="s">
        <v>153</v>
      </c>
      <c r="BD58" s="4" t="s">
        <v>153</v>
      </c>
      <c r="BE58" s="4" t="s">
        <v>153</v>
      </c>
      <c r="BF58" t="s">
        <v>153</v>
      </c>
      <c r="BG58" s="4" t="s">
        <v>153</v>
      </c>
      <c r="BH58" t="s">
        <v>153</v>
      </c>
      <c r="BI58" s="4" t="s">
        <v>153</v>
      </c>
      <c r="BJ58" t="s">
        <v>153</v>
      </c>
      <c r="BK58" s="4" t="s">
        <v>153</v>
      </c>
      <c r="BL58" t="s">
        <v>153</v>
      </c>
      <c r="BM58" t="s">
        <v>153</v>
      </c>
      <c r="BN58" s="4" t="s">
        <v>153</v>
      </c>
      <c r="BO58" s="4" t="s">
        <v>153</v>
      </c>
      <c r="BP58" s="4" t="s">
        <v>153</v>
      </c>
      <c r="BQ58" s="4" t="s">
        <v>153</v>
      </c>
      <c r="BR58" s="4" t="s">
        <v>153</v>
      </c>
      <c r="BS58" s="4" t="s">
        <v>153</v>
      </c>
      <c r="BT58" s="4" t="s">
        <v>153</v>
      </c>
      <c r="BU58" s="4" t="s">
        <v>153</v>
      </c>
      <c r="BV58" s="4"/>
      <c r="BW58" s="4" t="s">
        <v>153</v>
      </c>
      <c r="BX58" s="4" t="s">
        <v>153</v>
      </c>
      <c r="BY58" s="4" t="s">
        <v>153</v>
      </c>
      <c r="BZ58" s="4" t="s">
        <v>153</v>
      </c>
      <c r="CA58" s="4" t="s">
        <v>153</v>
      </c>
      <c r="CB58" s="4"/>
      <c r="CC58" s="4" t="s">
        <v>153</v>
      </c>
      <c r="CD58" t="s">
        <v>153</v>
      </c>
      <c r="CE58" s="4" t="s">
        <v>153</v>
      </c>
      <c r="CF58" s="4" t="s">
        <v>153</v>
      </c>
      <c r="CG58" s="4" t="s">
        <v>153</v>
      </c>
      <c r="CH58" s="5"/>
      <c r="CI58" t="s">
        <v>153</v>
      </c>
      <c r="CJ58" s="4"/>
      <c r="CK58" t="s">
        <v>153</v>
      </c>
      <c r="CL58" t="s">
        <v>153</v>
      </c>
      <c r="CM58" t="s">
        <v>153</v>
      </c>
      <c r="CN58" t="s">
        <v>153</v>
      </c>
      <c r="CO58" s="5"/>
      <c r="CP58" s="4" t="s">
        <v>153</v>
      </c>
      <c r="CQ58" s="4" t="s">
        <v>153</v>
      </c>
      <c r="CR58" t="s">
        <v>153</v>
      </c>
      <c r="CS58" t="s">
        <v>153</v>
      </c>
      <c r="CT58" t="s">
        <v>153</v>
      </c>
      <c r="CU58" t="s">
        <v>153</v>
      </c>
      <c r="CV58" t="s">
        <v>153</v>
      </c>
      <c r="CW58" t="s">
        <v>153</v>
      </c>
      <c r="CX58" t="s">
        <v>153</v>
      </c>
      <c r="CY58" t="s">
        <v>153</v>
      </c>
      <c r="CZ58" t="s">
        <v>153</v>
      </c>
      <c r="DA58" t="s">
        <v>153</v>
      </c>
      <c r="DB58" t="s">
        <v>153</v>
      </c>
      <c r="DC58" t="s">
        <v>153</v>
      </c>
      <c r="DD58" t="s">
        <v>153</v>
      </c>
      <c r="DE58" t="s">
        <v>153</v>
      </c>
      <c r="DF58" t="s">
        <v>153</v>
      </c>
      <c r="DG58" t="s">
        <v>153</v>
      </c>
      <c r="DI58" t="s">
        <v>153</v>
      </c>
      <c r="DJ58" t="s">
        <v>153</v>
      </c>
      <c r="DK58" t="s">
        <v>153</v>
      </c>
      <c r="DL58" t="s">
        <v>153</v>
      </c>
      <c r="DN58" t="s">
        <v>153</v>
      </c>
      <c r="DO58" t="s">
        <v>153</v>
      </c>
      <c r="DP58" t="s">
        <v>153</v>
      </c>
      <c r="DQ58" t="s">
        <v>153</v>
      </c>
      <c r="DR58" t="s">
        <v>153</v>
      </c>
      <c r="DS58" t="s">
        <v>153</v>
      </c>
      <c r="DT58" t="s">
        <v>153</v>
      </c>
      <c r="DU58" t="s">
        <v>153</v>
      </c>
      <c r="DV58" t="s">
        <v>153</v>
      </c>
      <c r="DW58" t="s">
        <v>153</v>
      </c>
      <c r="DX58" s="2"/>
      <c r="DY58" t="s">
        <v>153</v>
      </c>
      <c r="DZ58" t="s">
        <v>153</v>
      </c>
      <c r="EA58" t="s">
        <v>153</v>
      </c>
      <c r="EB58" t="s">
        <v>153</v>
      </c>
      <c r="EC58" t="s">
        <v>153</v>
      </c>
      <c r="ED58" t="s">
        <v>153</v>
      </c>
      <c r="EE58" t="s">
        <v>153</v>
      </c>
      <c r="EF58" t="s">
        <v>153</v>
      </c>
      <c r="EH58" t="s">
        <v>153</v>
      </c>
      <c r="EI58" t="s">
        <v>153</v>
      </c>
      <c r="EJ58" t="s">
        <v>153</v>
      </c>
      <c r="EK58" t="s">
        <v>153</v>
      </c>
      <c r="EM58" t="s">
        <v>153</v>
      </c>
      <c r="EN58" t="s">
        <v>153</v>
      </c>
      <c r="EP58" s="4" t="s">
        <v>242</v>
      </c>
      <c r="EQ58" s="4" t="s">
        <v>153</v>
      </c>
      <c r="ER58" s="4" t="s">
        <v>243</v>
      </c>
      <c r="ES58" s="4" t="s">
        <v>244</v>
      </c>
      <c r="ET58" t="s">
        <v>985</v>
      </c>
      <c r="EU58" t="s">
        <v>821</v>
      </c>
      <c r="EV58" t="s">
        <v>909</v>
      </c>
      <c r="EW58">
        <v>1084648180</v>
      </c>
      <c r="EX58" t="s">
        <v>910</v>
      </c>
    </row>
    <row r="59" spans="1:154" x14ac:dyDescent="0.25">
      <c r="A59" s="3">
        <v>45034.688946759263</v>
      </c>
      <c r="B59" s="4" t="s">
        <v>3</v>
      </c>
      <c r="C59" s="4" t="s">
        <v>986</v>
      </c>
      <c r="D59" s="4" t="s">
        <v>987</v>
      </c>
      <c r="E59" s="4" t="s">
        <v>988</v>
      </c>
      <c r="F59" s="4" t="s">
        <v>989</v>
      </c>
      <c r="G59" s="4" t="s">
        <v>185</v>
      </c>
      <c r="H59" s="4" t="s">
        <v>826</v>
      </c>
      <c r="I59" s="4" t="s">
        <v>153</v>
      </c>
      <c r="J59" s="4" t="s">
        <v>153</v>
      </c>
      <c r="K59" s="5"/>
      <c r="L59" s="4" t="s">
        <v>153</v>
      </c>
      <c r="M59" s="4" t="s">
        <v>990</v>
      </c>
      <c r="N59" s="4" t="s">
        <v>153</v>
      </c>
      <c r="O59" s="4" t="s">
        <v>991</v>
      </c>
      <c r="P59" s="4" t="s">
        <v>992</v>
      </c>
      <c r="Q59" s="4" t="s">
        <v>190</v>
      </c>
      <c r="R59" s="4" t="s">
        <v>191</v>
      </c>
      <c r="S59" s="4" t="s">
        <v>993</v>
      </c>
      <c r="T59" s="4" t="s">
        <v>994</v>
      </c>
      <c r="U59" s="4" t="s">
        <v>995</v>
      </c>
      <c r="V59" s="4" t="s">
        <v>153</v>
      </c>
      <c r="W59" s="4" t="s">
        <v>833</v>
      </c>
      <c r="X59" s="4" t="s">
        <v>347</v>
      </c>
      <c r="Y59" s="4" t="s">
        <v>834</v>
      </c>
      <c r="Z59" s="4" t="s">
        <v>996</v>
      </c>
      <c r="AA59" s="4" t="s">
        <v>997</v>
      </c>
      <c r="AB59" s="4" t="s">
        <v>153</v>
      </c>
      <c r="AC59" s="4" t="s">
        <v>998</v>
      </c>
      <c r="AD59" s="4" t="s">
        <v>347</v>
      </c>
      <c r="AE59" s="4" t="s">
        <v>999</v>
      </c>
      <c r="AF59" s="4" t="s">
        <v>1000</v>
      </c>
      <c r="AG59" s="4" t="s">
        <v>1001</v>
      </c>
      <c r="AH59" s="4" t="s">
        <v>153</v>
      </c>
      <c r="AI59" s="5">
        <v>45081</v>
      </c>
      <c r="AJ59" t="s">
        <v>591</v>
      </c>
      <c r="AK59" s="4">
        <v>0</v>
      </c>
      <c r="AL59" t="s">
        <v>1002</v>
      </c>
      <c r="AM59" t="s">
        <v>153</v>
      </c>
      <c r="AO59" t="s">
        <v>153</v>
      </c>
      <c r="AP59" s="4"/>
      <c r="AQ59" t="s">
        <v>153</v>
      </c>
      <c r="AR59" s="5"/>
      <c r="AT59" s="4" t="s">
        <v>153</v>
      </c>
      <c r="AU59" s="4" t="s">
        <v>153</v>
      </c>
      <c r="AV59" s="4" t="s">
        <v>153</v>
      </c>
      <c r="AW59" t="s">
        <v>153</v>
      </c>
      <c r="AX59" t="s">
        <v>153</v>
      </c>
      <c r="AY59" t="s">
        <v>153</v>
      </c>
      <c r="AZ59" t="s">
        <v>153</v>
      </c>
      <c r="BA59" t="s">
        <v>153</v>
      </c>
      <c r="BB59" t="s">
        <v>153</v>
      </c>
      <c r="BC59" t="s">
        <v>153</v>
      </c>
      <c r="BD59" s="4" t="s">
        <v>153</v>
      </c>
      <c r="BE59" s="4" t="s">
        <v>153</v>
      </c>
      <c r="BF59" t="s">
        <v>153</v>
      </c>
      <c r="BG59" s="4" t="s">
        <v>153</v>
      </c>
      <c r="BH59" t="s">
        <v>153</v>
      </c>
      <c r="BI59" s="4" t="s">
        <v>153</v>
      </c>
      <c r="BJ59" t="s">
        <v>153</v>
      </c>
      <c r="BK59" s="4" t="s">
        <v>153</v>
      </c>
      <c r="BL59" t="s">
        <v>153</v>
      </c>
      <c r="BM59" t="s">
        <v>153</v>
      </c>
      <c r="BN59" s="4" t="s">
        <v>153</v>
      </c>
      <c r="BO59" s="4" t="s">
        <v>153</v>
      </c>
      <c r="BP59" s="4" t="s">
        <v>153</v>
      </c>
      <c r="BQ59" s="4" t="s">
        <v>153</v>
      </c>
      <c r="BR59" s="4" t="s">
        <v>153</v>
      </c>
      <c r="BS59" s="4" t="s">
        <v>153</v>
      </c>
      <c r="BT59" s="4" t="s">
        <v>153</v>
      </c>
      <c r="BU59" s="4" t="s">
        <v>153</v>
      </c>
      <c r="BV59" s="4"/>
      <c r="BW59" s="4" t="s">
        <v>153</v>
      </c>
      <c r="BX59" s="4" t="s">
        <v>153</v>
      </c>
      <c r="BY59" s="4" t="s">
        <v>153</v>
      </c>
      <c r="BZ59" s="4" t="s">
        <v>153</v>
      </c>
      <c r="CA59" s="4" t="s">
        <v>153</v>
      </c>
      <c r="CB59" s="4"/>
      <c r="CC59" s="4" t="s">
        <v>153</v>
      </c>
      <c r="CD59" t="s">
        <v>153</v>
      </c>
      <c r="CE59" s="4" t="s">
        <v>153</v>
      </c>
      <c r="CF59" s="4" t="s">
        <v>153</v>
      </c>
      <c r="CG59" s="4" t="s">
        <v>153</v>
      </c>
      <c r="CH59" s="5"/>
      <c r="CI59" t="s">
        <v>153</v>
      </c>
      <c r="CJ59" s="4"/>
      <c r="CK59" t="s">
        <v>153</v>
      </c>
      <c r="CL59" t="s">
        <v>153</v>
      </c>
      <c r="CM59" t="s">
        <v>153</v>
      </c>
      <c r="CN59" t="s">
        <v>153</v>
      </c>
      <c r="CO59" s="5"/>
      <c r="CP59" s="4" t="s">
        <v>153</v>
      </c>
      <c r="CQ59" s="4" t="s">
        <v>153</v>
      </c>
      <c r="CR59" t="s">
        <v>153</v>
      </c>
      <c r="CS59" t="s">
        <v>153</v>
      </c>
      <c r="CT59" t="s">
        <v>153</v>
      </c>
      <c r="CU59" t="s">
        <v>153</v>
      </c>
      <c r="CV59" t="s">
        <v>153</v>
      </c>
      <c r="CW59" t="s">
        <v>153</v>
      </c>
      <c r="CX59" t="s">
        <v>153</v>
      </c>
      <c r="CY59" t="s">
        <v>153</v>
      </c>
      <c r="CZ59" t="s">
        <v>153</v>
      </c>
      <c r="DA59" t="s">
        <v>153</v>
      </c>
      <c r="DB59" t="s">
        <v>153</v>
      </c>
      <c r="DC59" t="s">
        <v>153</v>
      </c>
      <c r="DD59" t="s">
        <v>153</v>
      </c>
      <c r="DE59" t="s">
        <v>153</v>
      </c>
      <c r="DF59" t="s">
        <v>153</v>
      </c>
      <c r="DG59" t="s">
        <v>153</v>
      </c>
      <c r="DI59" t="s">
        <v>153</v>
      </c>
      <c r="DJ59" t="s">
        <v>153</v>
      </c>
      <c r="DK59" t="s">
        <v>153</v>
      </c>
      <c r="DL59" t="s">
        <v>153</v>
      </c>
      <c r="DN59" t="s">
        <v>153</v>
      </c>
      <c r="DO59" t="s">
        <v>153</v>
      </c>
      <c r="DP59" t="s">
        <v>153</v>
      </c>
      <c r="DQ59" t="s">
        <v>153</v>
      </c>
      <c r="DR59" t="s">
        <v>153</v>
      </c>
      <c r="DS59" t="s">
        <v>153</v>
      </c>
      <c r="DT59" t="s">
        <v>153</v>
      </c>
      <c r="DU59" t="s">
        <v>153</v>
      </c>
      <c r="DV59" t="s">
        <v>153</v>
      </c>
      <c r="DW59" t="s">
        <v>153</v>
      </c>
      <c r="DX59" s="2"/>
      <c r="DY59" t="s">
        <v>153</v>
      </c>
      <c r="DZ59" t="s">
        <v>153</v>
      </c>
      <c r="EA59" t="s">
        <v>153</v>
      </c>
      <c r="EB59" t="s">
        <v>153</v>
      </c>
      <c r="EC59" t="s">
        <v>153</v>
      </c>
      <c r="ED59" t="s">
        <v>153</v>
      </c>
      <c r="EE59" t="s">
        <v>153</v>
      </c>
      <c r="EF59" t="s">
        <v>153</v>
      </c>
      <c r="EH59" t="s">
        <v>153</v>
      </c>
      <c r="EI59" t="s">
        <v>153</v>
      </c>
      <c r="EJ59" t="s">
        <v>153</v>
      </c>
      <c r="EK59" t="s">
        <v>153</v>
      </c>
      <c r="EM59" t="s">
        <v>153</v>
      </c>
      <c r="EN59" t="s">
        <v>153</v>
      </c>
      <c r="EP59" s="4" t="s">
        <v>243</v>
      </c>
      <c r="EQ59" s="4" t="s">
        <v>842</v>
      </c>
      <c r="ER59" s="4" t="s">
        <v>243</v>
      </c>
      <c r="ES59" s="4" t="s">
        <v>244</v>
      </c>
      <c r="ET59" t="s">
        <v>1003</v>
      </c>
      <c r="EU59" t="s">
        <v>1004</v>
      </c>
      <c r="EV59" t="s">
        <v>1005</v>
      </c>
      <c r="EW59">
        <v>1092415506</v>
      </c>
      <c r="EX59" t="s">
        <v>1006</v>
      </c>
    </row>
    <row r="60" spans="1:154" x14ac:dyDescent="0.25">
      <c r="A60" s="3">
        <v>45042.576574074075</v>
      </c>
      <c r="B60" s="4" t="s">
        <v>3</v>
      </c>
      <c r="C60" s="4" t="s">
        <v>1007</v>
      </c>
      <c r="D60" s="4" t="s">
        <v>1008</v>
      </c>
      <c r="E60" s="4" t="s">
        <v>1009</v>
      </c>
      <c r="F60" s="4" t="s">
        <v>1010</v>
      </c>
      <c r="G60" s="4" t="s">
        <v>185</v>
      </c>
      <c r="H60" s="4" t="s">
        <v>1011</v>
      </c>
      <c r="I60" s="4" t="s">
        <v>153</v>
      </c>
      <c r="J60" s="4" t="s">
        <v>153</v>
      </c>
      <c r="K60" s="5"/>
      <c r="L60" s="4" t="s">
        <v>153</v>
      </c>
      <c r="M60" s="4" t="s">
        <v>1012</v>
      </c>
      <c r="N60" s="4" t="s">
        <v>1012</v>
      </c>
      <c r="O60" s="4" t="s">
        <v>169</v>
      </c>
      <c r="P60" s="4" t="s">
        <v>1013</v>
      </c>
      <c r="Q60" s="4" t="s">
        <v>1014</v>
      </c>
      <c r="R60" s="4" t="s">
        <v>191</v>
      </c>
      <c r="S60" s="4" t="s">
        <v>1015</v>
      </c>
      <c r="T60" s="4" t="s">
        <v>153</v>
      </c>
      <c r="U60" s="4" t="s">
        <v>1016</v>
      </c>
      <c r="V60" s="4" t="s">
        <v>1017</v>
      </c>
      <c r="W60" s="4" t="s">
        <v>1018</v>
      </c>
      <c r="X60" s="4" t="s">
        <v>347</v>
      </c>
      <c r="Y60" s="4" t="s">
        <v>1019</v>
      </c>
      <c r="Z60" s="4" t="s">
        <v>1020</v>
      </c>
      <c r="AA60" s="4" t="s">
        <v>1021</v>
      </c>
      <c r="AB60" s="4" t="s">
        <v>153</v>
      </c>
      <c r="AC60" s="4" t="s">
        <v>1018</v>
      </c>
      <c r="AD60" s="4" t="s">
        <v>347</v>
      </c>
      <c r="AE60" s="4" t="s">
        <v>1019</v>
      </c>
      <c r="AF60" s="4" t="s">
        <v>1022</v>
      </c>
      <c r="AG60" s="4" t="s">
        <v>1023</v>
      </c>
      <c r="AH60" s="4" t="s">
        <v>1024</v>
      </c>
      <c r="AI60" s="5">
        <v>43997</v>
      </c>
      <c r="AJ60" t="s">
        <v>445</v>
      </c>
      <c r="AK60" s="4">
        <v>1</v>
      </c>
      <c r="AL60" t="s">
        <v>1025</v>
      </c>
      <c r="AM60" t="s">
        <v>153</v>
      </c>
      <c r="AO60" t="s">
        <v>153</v>
      </c>
      <c r="AP60" s="4"/>
      <c r="AQ60" t="s">
        <v>153</v>
      </c>
      <c r="AR60" s="5"/>
      <c r="AT60" s="4" t="s">
        <v>153</v>
      </c>
      <c r="AU60" s="4" t="s">
        <v>153</v>
      </c>
      <c r="AV60" s="4" t="s">
        <v>153</v>
      </c>
      <c r="AW60" t="s">
        <v>153</v>
      </c>
      <c r="AX60" t="s">
        <v>153</v>
      </c>
      <c r="AY60" t="s">
        <v>153</v>
      </c>
      <c r="AZ60" t="s">
        <v>153</v>
      </c>
      <c r="BA60" t="s">
        <v>153</v>
      </c>
      <c r="BB60" t="s">
        <v>153</v>
      </c>
      <c r="BC60" t="s">
        <v>153</v>
      </c>
      <c r="BD60" s="4" t="s">
        <v>153</v>
      </c>
      <c r="BE60" s="4" t="s">
        <v>153</v>
      </c>
      <c r="BF60" t="s">
        <v>153</v>
      </c>
      <c r="BG60" s="4" t="s">
        <v>153</v>
      </c>
      <c r="BH60" t="s">
        <v>153</v>
      </c>
      <c r="BI60" s="4" t="s">
        <v>153</v>
      </c>
      <c r="BJ60" t="s">
        <v>153</v>
      </c>
      <c r="BK60" s="4" t="s">
        <v>153</v>
      </c>
      <c r="BL60" t="s">
        <v>153</v>
      </c>
      <c r="BM60" t="s">
        <v>153</v>
      </c>
      <c r="BN60" s="4" t="s">
        <v>153</v>
      </c>
      <c r="BO60" s="4" t="s">
        <v>153</v>
      </c>
      <c r="BP60" s="4" t="s">
        <v>153</v>
      </c>
      <c r="BQ60" s="4" t="s">
        <v>153</v>
      </c>
      <c r="BR60" s="4" t="s">
        <v>153</v>
      </c>
      <c r="BS60" s="4" t="s">
        <v>153</v>
      </c>
      <c r="BT60" s="4" t="s">
        <v>153</v>
      </c>
      <c r="BU60" s="4" t="s">
        <v>153</v>
      </c>
      <c r="BV60" s="4"/>
      <c r="BW60" s="4" t="s">
        <v>153</v>
      </c>
      <c r="BX60" s="4" t="s">
        <v>153</v>
      </c>
      <c r="BY60" s="4" t="s">
        <v>153</v>
      </c>
      <c r="BZ60" s="4" t="s">
        <v>153</v>
      </c>
      <c r="CA60" s="4" t="s">
        <v>153</v>
      </c>
      <c r="CB60" s="4"/>
      <c r="CC60" s="4" t="s">
        <v>153</v>
      </c>
      <c r="CD60" t="s">
        <v>153</v>
      </c>
      <c r="CE60" s="4" t="s">
        <v>153</v>
      </c>
      <c r="CF60" s="4" t="s">
        <v>153</v>
      </c>
      <c r="CG60" s="4" t="s">
        <v>153</v>
      </c>
      <c r="CH60" s="5"/>
      <c r="CI60" t="s">
        <v>153</v>
      </c>
      <c r="CJ60" s="4"/>
      <c r="CK60" t="s">
        <v>153</v>
      </c>
      <c r="CL60" t="s">
        <v>153</v>
      </c>
      <c r="CM60" t="s">
        <v>153</v>
      </c>
      <c r="CN60" t="s">
        <v>153</v>
      </c>
      <c r="CO60" s="5"/>
      <c r="CP60" s="4" t="s">
        <v>153</v>
      </c>
      <c r="CQ60" s="4" t="s">
        <v>153</v>
      </c>
      <c r="CR60" t="s">
        <v>153</v>
      </c>
      <c r="CS60" t="s">
        <v>153</v>
      </c>
      <c r="CT60" t="s">
        <v>153</v>
      </c>
      <c r="CU60" t="s">
        <v>153</v>
      </c>
      <c r="CV60" t="s">
        <v>153</v>
      </c>
      <c r="CW60" t="s">
        <v>153</v>
      </c>
      <c r="CX60" t="s">
        <v>153</v>
      </c>
      <c r="CY60" t="s">
        <v>153</v>
      </c>
      <c r="CZ60" t="s">
        <v>153</v>
      </c>
      <c r="DA60" t="s">
        <v>153</v>
      </c>
      <c r="DB60" t="s">
        <v>153</v>
      </c>
      <c r="DC60" t="s">
        <v>153</v>
      </c>
      <c r="DD60" t="s">
        <v>153</v>
      </c>
      <c r="DE60" t="s">
        <v>153</v>
      </c>
      <c r="DF60" t="s">
        <v>153</v>
      </c>
      <c r="DG60" t="s">
        <v>153</v>
      </c>
      <c r="DI60" t="s">
        <v>153</v>
      </c>
      <c r="DJ60" t="s">
        <v>153</v>
      </c>
      <c r="DK60" t="s">
        <v>153</v>
      </c>
      <c r="DL60" t="s">
        <v>153</v>
      </c>
      <c r="DN60" t="s">
        <v>153</v>
      </c>
      <c r="DO60" t="s">
        <v>153</v>
      </c>
      <c r="DP60" t="s">
        <v>153</v>
      </c>
      <c r="DQ60" t="s">
        <v>153</v>
      </c>
      <c r="DR60" t="s">
        <v>153</v>
      </c>
      <c r="DS60" t="s">
        <v>153</v>
      </c>
      <c r="DT60" t="s">
        <v>153</v>
      </c>
      <c r="DU60" t="s">
        <v>153</v>
      </c>
      <c r="DV60" t="s">
        <v>153</v>
      </c>
      <c r="DW60" t="s">
        <v>153</v>
      </c>
      <c r="DX60" s="2"/>
      <c r="DY60" t="s">
        <v>153</v>
      </c>
      <c r="DZ60" t="s">
        <v>153</v>
      </c>
      <c r="EA60" t="s">
        <v>153</v>
      </c>
      <c r="EB60" t="s">
        <v>153</v>
      </c>
      <c r="EC60" t="s">
        <v>153</v>
      </c>
      <c r="ED60" t="s">
        <v>153</v>
      </c>
      <c r="EE60" t="s">
        <v>153</v>
      </c>
      <c r="EF60" t="s">
        <v>153</v>
      </c>
      <c r="EH60" t="s">
        <v>153</v>
      </c>
      <c r="EI60" t="s">
        <v>153</v>
      </c>
      <c r="EJ60" t="s">
        <v>153</v>
      </c>
      <c r="EK60" t="s">
        <v>153</v>
      </c>
      <c r="EM60" t="s">
        <v>153</v>
      </c>
      <c r="EN60" t="s">
        <v>153</v>
      </c>
      <c r="EP60" s="4" t="s">
        <v>242</v>
      </c>
      <c r="EQ60" s="4" t="s">
        <v>153</v>
      </c>
      <c r="ER60" s="4" t="s">
        <v>191</v>
      </c>
      <c r="ES60" s="4" t="s">
        <v>153</v>
      </c>
      <c r="ET60" t="s">
        <v>153</v>
      </c>
      <c r="EU60" t="s">
        <v>803</v>
      </c>
      <c r="EV60" t="s">
        <v>1026</v>
      </c>
      <c r="EW60">
        <v>1095233208</v>
      </c>
      <c r="EX60" t="s">
        <v>1027</v>
      </c>
    </row>
    <row r="61" spans="1:154" x14ac:dyDescent="0.25">
      <c r="A61" s="3">
        <v>45044.57880787037</v>
      </c>
      <c r="B61" s="4" t="s">
        <v>3</v>
      </c>
      <c r="C61" s="4" t="s">
        <v>1028</v>
      </c>
      <c r="D61" s="4" t="s">
        <v>1029</v>
      </c>
      <c r="E61" s="4" t="s">
        <v>1030</v>
      </c>
      <c r="F61" s="4" t="s">
        <v>1031</v>
      </c>
      <c r="G61" s="4" t="s">
        <v>252</v>
      </c>
      <c r="H61" s="4" t="s">
        <v>1032</v>
      </c>
      <c r="I61" s="4" t="s">
        <v>153</v>
      </c>
      <c r="J61" s="4" t="s">
        <v>1033</v>
      </c>
      <c r="K61" s="5"/>
      <c r="L61" s="4" t="s">
        <v>153</v>
      </c>
      <c r="M61" s="4" t="s">
        <v>153</v>
      </c>
      <c r="N61" s="4" t="s">
        <v>153</v>
      </c>
      <c r="O61" s="4" t="s">
        <v>153</v>
      </c>
      <c r="P61" s="4" t="s">
        <v>153</v>
      </c>
      <c r="Q61" s="4" t="s">
        <v>153</v>
      </c>
      <c r="R61" s="4" t="s">
        <v>153</v>
      </c>
      <c r="S61" s="4" t="s">
        <v>153</v>
      </c>
      <c r="T61" s="4" t="s">
        <v>153</v>
      </c>
      <c r="U61" s="4" t="s">
        <v>153</v>
      </c>
      <c r="V61" s="4" t="s">
        <v>153</v>
      </c>
      <c r="W61" s="4" t="s">
        <v>153</v>
      </c>
      <c r="X61" s="4" t="s">
        <v>153</v>
      </c>
      <c r="Y61" s="4" t="s">
        <v>153</v>
      </c>
      <c r="Z61" s="4" t="s">
        <v>153</v>
      </c>
      <c r="AA61" s="4" t="s">
        <v>153</v>
      </c>
      <c r="AB61" s="4" t="s">
        <v>153</v>
      </c>
      <c r="AC61" s="4" t="s">
        <v>153</v>
      </c>
      <c r="AD61" s="4" t="s">
        <v>153</v>
      </c>
      <c r="AE61" s="4" t="s">
        <v>153</v>
      </c>
      <c r="AF61" s="4" t="s">
        <v>153</v>
      </c>
      <c r="AG61" s="4" t="s">
        <v>153</v>
      </c>
      <c r="AH61" s="4" t="s">
        <v>153</v>
      </c>
      <c r="AI61" s="5"/>
      <c r="AJ61" t="s">
        <v>153</v>
      </c>
      <c r="AK61" s="4"/>
      <c r="AL61" t="s">
        <v>153</v>
      </c>
      <c r="AM61" t="s">
        <v>153</v>
      </c>
      <c r="AO61" t="s">
        <v>153</v>
      </c>
      <c r="AP61" s="4"/>
      <c r="AQ61" t="s">
        <v>153</v>
      </c>
      <c r="AR61" s="5">
        <v>44006</v>
      </c>
      <c r="AS61">
        <v>0</v>
      </c>
      <c r="AT61" s="4" t="s">
        <v>153</v>
      </c>
      <c r="AU61" s="4" t="s">
        <v>153</v>
      </c>
      <c r="AV61" s="4" t="s">
        <v>256</v>
      </c>
      <c r="AW61" t="s">
        <v>153</v>
      </c>
      <c r="AX61" t="s">
        <v>153</v>
      </c>
      <c r="AY61" t="s">
        <v>1034</v>
      </c>
      <c r="AZ61" t="s">
        <v>153</v>
      </c>
      <c r="BA61" t="s">
        <v>153</v>
      </c>
      <c r="BB61" t="s">
        <v>153</v>
      </c>
      <c r="BC61" t="s">
        <v>153</v>
      </c>
      <c r="BD61" s="4" t="s">
        <v>1035</v>
      </c>
      <c r="BE61" s="4" t="s">
        <v>1036</v>
      </c>
      <c r="BF61" t="s">
        <v>242</v>
      </c>
      <c r="BG61" s="4" t="s">
        <v>1037</v>
      </c>
      <c r="BH61" t="s">
        <v>153</v>
      </c>
      <c r="BI61" s="4" t="s">
        <v>153</v>
      </c>
      <c r="BJ61" t="s">
        <v>153</v>
      </c>
      <c r="BK61" s="4" t="s">
        <v>153</v>
      </c>
      <c r="BL61" t="s">
        <v>153</v>
      </c>
      <c r="BM61" t="s">
        <v>153</v>
      </c>
      <c r="BN61" s="4" t="s">
        <v>153</v>
      </c>
      <c r="BO61" s="4" t="s">
        <v>153</v>
      </c>
      <c r="BP61" s="4" t="s">
        <v>153</v>
      </c>
      <c r="BQ61" s="4" t="s">
        <v>153</v>
      </c>
      <c r="BR61" s="4" t="s">
        <v>153</v>
      </c>
      <c r="BS61" s="4" t="s">
        <v>153</v>
      </c>
      <c r="BT61" s="4" t="s">
        <v>153</v>
      </c>
      <c r="BU61" s="4" t="s">
        <v>153</v>
      </c>
      <c r="BV61" s="4"/>
      <c r="BW61" s="4" t="s">
        <v>153</v>
      </c>
      <c r="BX61" s="4" t="s">
        <v>153</v>
      </c>
      <c r="BY61" s="4" t="s">
        <v>153</v>
      </c>
      <c r="BZ61" s="4" t="s">
        <v>153</v>
      </c>
      <c r="CA61" s="4" t="s">
        <v>153</v>
      </c>
      <c r="CB61" s="4"/>
      <c r="CC61" s="4" t="s">
        <v>153</v>
      </c>
      <c r="CD61" t="s">
        <v>153</v>
      </c>
      <c r="CE61" s="4" t="s">
        <v>153</v>
      </c>
      <c r="CF61" s="4" t="s">
        <v>153</v>
      </c>
      <c r="CG61" s="4" t="s">
        <v>153</v>
      </c>
      <c r="CH61" s="5"/>
      <c r="CI61" t="s">
        <v>153</v>
      </c>
      <c r="CJ61" s="4"/>
      <c r="CK61" t="s">
        <v>153</v>
      </c>
      <c r="CL61" t="s">
        <v>153</v>
      </c>
      <c r="CM61" t="s">
        <v>153</v>
      </c>
      <c r="CN61" t="s">
        <v>153</v>
      </c>
      <c r="CO61" s="5"/>
      <c r="CP61" s="4" t="s">
        <v>153</v>
      </c>
      <c r="CQ61" s="4" t="s">
        <v>153</v>
      </c>
      <c r="CR61" t="s">
        <v>153</v>
      </c>
      <c r="CS61" t="s">
        <v>153</v>
      </c>
      <c r="CT61" t="s">
        <v>153</v>
      </c>
      <c r="CU61" t="s">
        <v>153</v>
      </c>
      <c r="CV61" t="s">
        <v>153</v>
      </c>
      <c r="CW61" t="s">
        <v>153</v>
      </c>
      <c r="CX61" t="s">
        <v>153</v>
      </c>
      <c r="CY61" t="s">
        <v>153</v>
      </c>
      <c r="CZ61" t="s">
        <v>153</v>
      </c>
      <c r="DA61" t="s">
        <v>153</v>
      </c>
      <c r="DB61" t="s">
        <v>153</v>
      </c>
      <c r="DC61" t="s">
        <v>153</v>
      </c>
      <c r="DD61" t="s">
        <v>153</v>
      </c>
      <c r="DE61" t="s">
        <v>153</v>
      </c>
      <c r="DF61" t="s">
        <v>153</v>
      </c>
      <c r="DG61" t="s">
        <v>153</v>
      </c>
      <c r="DI61" t="s">
        <v>153</v>
      </c>
      <c r="DJ61" t="s">
        <v>153</v>
      </c>
      <c r="DK61" t="s">
        <v>153</v>
      </c>
      <c r="DL61" t="s">
        <v>153</v>
      </c>
      <c r="DN61" t="s">
        <v>153</v>
      </c>
      <c r="DO61" t="s">
        <v>153</v>
      </c>
      <c r="DP61" t="s">
        <v>153</v>
      </c>
      <c r="DQ61" t="s">
        <v>153</v>
      </c>
      <c r="DR61" t="s">
        <v>153</v>
      </c>
      <c r="DS61" t="s">
        <v>153</v>
      </c>
      <c r="DT61" t="s">
        <v>153</v>
      </c>
      <c r="DU61" t="s">
        <v>153</v>
      </c>
      <c r="DV61" t="s">
        <v>153</v>
      </c>
      <c r="DW61" t="s">
        <v>153</v>
      </c>
      <c r="DX61" s="2"/>
      <c r="DY61" t="s">
        <v>153</v>
      </c>
      <c r="DZ61" t="s">
        <v>153</v>
      </c>
      <c r="EA61" t="s">
        <v>153</v>
      </c>
      <c r="EB61" t="s">
        <v>153</v>
      </c>
      <c r="EC61" t="s">
        <v>153</v>
      </c>
      <c r="ED61" t="s">
        <v>153</v>
      </c>
      <c r="EE61" t="s">
        <v>153</v>
      </c>
      <c r="EF61" t="s">
        <v>153</v>
      </c>
      <c r="EH61" t="s">
        <v>153</v>
      </c>
      <c r="EI61" t="s">
        <v>153</v>
      </c>
      <c r="EJ61" t="s">
        <v>153</v>
      </c>
      <c r="EK61" t="s">
        <v>153</v>
      </c>
      <c r="EM61" t="s">
        <v>153</v>
      </c>
      <c r="EN61" t="s">
        <v>153</v>
      </c>
      <c r="EP61" s="4" t="s">
        <v>153</v>
      </c>
      <c r="EQ61" s="4" t="s">
        <v>153</v>
      </c>
      <c r="ER61" s="4" t="s">
        <v>191</v>
      </c>
      <c r="ES61" s="4" t="s">
        <v>153</v>
      </c>
      <c r="ET61" t="s">
        <v>153</v>
      </c>
      <c r="EU61" t="s">
        <v>1038</v>
      </c>
      <c r="EV61" t="s">
        <v>1039</v>
      </c>
      <c r="EW61">
        <v>1096048448</v>
      </c>
      <c r="EX61" t="s">
        <v>1040</v>
      </c>
    </row>
    <row r="62" spans="1:154" x14ac:dyDescent="0.25">
      <c r="A62" s="3">
        <v>45047.800462962965</v>
      </c>
      <c r="B62" s="4" t="s">
        <v>3</v>
      </c>
      <c r="C62" s="4" t="s">
        <v>1028</v>
      </c>
      <c r="D62" s="4" t="s">
        <v>1029</v>
      </c>
      <c r="E62" s="4" t="s">
        <v>1030</v>
      </c>
      <c r="F62" s="4" t="s">
        <v>1031</v>
      </c>
      <c r="G62" s="4" t="s">
        <v>252</v>
      </c>
      <c r="H62" s="4" t="s">
        <v>1032</v>
      </c>
      <c r="I62" s="4" t="s">
        <v>153</v>
      </c>
      <c r="J62" s="4" t="s">
        <v>1041</v>
      </c>
      <c r="K62" s="5"/>
      <c r="L62" s="4" t="s">
        <v>153</v>
      </c>
      <c r="M62" s="4" t="s">
        <v>153</v>
      </c>
      <c r="N62" s="4" t="s">
        <v>153</v>
      </c>
      <c r="O62" s="4" t="s">
        <v>153</v>
      </c>
      <c r="P62" s="4" t="s">
        <v>153</v>
      </c>
      <c r="Q62" s="4" t="s">
        <v>153</v>
      </c>
      <c r="R62" s="4" t="s">
        <v>153</v>
      </c>
      <c r="S62" s="4" t="s">
        <v>153</v>
      </c>
      <c r="T62" s="4" t="s">
        <v>153</v>
      </c>
      <c r="U62" s="4" t="s">
        <v>153</v>
      </c>
      <c r="V62" s="4" t="s">
        <v>153</v>
      </c>
      <c r="W62" s="4" t="s">
        <v>153</v>
      </c>
      <c r="X62" s="4" t="s">
        <v>153</v>
      </c>
      <c r="Y62" s="4" t="s">
        <v>153</v>
      </c>
      <c r="Z62" s="4" t="s">
        <v>153</v>
      </c>
      <c r="AA62" s="4" t="s">
        <v>153</v>
      </c>
      <c r="AB62" s="4" t="s">
        <v>153</v>
      </c>
      <c r="AC62" s="4" t="s">
        <v>153</v>
      </c>
      <c r="AD62" s="4" t="s">
        <v>153</v>
      </c>
      <c r="AE62" s="4" t="s">
        <v>153</v>
      </c>
      <c r="AF62" s="4" t="s">
        <v>153</v>
      </c>
      <c r="AG62" s="4" t="s">
        <v>153</v>
      </c>
      <c r="AH62" s="4" t="s">
        <v>153</v>
      </c>
      <c r="AI62" s="5"/>
      <c r="AJ62" t="s">
        <v>153</v>
      </c>
      <c r="AK62" s="4"/>
      <c r="AL62" t="s">
        <v>153</v>
      </c>
      <c r="AM62" t="s">
        <v>153</v>
      </c>
      <c r="AO62" t="s">
        <v>153</v>
      </c>
      <c r="AP62" s="4"/>
      <c r="AQ62" t="s">
        <v>153</v>
      </c>
      <c r="AR62" s="5">
        <v>44986</v>
      </c>
      <c r="AS62">
        <v>2</v>
      </c>
      <c r="AT62" s="4" t="s">
        <v>1042</v>
      </c>
      <c r="AU62" s="4" t="s">
        <v>1043</v>
      </c>
      <c r="AV62" s="4" t="s">
        <v>921</v>
      </c>
      <c r="AW62" t="s">
        <v>153</v>
      </c>
      <c r="AX62" t="s">
        <v>153</v>
      </c>
      <c r="AY62" t="s">
        <v>153</v>
      </c>
      <c r="AZ62" t="s">
        <v>1044</v>
      </c>
      <c r="BA62" t="s">
        <v>1045</v>
      </c>
      <c r="BB62" t="s">
        <v>1046</v>
      </c>
      <c r="BC62" t="s">
        <v>1047</v>
      </c>
      <c r="BD62" s="4" t="s">
        <v>606</v>
      </c>
      <c r="BE62" s="4" t="s">
        <v>1048</v>
      </c>
      <c r="BF62" t="s">
        <v>243</v>
      </c>
      <c r="BG62" s="4" t="s">
        <v>153</v>
      </c>
      <c r="BH62" t="s">
        <v>153</v>
      </c>
      <c r="BI62" s="4" t="s">
        <v>153</v>
      </c>
      <c r="BJ62" t="s">
        <v>153</v>
      </c>
      <c r="BK62" s="4" t="s">
        <v>153</v>
      </c>
      <c r="BL62" t="s">
        <v>153</v>
      </c>
      <c r="BM62" t="s">
        <v>153</v>
      </c>
      <c r="BN62" s="4" t="s">
        <v>153</v>
      </c>
      <c r="BO62" s="4" t="s">
        <v>153</v>
      </c>
      <c r="BP62" s="4" t="s">
        <v>153</v>
      </c>
      <c r="BQ62" s="4" t="s">
        <v>153</v>
      </c>
      <c r="BR62" s="4" t="s">
        <v>153</v>
      </c>
      <c r="BS62" s="4" t="s">
        <v>153</v>
      </c>
      <c r="BT62" s="4" t="s">
        <v>153</v>
      </c>
      <c r="BU62" s="4" t="s">
        <v>153</v>
      </c>
      <c r="BV62" s="4"/>
      <c r="BW62" s="4" t="s">
        <v>153</v>
      </c>
      <c r="BX62" s="4" t="s">
        <v>153</v>
      </c>
      <c r="BY62" s="4" t="s">
        <v>153</v>
      </c>
      <c r="BZ62" s="4" t="s">
        <v>153</v>
      </c>
      <c r="CA62" s="4" t="s">
        <v>153</v>
      </c>
      <c r="CB62" s="4"/>
      <c r="CC62" s="4" t="s">
        <v>153</v>
      </c>
      <c r="CD62" t="s">
        <v>153</v>
      </c>
      <c r="CE62" s="4" t="s">
        <v>153</v>
      </c>
      <c r="CF62" s="4" t="s">
        <v>153</v>
      </c>
      <c r="CG62" s="4" t="s">
        <v>153</v>
      </c>
      <c r="CH62" s="5"/>
      <c r="CI62" t="s">
        <v>153</v>
      </c>
      <c r="CJ62" s="4"/>
      <c r="CK62" t="s">
        <v>153</v>
      </c>
      <c r="CL62" t="s">
        <v>153</v>
      </c>
      <c r="CM62" t="s">
        <v>153</v>
      </c>
      <c r="CN62" t="s">
        <v>153</v>
      </c>
      <c r="CO62" s="5"/>
      <c r="CP62" s="4" t="s">
        <v>153</v>
      </c>
      <c r="CQ62" s="4" t="s">
        <v>153</v>
      </c>
      <c r="CR62" t="s">
        <v>153</v>
      </c>
      <c r="CS62" t="s">
        <v>153</v>
      </c>
      <c r="CT62" t="s">
        <v>153</v>
      </c>
      <c r="CU62" t="s">
        <v>153</v>
      </c>
      <c r="CV62" t="s">
        <v>153</v>
      </c>
      <c r="CW62" t="s">
        <v>153</v>
      </c>
      <c r="CX62" t="s">
        <v>153</v>
      </c>
      <c r="CY62" t="s">
        <v>153</v>
      </c>
      <c r="CZ62" t="s">
        <v>153</v>
      </c>
      <c r="DA62" t="s">
        <v>153</v>
      </c>
      <c r="DB62" t="s">
        <v>153</v>
      </c>
      <c r="DC62" t="s">
        <v>153</v>
      </c>
      <c r="DD62" t="s">
        <v>153</v>
      </c>
      <c r="DE62" t="s">
        <v>153</v>
      </c>
      <c r="DF62" t="s">
        <v>153</v>
      </c>
      <c r="DG62" t="s">
        <v>153</v>
      </c>
      <c r="DI62" t="s">
        <v>153</v>
      </c>
      <c r="DJ62" t="s">
        <v>153</v>
      </c>
      <c r="DK62" t="s">
        <v>153</v>
      </c>
      <c r="DL62" t="s">
        <v>153</v>
      </c>
      <c r="DN62" t="s">
        <v>153</v>
      </c>
      <c r="DO62" t="s">
        <v>153</v>
      </c>
      <c r="DP62" t="s">
        <v>153</v>
      </c>
      <c r="DQ62" t="s">
        <v>153</v>
      </c>
      <c r="DR62" t="s">
        <v>153</v>
      </c>
      <c r="DS62" t="s">
        <v>153</v>
      </c>
      <c r="DT62" t="s">
        <v>153</v>
      </c>
      <c r="DU62" t="s">
        <v>153</v>
      </c>
      <c r="DV62" t="s">
        <v>153</v>
      </c>
      <c r="DW62" t="s">
        <v>153</v>
      </c>
      <c r="DX62" s="2"/>
      <c r="DY62" t="s">
        <v>153</v>
      </c>
      <c r="DZ62" t="s">
        <v>153</v>
      </c>
      <c r="EA62" t="s">
        <v>153</v>
      </c>
      <c r="EB62" t="s">
        <v>153</v>
      </c>
      <c r="EC62" t="s">
        <v>153</v>
      </c>
      <c r="ED62" t="s">
        <v>153</v>
      </c>
      <c r="EE62" t="s">
        <v>153</v>
      </c>
      <c r="EF62" t="s">
        <v>153</v>
      </c>
      <c r="EH62" t="s">
        <v>153</v>
      </c>
      <c r="EI62" t="s">
        <v>153</v>
      </c>
      <c r="EJ62" t="s">
        <v>153</v>
      </c>
      <c r="EK62" t="s">
        <v>153</v>
      </c>
      <c r="EM62" t="s">
        <v>153</v>
      </c>
      <c r="EN62" t="s">
        <v>153</v>
      </c>
      <c r="EP62" s="4" t="s">
        <v>153</v>
      </c>
      <c r="EQ62" s="4" t="s">
        <v>153</v>
      </c>
      <c r="ER62" s="4" t="s">
        <v>243</v>
      </c>
      <c r="ES62" s="4" t="s">
        <v>244</v>
      </c>
      <c r="ET62" t="s">
        <v>1049</v>
      </c>
      <c r="EU62" t="s">
        <v>1038</v>
      </c>
      <c r="EV62" t="s">
        <v>1039</v>
      </c>
      <c r="EW62">
        <v>1096992098</v>
      </c>
      <c r="EX62" t="s">
        <v>1040</v>
      </c>
    </row>
    <row r="63" spans="1:154" x14ac:dyDescent="0.25">
      <c r="A63" s="3">
        <v>45049.497939814813</v>
      </c>
      <c r="B63" s="4" t="s">
        <v>1050</v>
      </c>
      <c r="C63" s="4" t="s">
        <v>1051</v>
      </c>
      <c r="D63" s="4" t="s">
        <v>1052</v>
      </c>
      <c r="E63" s="4" t="s">
        <v>1053</v>
      </c>
      <c r="F63" s="4" t="s">
        <v>1054</v>
      </c>
      <c r="G63" s="4" t="s">
        <v>185</v>
      </c>
      <c r="H63" s="4" t="s">
        <v>1055</v>
      </c>
      <c r="I63" s="4" t="s">
        <v>153</v>
      </c>
      <c r="J63" s="4" t="s">
        <v>153</v>
      </c>
      <c r="K63" s="5"/>
      <c r="L63" s="4" t="s">
        <v>153</v>
      </c>
      <c r="M63" s="4" t="s">
        <v>1056</v>
      </c>
      <c r="N63" s="4" t="s">
        <v>153</v>
      </c>
      <c r="O63" s="4" t="s">
        <v>1057</v>
      </c>
      <c r="P63" s="4" t="s">
        <v>1058</v>
      </c>
      <c r="Q63" s="4" t="s">
        <v>294</v>
      </c>
      <c r="R63" s="4" t="s">
        <v>191</v>
      </c>
      <c r="S63" s="4" t="s">
        <v>1059</v>
      </c>
      <c r="T63" s="4" t="s">
        <v>153</v>
      </c>
      <c r="U63" s="4" t="s">
        <v>1060</v>
      </c>
      <c r="V63" s="4" t="s">
        <v>153</v>
      </c>
      <c r="W63" s="4" t="s">
        <v>1061</v>
      </c>
      <c r="X63" s="4" t="s">
        <v>195</v>
      </c>
      <c r="Y63" s="4" t="s">
        <v>1062</v>
      </c>
      <c r="Z63" s="4" t="s">
        <v>237</v>
      </c>
      <c r="AA63" s="4" t="s">
        <v>1063</v>
      </c>
      <c r="AB63" s="4" t="s">
        <v>153</v>
      </c>
      <c r="AC63" s="4" t="s">
        <v>1061</v>
      </c>
      <c r="AD63" s="4" t="s">
        <v>195</v>
      </c>
      <c r="AE63" s="4" t="s">
        <v>1062</v>
      </c>
      <c r="AF63" s="4" t="s">
        <v>1064</v>
      </c>
      <c r="AG63" s="4" t="s">
        <v>1065</v>
      </c>
      <c r="AH63" s="4" t="s">
        <v>153</v>
      </c>
      <c r="AI63" s="5">
        <v>45053</v>
      </c>
      <c r="AJ63" t="s">
        <v>240</v>
      </c>
      <c r="AK63" s="4">
        <v>7</v>
      </c>
      <c r="AL63" t="s">
        <v>153</v>
      </c>
      <c r="AM63" t="s">
        <v>153</v>
      </c>
      <c r="AO63" t="s">
        <v>153</v>
      </c>
      <c r="AP63" s="4"/>
      <c r="AQ63" t="s">
        <v>153</v>
      </c>
      <c r="AR63" s="5"/>
      <c r="AT63" s="4" t="s">
        <v>153</v>
      </c>
      <c r="AU63" s="4" t="s">
        <v>153</v>
      </c>
      <c r="AV63" s="4" t="s">
        <v>153</v>
      </c>
      <c r="AW63" t="s">
        <v>153</v>
      </c>
      <c r="AX63" t="s">
        <v>153</v>
      </c>
      <c r="AY63" t="s">
        <v>153</v>
      </c>
      <c r="AZ63" t="s">
        <v>153</v>
      </c>
      <c r="BA63" t="s">
        <v>153</v>
      </c>
      <c r="BB63" t="s">
        <v>153</v>
      </c>
      <c r="BC63" t="s">
        <v>153</v>
      </c>
      <c r="BD63" s="4" t="s">
        <v>153</v>
      </c>
      <c r="BE63" s="4" t="s">
        <v>153</v>
      </c>
      <c r="BF63" t="s">
        <v>153</v>
      </c>
      <c r="BG63" s="4" t="s">
        <v>153</v>
      </c>
      <c r="BH63" t="s">
        <v>153</v>
      </c>
      <c r="BI63" s="4" t="s">
        <v>153</v>
      </c>
      <c r="BJ63" t="s">
        <v>153</v>
      </c>
      <c r="BK63" s="4" t="s">
        <v>153</v>
      </c>
      <c r="BL63" t="s">
        <v>153</v>
      </c>
      <c r="BM63" t="s">
        <v>153</v>
      </c>
      <c r="BN63" s="4" t="s">
        <v>153</v>
      </c>
      <c r="BO63" s="4" t="s">
        <v>153</v>
      </c>
      <c r="BP63" s="4" t="s">
        <v>153</v>
      </c>
      <c r="BQ63" s="4" t="s">
        <v>153</v>
      </c>
      <c r="BR63" s="4" t="s">
        <v>153</v>
      </c>
      <c r="BS63" s="4" t="s">
        <v>153</v>
      </c>
      <c r="BT63" s="4" t="s">
        <v>153</v>
      </c>
      <c r="BU63" s="4" t="s">
        <v>153</v>
      </c>
      <c r="BV63" s="4"/>
      <c r="BW63" s="4" t="s">
        <v>153</v>
      </c>
      <c r="BX63" s="4" t="s">
        <v>153</v>
      </c>
      <c r="BY63" s="4" t="s">
        <v>153</v>
      </c>
      <c r="BZ63" s="4" t="s">
        <v>153</v>
      </c>
      <c r="CA63" s="4" t="s">
        <v>153</v>
      </c>
      <c r="CB63" s="4"/>
      <c r="CC63" s="4" t="s">
        <v>153</v>
      </c>
      <c r="CD63" t="s">
        <v>153</v>
      </c>
      <c r="CE63" s="4" t="s">
        <v>153</v>
      </c>
      <c r="CF63" s="4" t="s">
        <v>153</v>
      </c>
      <c r="CG63" s="4" t="s">
        <v>153</v>
      </c>
      <c r="CH63" s="5"/>
      <c r="CI63" t="s">
        <v>153</v>
      </c>
      <c r="CJ63" s="4"/>
      <c r="CK63" t="s">
        <v>153</v>
      </c>
      <c r="CL63" t="s">
        <v>153</v>
      </c>
      <c r="CM63" t="s">
        <v>153</v>
      </c>
      <c r="CN63" t="s">
        <v>153</v>
      </c>
      <c r="CO63" s="5"/>
      <c r="CP63" s="4" t="s">
        <v>153</v>
      </c>
      <c r="CQ63" s="4" t="s">
        <v>153</v>
      </c>
      <c r="CR63" t="s">
        <v>153</v>
      </c>
      <c r="CS63" t="s">
        <v>153</v>
      </c>
      <c r="CT63" t="s">
        <v>153</v>
      </c>
      <c r="CU63" t="s">
        <v>153</v>
      </c>
      <c r="CV63" t="s">
        <v>153</v>
      </c>
      <c r="CW63" t="s">
        <v>153</v>
      </c>
      <c r="CX63" t="s">
        <v>153</v>
      </c>
      <c r="CY63" t="s">
        <v>153</v>
      </c>
      <c r="CZ63" t="s">
        <v>153</v>
      </c>
      <c r="DA63" t="s">
        <v>153</v>
      </c>
      <c r="DB63" t="s">
        <v>153</v>
      </c>
      <c r="DC63" t="s">
        <v>153</v>
      </c>
      <c r="DD63" t="s">
        <v>153</v>
      </c>
      <c r="DE63" t="s">
        <v>153</v>
      </c>
      <c r="DF63" t="s">
        <v>153</v>
      </c>
      <c r="DG63" t="s">
        <v>153</v>
      </c>
      <c r="DI63" t="s">
        <v>153</v>
      </c>
      <c r="DJ63" t="s">
        <v>153</v>
      </c>
      <c r="DK63" t="s">
        <v>153</v>
      </c>
      <c r="DL63" t="s">
        <v>153</v>
      </c>
      <c r="DN63" t="s">
        <v>153</v>
      </c>
      <c r="DO63" t="s">
        <v>153</v>
      </c>
      <c r="DP63" t="s">
        <v>153</v>
      </c>
      <c r="DQ63" t="s">
        <v>153</v>
      </c>
      <c r="DR63" t="s">
        <v>153</v>
      </c>
      <c r="DS63" t="s">
        <v>153</v>
      </c>
      <c r="DT63" t="s">
        <v>153</v>
      </c>
      <c r="DU63" t="s">
        <v>153</v>
      </c>
      <c r="DV63" t="s">
        <v>153</v>
      </c>
      <c r="DW63" t="s">
        <v>153</v>
      </c>
      <c r="DX63" s="2"/>
      <c r="DY63" t="s">
        <v>153</v>
      </c>
      <c r="DZ63" t="s">
        <v>153</v>
      </c>
      <c r="EA63" t="s">
        <v>153</v>
      </c>
      <c r="EB63" t="s">
        <v>153</v>
      </c>
      <c r="EC63" t="s">
        <v>153</v>
      </c>
      <c r="ED63" t="s">
        <v>153</v>
      </c>
      <c r="EE63" t="s">
        <v>153</v>
      </c>
      <c r="EF63" t="s">
        <v>153</v>
      </c>
      <c r="EH63" t="s">
        <v>153</v>
      </c>
      <c r="EI63" t="s">
        <v>153</v>
      </c>
      <c r="EJ63" t="s">
        <v>153</v>
      </c>
      <c r="EK63" t="s">
        <v>153</v>
      </c>
      <c r="EM63" t="s">
        <v>153</v>
      </c>
      <c r="EN63" t="s">
        <v>153</v>
      </c>
      <c r="EP63" s="4" t="s">
        <v>242</v>
      </c>
      <c r="EQ63" s="4" t="s">
        <v>153</v>
      </c>
      <c r="ER63" s="4" t="s">
        <v>191</v>
      </c>
      <c r="ES63" s="4" t="s">
        <v>153</v>
      </c>
      <c r="ET63" t="s">
        <v>1066</v>
      </c>
      <c r="EU63" t="s">
        <v>1038</v>
      </c>
      <c r="EV63" t="s">
        <v>1067</v>
      </c>
      <c r="EW63">
        <v>1097676292</v>
      </c>
      <c r="EX63" t="s">
        <v>1068</v>
      </c>
    </row>
    <row r="64" spans="1:154" x14ac:dyDescent="0.25">
      <c r="A64" s="3">
        <v>45049.734224537038</v>
      </c>
      <c r="B64" s="4" t="s">
        <v>1050</v>
      </c>
      <c r="C64" s="4" t="s">
        <v>892</v>
      </c>
      <c r="D64" s="4" t="s">
        <v>893</v>
      </c>
      <c r="E64" s="4" t="s">
        <v>894</v>
      </c>
      <c r="F64" s="4" t="s">
        <v>895</v>
      </c>
      <c r="G64" s="4" t="s">
        <v>185</v>
      </c>
      <c r="H64" s="4" t="s">
        <v>542</v>
      </c>
      <c r="I64" s="4" t="s">
        <v>153</v>
      </c>
      <c r="J64" s="4" t="s">
        <v>153</v>
      </c>
      <c r="K64" s="5"/>
      <c r="L64" s="4" t="s">
        <v>153</v>
      </c>
      <c r="M64" s="4" t="s">
        <v>1069</v>
      </c>
      <c r="N64" s="4" t="s">
        <v>153</v>
      </c>
      <c r="O64" s="4" t="s">
        <v>1070</v>
      </c>
      <c r="P64" s="4" t="s">
        <v>1071</v>
      </c>
      <c r="Q64" s="4" t="s">
        <v>403</v>
      </c>
      <c r="R64" s="4" t="s">
        <v>153</v>
      </c>
      <c r="S64" s="4" t="s">
        <v>153</v>
      </c>
      <c r="T64" s="4" t="s">
        <v>153</v>
      </c>
      <c r="U64" s="4" t="s">
        <v>1072</v>
      </c>
      <c r="V64" s="4" t="s">
        <v>153</v>
      </c>
      <c r="W64" s="4" t="s">
        <v>1073</v>
      </c>
      <c r="X64" s="4" t="s">
        <v>1074</v>
      </c>
      <c r="Y64" s="4" t="s">
        <v>1075</v>
      </c>
      <c r="Z64" s="4" t="s">
        <v>237</v>
      </c>
      <c r="AA64" s="4" t="s">
        <v>1072</v>
      </c>
      <c r="AB64" s="4" t="s">
        <v>153</v>
      </c>
      <c r="AC64" s="4" t="s">
        <v>1073</v>
      </c>
      <c r="AD64" s="4" t="s">
        <v>1074</v>
      </c>
      <c r="AE64" s="4" t="s">
        <v>1075</v>
      </c>
      <c r="AF64" s="4" t="s">
        <v>1076</v>
      </c>
      <c r="AG64" s="4" t="s">
        <v>1077</v>
      </c>
      <c r="AH64" s="4" t="s">
        <v>1078</v>
      </c>
      <c r="AI64" s="5">
        <v>44906</v>
      </c>
      <c r="AJ64" t="s">
        <v>153</v>
      </c>
      <c r="AK64" s="4">
        <v>3</v>
      </c>
      <c r="AL64" t="s">
        <v>153</v>
      </c>
      <c r="AM64" t="s">
        <v>414</v>
      </c>
      <c r="AO64" t="s">
        <v>1079</v>
      </c>
      <c r="AP64" s="4">
        <v>920802492</v>
      </c>
      <c r="AQ64" t="s">
        <v>1080</v>
      </c>
      <c r="AR64" s="5"/>
      <c r="AT64" s="4" t="s">
        <v>153</v>
      </c>
      <c r="AU64" s="4" t="s">
        <v>153</v>
      </c>
      <c r="AV64" s="4" t="s">
        <v>153</v>
      </c>
      <c r="AW64" t="s">
        <v>153</v>
      </c>
      <c r="AX64" t="s">
        <v>153</v>
      </c>
      <c r="AY64" t="s">
        <v>153</v>
      </c>
      <c r="AZ64" t="s">
        <v>153</v>
      </c>
      <c r="BA64" t="s">
        <v>153</v>
      </c>
      <c r="BB64" t="s">
        <v>153</v>
      </c>
      <c r="BC64" t="s">
        <v>153</v>
      </c>
      <c r="BD64" s="4" t="s">
        <v>153</v>
      </c>
      <c r="BE64" s="4" t="s">
        <v>153</v>
      </c>
      <c r="BF64" t="s">
        <v>153</v>
      </c>
      <c r="BG64" s="4" t="s">
        <v>153</v>
      </c>
      <c r="BH64" t="s">
        <v>153</v>
      </c>
      <c r="BI64" s="4" t="s">
        <v>153</v>
      </c>
      <c r="BJ64" t="s">
        <v>153</v>
      </c>
      <c r="BK64" s="4" t="s">
        <v>153</v>
      </c>
      <c r="BL64" t="s">
        <v>153</v>
      </c>
      <c r="BM64" t="s">
        <v>153</v>
      </c>
      <c r="BN64" s="4" t="s">
        <v>153</v>
      </c>
      <c r="BO64" s="4" t="s">
        <v>153</v>
      </c>
      <c r="BP64" s="4" t="s">
        <v>153</v>
      </c>
      <c r="BQ64" s="4" t="s">
        <v>153</v>
      </c>
      <c r="BR64" s="4" t="s">
        <v>153</v>
      </c>
      <c r="BS64" s="4" t="s">
        <v>153</v>
      </c>
      <c r="BT64" s="4" t="s">
        <v>153</v>
      </c>
      <c r="BU64" s="4" t="s">
        <v>153</v>
      </c>
      <c r="BV64" s="4"/>
      <c r="BW64" s="4" t="s">
        <v>153</v>
      </c>
      <c r="BX64" s="4" t="s">
        <v>153</v>
      </c>
      <c r="BY64" s="4" t="s">
        <v>153</v>
      </c>
      <c r="BZ64" s="4" t="s">
        <v>153</v>
      </c>
      <c r="CA64" s="4" t="s">
        <v>153</v>
      </c>
      <c r="CB64" s="4"/>
      <c r="CC64" s="4" t="s">
        <v>153</v>
      </c>
      <c r="CD64" t="s">
        <v>153</v>
      </c>
      <c r="CE64" s="4" t="s">
        <v>153</v>
      </c>
      <c r="CF64" s="4" t="s">
        <v>153</v>
      </c>
      <c r="CG64" s="4" t="s">
        <v>153</v>
      </c>
      <c r="CH64" s="5"/>
      <c r="CI64" t="s">
        <v>153</v>
      </c>
      <c r="CJ64" s="4"/>
      <c r="CK64" t="s">
        <v>153</v>
      </c>
      <c r="CL64" t="s">
        <v>153</v>
      </c>
      <c r="CM64" t="s">
        <v>153</v>
      </c>
      <c r="CN64" t="s">
        <v>153</v>
      </c>
      <c r="CO64" s="5"/>
      <c r="CP64" s="4" t="s">
        <v>153</v>
      </c>
      <c r="CQ64" s="4" t="s">
        <v>153</v>
      </c>
      <c r="CR64" t="s">
        <v>153</v>
      </c>
      <c r="CS64" t="s">
        <v>153</v>
      </c>
      <c r="CT64" t="s">
        <v>153</v>
      </c>
      <c r="CU64" t="s">
        <v>153</v>
      </c>
      <c r="CV64" t="s">
        <v>153</v>
      </c>
      <c r="CW64" t="s">
        <v>153</v>
      </c>
      <c r="CX64" t="s">
        <v>153</v>
      </c>
      <c r="CY64" t="s">
        <v>153</v>
      </c>
      <c r="CZ64" t="s">
        <v>153</v>
      </c>
      <c r="DA64" t="s">
        <v>153</v>
      </c>
      <c r="DB64" t="s">
        <v>153</v>
      </c>
      <c r="DC64" t="s">
        <v>153</v>
      </c>
      <c r="DD64" t="s">
        <v>153</v>
      </c>
      <c r="DE64" t="s">
        <v>153</v>
      </c>
      <c r="DF64" t="s">
        <v>153</v>
      </c>
      <c r="DG64" t="s">
        <v>153</v>
      </c>
      <c r="DI64" t="s">
        <v>153</v>
      </c>
      <c r="DJ64" t="s">
        <v>153</v>
      </c>
      <c r="DK64" t="s">
        <v>153</v>
      </c>
      <c r="DL64" t="s">
        <v>153</v>
      </c>
      <c r="DN64" t="s">
        <v>153</v>
      </c>
      <c r="DO64" t="s">
        <v>153</v>
      </c>
      <c r="DP64" t="s">
        <v>153</v>
      </c>
      <c r="DQ64" t="s">
        <v>153</v>
      </c>
      <c r="DR64" t="s">
        <v>153</v>
      </c>
      <c r="DS64" t="s">
        <v>153</v>
      </c>
      <c r="DT64" t="s">
        <v>153</v>
      </c>
      <c r="DU64" t="s">
        <v>153</v>
      </c>
      <c r="DV64" t="s">
        <v>153</v>
      </c>
      <c r="DW64" t="s">
        <v>153</v>
      </c>
      <c r="DX64" s="2"/>
      <c r="DY64" t="s">
        <v>153</v>
      </c>
      <c r="DZ64" t="s">
        <v>153</v>
      </c>
      <c r="EA64" t="s">
        <v>153</v>
      </c>
      <c r="EB64" t="s">
        <v>153</v>
      </c>
      <c r="EC64" t="s">
        <v>153</v>
      </c>
      <c r="ED64" t="s">
        <v>153</v>
      </c>
      <c r="EE64" t="s">
        <v>153</v>
      </c>
      <c r="EF64" t="s">
        <v>153</v>
      </c>
      <c r="EH64" t="s">
        <v>153</v>
      </c>
      <c r="EI64" t="s">
        <v>153</v>
      </c>
      <c r="EJ64" t="s">
        <v>153</v>
      </c>
      <c r="EK64" t="s">
        <v>153</v>
      </c>
      <c r="EM64" t="s">
        <v>153</v>
      </c>
      <c r="EN64" t="s">
        <v>153</v>
      </c>
      <c r="EP64" s="4" t="s">
        <v>153</v>
      </c>
      <c r="EQ64" s="4" t="s">
        <v>153</v>
      </c>
      <c r="ER64" s="4" t="s">
        <v>153</v>
      </c>
      <c r="ES64" s="4" t="s">
        <v>153</v>
      </c>
      <c r="ET64" t="s">
        <v>1081</v>
      </c>
      <c r="EU64" t="s">
        <v>821</v>
      </c>
      <c r="EV64" t="s">
        <v>909</v>
      </c>
      <c r="EW64">
        <v>1097829395</v>
      </c>
      <c r="EX64" t="s">
        <v>910</v>
      </c>
    </row>
    <row r="65" spans="1:154" x14ac:dyDescent="0.25">
      <c r="A65" s="3">
        <v>45058.679247685184</v>
      </c>
      <c r="B65" s="4" t="s">
        <v>1050</v>
      </c>
      <c r="C65" s="4" t="s">
        <v>892</v>
      </c>
      <c r="D65" s="4" t="s">
        <v>893</v>
      </c>
      <c r="E65" s="4" t="s">
        <v>894</v>
      </c>
      <c r="F65" s="4" t="s">
        <v>895</v>
      </c>
      <c r="G65" s="4" t="s">
        <v>185</v>
      </c>
      <c r="H65" s="4" t="s">
        <v>542</v>
      </c>
      <c r="I65" s="4" t="s">
        <v>153</v>
      </c>
      <c r="J65" s="4" t="s">
        <v>153</v>
      </c>
      <c r="K65" s="5"/>
      <c r="L65" s="4" t="s">
        <v>153</v>
      </c>
      <c r="M65" s="4" t="s">
        <v>1082</v>
      </c>
      <c r="N65" s="4" t="s">
        <v>153</v>
      </c>
      <c r="O65" s="4" t="s">
        <v>1083</v>
      </c>
      <c r="P65" s="4" t="s">
        <v>1084</v>
      </c>
      <c r="Q65" s="4" t="s">
        <v>403</v>
      </c>
      <c r="R65" s="4" t="s">
        <v>153</v>
      </c>
      <c r="S65" s="4" t="s">
        <v>153</v>
      </c>
      <c r="T65" s="4" t="s">
        <v>153</v>
      </c>
      <c r="U65" s="4" t="s">
        <v>1085</v>
      </c>
      <c r="V65" s="4" t="s">
        <v>153</v>
      </c>
      <c r="W65" s="4" t="s">
        <v>1086</v>
      </c>
      <c r="X65" s="4" t="s">
        <v>722</v>
      </c>
      <c r="Y65" s="4" t="s">
        <v>1087</v>
      </c>
      <c r="Z65" s="4" t="s">
        <v>237</v>
      </c>
      <c r="AA65" s="4" t="s">
        <v>1085</v>
      </c>
      <c r="AB65" s="4" t="s">
        <v>153</v>
      </c>
      <c r="AC65" s="4" t="s">
        <v>1086</v>
      </c>
      <c r="AD65" s="4" t="s">
        <v>722</v>
      </c>
      <c r="AE65" s="4" t="s">
        <v>1087</v>
      </c>
      <c r="AF65" s="4" t="s">
        <v>1088</v>
      </c>
      <c r="AG65" s="4" t="s">
        <v>1089</v>
      </c>
      <c r="AH65" s="4" t="s">
        <v>153</v>
      </c>
      <c r="AI65" s="5">
        <v>45053</v>
      </c>
      <c r="AJ65" t="s">
        <v>153</v>
      </c>
      <c r="AK65" s="4">
        <v>3</v>
      </c>
      <c r="AL65" t="s">
        <v>153</v>
      </c>
      <c r="AM65" t="s">
        <v>1090</v>
      </c>
      <c r="AN65">
        <v>110</v>
      </c>
      <c r="AO65" t="s">
        <v>1091</v>
      </c>
      <c r="AP65" s="4">
        <v>591163780</v>
      </c>
      <c r="AQ65" t="s">
        <v>1092</v>
      </c>
      <c r="AR65" s="5"/>
      <c r="AT65" s="4" t="s">
        <v>153</v>
      </c>
      <c r="AU65" s="4" t="s">
        <v>153</v>
      </c>
      <c r="AV65" s="4" t="s">
        <v>153</v>
      </c>
      <c r="AW65" t="s">
        <v>153</v>
      </c>
      <c r="AX65" t="s">
        <v>153</v>
      </c>
      <c r="AY65" t="s">
        <v>153</v>
      </c>
      <c r="AZ65" t="s">
        <v>153</v>
      </c>
      <c r="BA65" t="s">
        <v>153</v>
      </c>
      <c r="BB65" t="s">
        <v>153</v>
      </c>
      <c r="BC65" t="s">
        <v>153</v>
      </c>
      <c r="BD65" s="4" t="s">
        <v>153</v>
      </c>
      <c r="BE65" s="4" t="s">
        <v>153</v>
      </c>
      <c r="BF65" t="s">
        <v>153</v>
      </c>
      <c r="BG65" s="4" t="s">
        <v>153</v>
      </c>
      <c r="BH65" t="s">
        <v>153</v>
      </c>
      <c r="BI65" s="4" t="s">
        <v>153</v>
      </c>
      <c r="BJ65" t="s">
        <v>153</v>
      </c>
      <c r="BK65" s="4" t="s">
        <v>153</v>
      </c>
      <c r="BL65" t="s">
        <v>153</v>
      </c>
      <c r="BM65" t="s">
        <v>153</v>
      </c>
      <c r="BN65" s="4" t="s">
        <v>153</v>
      </c>
      <c r="BO65" s="4" t="s">
        <v>153</v>
      </c>
      <c r="BP65" s="4" t="s">
        <v>153</v>
      </c>
      <c r="BQ65" s="4" t="s">
        <v>153</v>
      </c>
      <c r="BR65" s="4" t="s">
        <v>153</v>
      </c>
      <c r="BS65" s="4" t="s">
        <v>153</v>
      </c>
      <c r="BT65" s="4" t="s">
        <v>153</v>
      </c>
      <c r="BU65" s="4" t="s">
        <v>153</v>
      </c>
      <c r="BV65" s="4"/>
      <c r="BW65" s="4" t="s">
        <v>153</v>
      </c>
      <c r="BX65" s="4" t="s">
        <v>153</v>
      </c>
      <c r="BY65" s="4" t="s">
        <v>153</v>
      </c>
      <c r="BZ65" s="4" t="s">
        <v>153</v>
      </c>
      <c r="CA65" s="4" t="s">
        <v>153</v>
      </c>
      <c r="CB65" s="4"/>
      <c r="CC65" s="4" t="s">
        <v>153</v>
      </c>
      <c r="CD65" t="s">
        <v>153</v>
      </c>
      <c r="CE65" s="4" t="s">
        <v>153</v>
      </c>
      <c r="CF65" s="4" t="s">
        <v>153</v>
      </c>
      <c r="CG65" s="4" t="s">
        <v>153</v>
      </c>
      <c r="CH65" s="5"/>
      <c r="CI65" t="s">
        <v>153</v>
      </c>
      <c r="CJ65" s="4"/>
      <c r="CK65" t="s">
        <v>153</v>
      </c>
      <c r="CL65" t="s">
        <v>153</v>
      </c>
      <c r="CM65" t="s">
        <v>153</v>
      </c>
      <c r="CN65" t="s">
        <v>153</v>
      </c>
      <c r="CO65" s="5"/>
      <c r="CP65" s="4" t="s">
        <v>153</v>
      </c>
      <c r="CQ65" s="4" t="s">
        <v>153</v>
      </c>
      <c r="CR65" t="s">
        <v>153</v>
      </c>
      <c r="CS65" t="s">
        <v>153</v>
      </c>
      <c r="CT65" t="s">
        <v>153</v>
      </c>
      <c r="CU65" t="s">
        <v>153</v>
      </c>
      <c r="CV65" t="s">
        <v>153</v>
      </c>
      <c r="CW65" t="s">
        <v>153</v>
      </c>
      <c r="CX65" t="s">
        <v>153</v>
      </c>
      <c r="CY65" t="s">
        <v>153</v>
      </c>
      <c r="CZ65" t="s">
        <v>153</v>
      </c>
      <c r="DA65" t="s">
        <v>153</v>
      </c>
      <c r="DB65" t="s">
        <v>153</v>
      </c>
      <c r="DC65" t="s">
        <v>153</v>
      </c>
      <c r="DD65" t="s">
        <v>153</v>
      </c>
      <c r="DE65" t="s">
        <v>153</v>
      </c>
      <c r="DF65" t="s">
        <v>153</v>
      </c>
      <c r="DG65" t="s">
        <v>153</v>
      </c>
      <c r="DI65" t="s">
        <v>153</v>
      </c>
      <c r="DJ65" t="s">
        <v>153</v>
      </c>
      <c r="DK65" t="s">
        <v>153</v>
      </c>
      <c r="DL65" t="s">
        <v>153</v>
      </c>
      <c r="DN65" t="s">
        <v>153</v>
      </c>
      <c r="DO65" t="s">
        <v>153</v>
      </c>
      <c r="DP65" t="s">
        <v>153</v>
      </c>
      <c r="DQ65" t="s">
        <v>153</v>
      </c>
      <c r="DR65" t="s">
        <v>153</v>
      </c>
      <c r="DS65" t="s">
        <v>153</v>
      </c>
      <c r="DT65" t="s">
        <v>153</v>
      </c>
      <c r="DU65" t="s">
        <v>153</v>
      </c>
      <c r="DV65" t="s">
        <v>153</v>
      </c>
      <c r="DW65" t="s">
        <v>153</v>
      </c>
      <c r="DX65" s="2"/>
      <c r="DY65" t="s">
        <v>153</v>
      </c>
      <c r="DZ65" t="s">
        <v>153</v>
      </c>
      <c r="EA65" t="s">
        <v>153</v>
      </c>
      <c r="EB65" t="s">
        <v>153</v>
      </c>
      <c r="EC65" t="s">
        <v>153</v>
      </c>
      <c r="ED65" t="s">
        <v>153</v>
      </c>
      <c r="EE65" t="s">
        <v>153</v>
      </c>
      <c r="EF65" t="s">
        <v>153</v>
      </c>
      <c r="EH65" t="s">
        <v>153</v>
      </c>
      <c r="EI65" t="s">
        <v>153</v>
      </c>
      <c r="EJ65" t="s">
        <v>153</v>
      </c>
      <c r="EK65" t="s">
        <v>153</v>
      </c>
      <c r="EM65" t="s">
        <v>153</v>
      </c>
      <c r="EN65" t="s">
        <v>153</v>
      </c>
      <c r="EP65" s="4" t="s">
        <v>153</v>
      </c>
      <c r="EQ65" s="4" t="s">
        <v>153</v>
      </c>
      <c r="ER65" s="4" t="s">
        <v>153</v>
      </c>
      <c r="ES65" s="4" t="s">
        <v>153</v>
      </c>
      <c r="ET65" t="s">
        <v>153</v>
      </c>
      <c r="EU65" t="s">
        <v>821</v>
      </c>
      <c r="EV65" t="s">
        <v>909</v>
      </c>
      <c r="EW65">
        <v>1101260276</v>
      </c>
      <c r="EX65" t="s">
        <v>1093</v>
      </c>
    </row>
    <row r="66" spans="1:154" x14ac:dyDescent="0.25">
      <c r="A66" s="3">
        <v>45065.404606481483</v>
      </c>
      <c r="B66" s="4" t="s">
        <v>1050</v>
      </c>
      <c r="C66" s="4" t="s">
        <v>1094</v>
      </c>
      <c r="D66" s="4" t="s">
        <v>1095</v>
      </c>
      <c r="E66" s="4" t="s">
        <v>1096</v>
      </c>
      <c r="F66" s="4" t="s">
        <v>1097</v>
      </c>
      <c r="G66" s="4" t="s">
        <v>252</v>
      </c>
      <c r="H66" s="4" t="s">
        <v>468</v>
      </c>
      <c r="I66" s="4" t="s">
        <v>153</v>
      </c>
      <c r="J66" s="4" t="s">
        <v>153</v>
      </c>
      <c r="K66" s="5"/>
      <c r="L66" s="4" t="s">
        <v>153</v>
      </c>
      <c r="M66" s="4" t="s">
        <v>153</v>
      </c>
      <c r="N66" s="4" t="s">
        <v>153</v>
      </c>
      <c r="O66" s="4" t="s">
        <v>153</v>
      </c>
      <c r="P66" s="4" t="s">
        <v>153</v>
      </c>
      <c r="Q66" s="4" t="s">
        <v>153</v>
      </c>
      <c r="R66" s="4" t="s">
        <v>153</v>
      </c>
      <c r="S66" s="4" t="s">
        <v>153</v>
      </c>
      <c r="T66" s="4" t="s">
        <v>153</v>
      </c>
      <c r="U66" s="4" t="s">
        <v>153</v>
      </c>
      <c r="V66" s="4" t="s">
        <v>153</v>
      </c>
      <c r="W66" s="4" t="s">
        <v>153</v>
      </c>
      <c r="X66" s="4" t="s">
        <v>153</v>
      </c>
      <c r="Y66" s="4" t="s">
        <v>153</v>
      </c>
      <c r="Z66" s="4" t="s">
        <v>153</v>
      </c>
      <c r="AA66" s="4" t="s">
        <v>153</v>
      </c>
      <c r="AB66" s="4" t="s">
        <v>153</v>
      </c>
      <c r="AC66" s="4" t="s">
        <v>153</v>
      </c>
      <c r="AD66" s="4" t="s">
        <v>153</v>
      </c>
      <c r="AE66" s="4" t="s">
        <v>153</v>
      </c>
      <c r="AF66" s="4" t="s">
        <v>153</v>
      </c>
      <c r="AG66" s="4" t="s">
        <v>153</v>
      </c>
      <c r="AH66" s="4" t="s">
        <v>153</v>
      </c>
      <c r="AI66" s="5"/>
      <c r="AJ66" t="s">
        <v>153</v>
      </c>
      <c r="AK66" s="4"/>
      <c r="AL66" t="s">
        <v>153</v>
      </c>
      <c r="AM66" t="s">
        <v>153</v>
      </c>
      <c r="AO66" t="s">
        <v>153</v>
      </c>
      <c r="AP66" s="4"/>
      <c r="AQ66" t="s">
        <v>153</v>
      </c>
      <c r="AR66" s="5">
        <v>44927</v>
      </c>
      <c r="AS66">
        <v>1</v>
      </c>
      <c r="AT66" s="4" t="s">
        <v>1094</v>
      </c>
      <c r="AU66" s="4" t="s">
        <v>1095</v>
      </c>
      <c r="AV66" s="4" t="s">
        <v>153</v>
      </c>
      <c r="AW66" t="s">
        <v>153</v>
      </c>
      <c r="AX66" t="s">
        <v>153</v>
      </c>
      <c r="AY66" t="s">
        <v>153</v>
      </c>
      <c r="AZ66" t="s">
        <v>1098</v>
      </c>
      <c r="BA66" t="s">
        <v>153</v>
      </c>
      <c r="BB66" t="s">
        <v>153</v>
      </c>
      <c r="BC66" t="s">
        <v>153</v>
      </c>
      <c r="BD66" s="4" t="s">
        <v>1099</v>
      </c>
      <c r="BE66" s="4" t="s">
        <v>1100</v>
      </c>
      <c r="BF66" t="s">
        <v>242</v>
      </c>
      <c r="BG66" s="4" t="s">
        <v>637</v>
      </c>
      <c r="BH66" t="s">
        <v>153</v>
      </c>
      <c r="BI66" s="4" t="s">
        <v>153</v>
      </c>
      <c r="BJ66" t="s">
        <v>153</v>
      </c>
      <c r="BK66" s="4" t="s">
        <v>153</v>
      </c>
      <c r="BL66" t="s">
        <v>153</v>
      </c>
      <c r="BM66" t="s">
        <v>153</v>
      </c>
      <c r="BN66" s="4" t="s">
        <v>153</v>
      </c>
      <c r="BO66" s="4" t="s">
        <v>153</v>
      </c>
      <c r="BP66" s="4" t="s">
        <v>153</v>
      </c>
      <c r="BQ66" s="4" t="s">
        <v>153</v>
      </c>
      <c r="BR66" s="4" t="s">
        <v>153</v>
      </c>
      <c r="BS66" s="4" t="s">
        <v>153</v>
      </c>
      <c r="BT66" s="4" t="s">
        <v>153</v>
      </c>
      <c r="BU66" s="4" t="s">
        <v>153</v>
      </c>
      <c r="BV66" s="4"/>
      <c r="BW66" s="4" t="s">
        <v>153</v>
      </c>
      <c r="BX66" s="4" t="s">
        <v>153</v>
      </c>
      <c r="BY66" s="4" t="s">
        <v>153</v>
      </c>
      <c r="BZ66" s="4" t="s">
        <v>153</v>
      </c>
      <c r="CA66" s="4" t="s">
        <v>153</v>
      </c>
      <c r="CB66" s="4"/>
      <c r="CC66" s="4" t="s">
        <v>153</v>
      </c>
      <c r="CD66" t="s">
        <v>153</v>
      </c>
      <c r="CE66" s="4" t="s">
        <v>153</v>
      </c>
      <c r="CF66" s="4" t="s">
        <v>153</v>
      </c>
      <c r="CG66" s="4" t="s">
        <v>153</v>
      </c>
      <c r="CH66" s="5"/>
      <c r="CI66" t="s">
        <v>153</v>
      </c>
      <c r="CJ66" s="4"/>
      <c r="CK66" t="s">
        <v>153</v>
      </c>
      <c r="CL66" t="s">
        <v>153</v>
      </c>
      <c r="CM66" t="s">
        <v>153</v>
      </c>
      <c r="CN66" t="s">
        <v>153</v>
      </c>
      <c r="CO66" s="5"/>
      <c r="CP66" s="4" t="s">
        <v>153</v>
      </c>
      <c r="CQ66" s="4" t="s">
        <v>153</v>
      </c>
      <c r="CR66" t="s">
        <v>153</v>
      </c>
      <c r="CS66" t="s">
        <v>153</v>
      </c>
      <c r="CT66" t="s">
        <v>153</v>
      </c>
      <c r="CU66" t="s">
        <v>153</v>
      </c>
      <c r="CV66" t="s">
        <v>153</v>
      </c>
      <c r="CW66" t="s">
        <v>153</v>
      </c>
      <c r="CX66" t="s">
        <v>153</v>
      </c>
      <c r="CY66" t="s">
        <v>153</v>
      </c>
      <c r="CZ66" t="s">
        <v>153</v>
      </c>
      <c r="DA66" t="s">
        <v>153</v>
      </c>
      <c r="DB66" t="s">
        <v>153</v>
      </c>
      <c r="DC66" t="s">
        <v>153</v>
      </c>
      <c r="DD66" t="s">
        <v>153</v>
      </c>
      <c r="DE66" t="s">
        <v>153</v>
      </c>
      <c r="DF66" t="s">
        <v>153</v>
      </c>
      <c r="DG66" t="s">
        <v>153</v>
      </c>
      <c r="DI66" t="s">
        <v>153</v>
      </c>
      <c r="DJ66" t="s">
        <v>153</v>
      </c>
      <c r="DK66" t="s">
        <v>153</v>
      </c>
      <c r="DL66" t="s">
        <v>153</v>
      </c>
      <c r="DN66" t="s">
        <v>153</v>
      </c>
      <c r="DO66" t="s">
        <v>153</v>
      </c>
      <c r="DP66" t="s">
        <v>153</v>
      </c>
      <c r="DQ66" t="s">
        <v>153</v>
      </c>
      <c r="DR66" t="s">
        <v>153</v>
      </c>
      <c r="DS66" t="s">
        <v>153</v>
      </c>
      <c r="DT66" t="s">
        <v>153</v>
      </c>
      <c r="DU66" t="s">
        <v>153</v>
      </c>
      <c r="DV66" t="s">
        <v>153</v>
      </c>
      <c r="DW66" t="s">
        <v>153</v>
      </c>
      <c r="DX66" s="2"/>
      <c r="DY66" t="s">
        <v>153</v>
      </c>
      <c r="DZ66" t="s">
        <v>153</v>
      </c>
      <c r="EA66" t="s">
        <v>153</v>
      </c>
      <c r="EB66" t="s">
        <v>153</v>
      </c>
      <c r="EC66" t="s">
        <v>153</v>
      </c>
      <c r="ED66" t="s">
        <v>153</v>
      </c>
      <c r="EE66" t="s">
        <v>153</v>
      </c>
      <c r="EF66" t="s">
        <v>153</v>
      </c>
      <c r="EH66" t="s">
        <v>153</v>
      </c>
      <c r="EI66" t="s">
        <v>153</v>
      </c>
      <c r="EJ66" t="s">
        <v>153</v>
      </c>
      <c r="EK66" t="s">
        <v>153</v>
      </c>
      <c r="EM66" t="s">
        <v>153</v>
      </c>
      <c r="EN66" t="s">
        <v>153</v>
      </c>
      <c r="EP66" s="4" t="s">
        <v>153</v>
      </c>
      <c r="EQ66" s="4" t="s">
        <v>153</v>
      </c>
      <c r="ER66" s="4" t="s">
        <v>243</v>
      </c>
      <c r="ES66" s="4" t="s">
        <v>205</v>
      </c>
      <c r="ET66" t="s">
        <v>153</v>
      </c>
      <c r="EU66" t="s">
        <v>1101</v>
      </c>
      <c r="EV66" t="s">
        <v>1102</v>
      </c>
      <c r="EW66">
        <v>1103438019</v>
      </c>
      <c r="EX66" t="s">
        <v>1103</v>
      </c>
    </row>
    <row r="67" spans="1:154" x14ac:dyDescent="0.25">
      <c r="A67" s="3">
        <v>45065.485162037039</v>
      </c>
      <c r="B67" s="4" t="s">
        <v>1050</v>
      </c>
      <c r="C67" s="4" t="s">
        <v>892</v>
      </c>
      <c r="D67" s="4" t="s">
        <v>893</v>
      </c>
      <c r="E67" s="4" t="s">
        <v>894</v>
      </c>
      <c r="F67" s="4" t="s">
        <v>895</v>
      </c>
      <c r="G67" s="4" t="s">
        <v>185</v>
      </c>
      <c r="H67" s="4" t="s">
        <v>542</v>
      </c>
      <c r="I67" s="4" t="s">
        <v>153</v>
      </c>
      <c r="J67" s="4" t="s">
        <v>153</v>
      </c>
      <c r="K67" s="5"/>
      <c r="L67" s="4" t="s">
        <v>153</v>
      </c>
      <c r="M67" s="4" t="s">
        <v>1104</v>
      </c>
      <c r="N67" s="4" t="s">
        <v>153</v>
      </c>
      <c r="O67" s="4" t="s">
        <v>1105</v>
      </c>
      <c r="P67" s="4" t="s">
        <v>1106</v>
      </c>
      <c r="Q67" s="4" t="s">
        <v>403</v>
      </c>
      <c r="R67" s="4" t="s">
        <v>153</v>
      </c>
      <c r="S67" s="4" t="s">
        <v>153</v>
      </c>
      <c r="T67" s="4" t="s">
        <v>153</v>
      </c>
      <c r="U67" s="4" t="s">
        <v>1107</v>
      </c>
      <c r="V67" s="4" t="s">
        <v>153</v>
      </c>
      <c r="W67" s="4" t="s">
        <v>1108</v>
      </c>
      <c r="X67" s="4" t="s">
        <v>1074</v>
      </c>
      <c r="Y67" s="4" t="s">
        <v>1109</v>
      </c>
      <c r="Z67" s="4" t="s">
        <v>237</v>
      </c>
      <c r="AA67" s="4" t="s">
        <v>1107</v>
      </c>
      <c r="AB67" s="4" t="s">
        <v>153</v>
      </c>
      <c r="AC67" s="4" t="s">
        <v>1108</v>
      </c>
      <c r="AD67" s="4" t="s">
        <v>1074</v>
      </c>
      <c r="AE67" s="4" t="s">
        <v>1109</v>
      </c>
      <c r="AF67" s="4" t="s">
        <v>1110</v>
      </c>
      <c r="AG67" s="4" t="s">
        <v>1111</v>
      </c>
      <c r="AH67" s="4" t="s">
        <v>1112</v>
      </c>
      <c r="AI67" s="5">
        <v>45056</v>
      </c>
      <c r="AJ67" t="s">
        <v>153</v>
      </c>
      <c r="AK67" s="4">
        <v>3</v>
      </c>
      <c r="AL67" t="s">
        <v>153</v>
      </c>
      <c r="AM67" t="s">
        <v>414</v>
      </c>
      <c r="AN67">
        <v>140</v>
      </c>
      <c r="AO67" t="s">
        <v>1113</v>
      </c>
      <c r="AP67" s="4">
        <v>630718947</v>
      </c>
      <c r="AQ67" t="s">
        <v>1114</v>
      </c>
      <c r="AR67" s="5"/>
      <c r="AT67" s="4" t="s">
        <v>153</v>
      </c>
      <c r="AU67" s="4" t="s">
        <v>153</v>
      </c>
      <c r="AV67" s="4" t="s">
        <v>153</v>
      </c>
      <c r="AW67" t="s">
        <v>153</v>
      </c>
      <c r="AX67" t="s">
        <v>153</v>
      </c>
      <c r="AY67" t="s">
        <v>153</v>
      </c>
      <c r="AZ67" t="s">
        <v>153</v>
      </c>
      <c r="BA67" t="s">
        <v>153</v>
      </c>
      <c r="BB67" t="s">
        <v>153</v>
      </c>
      <c r="BC67" t="s">
        <v>153</v>
      </c>
      <c r="BD67" s="4" t="s">
        <v>153</v>
      </c>
      <c r="BE67" s="4" t="s">
        <v>153</v>
      </c>
      <c r="BF67" t="s">
        <v>153</v>
      </c>
      <c r="BG67" s="4" t="s">
        <v>153</v>
      </c>
      <c r="BH67" t="s">
        <v>153</v>
      </c>
      <c r="BI67" s="4" t="s">
        <v>153</v>
      </c>
      <c r="BJ67" t="s">
        <v>153</v>
      </c>
      <c r="BK67" s="4" t="s">
        <v>153</v>
      </c>
      <c r="BL67" t="s">
        <v>153</v>
      </c>
      <c r="BM67" t="s">
        <v>153</v>
      </c>
      <c r="BN67" s="4" t="s">
        <v>153</v>
      </c>
      <c r="BO67" s="4" t="s">
        <v>153</v>
      </c>
      <c r="BP67" s="4" t="s">
        <v>153</v>
      </c>
      <c r="BQ67" s="4" t="s">
        <v>153</v>
      </c>
      <c r="BR67" s="4" t="s">
        <v>153</v>
      </c>
      <c r="BS67" s="4" t="s">
        <v>153</v>
      </c>
      <c r="BT67" s="4" t="s">
        <v>153</v>
      </c>
      <c r="BU67" s="4" t="s">
        <v>153</v>
      </c>
      <c r="BV67" s="4"/>
      <c r="BW67" s="4" t="s">
        <v>153</v>
      </c>
      <c r="BX67" s="4" t="s">
        <v>153</v>
      </c>
      <c r="BY67" s="4" t="s">
        <v>153</v>
      </c>
      <c r="BZ67" s="4" t="s">
        <v>153</v>
      </c>
      <c r="CA67" s="4" t="s">
        <v>153</v>
      </c>
      <c r="CB67" s="4"/>
      <c r="CC67" s="4" t="s">
        <v>153</v>
      </c>
      <c r="CD67" t="s">
        <v>153</v>
      </c>
      <c r="CE67" s="4" t="s">
        <v>153</v>
      </c>
      <c r="CF67" s="4" t="s">
        <v>153</v>
      </c>
      <c r="CG67" s="4" t="s">
        <v>153</v>
      </c>
      <c r="CH67" s="5"/>
      <c r="CI67" t="s">
        <v>153</v>
      </c>
      <c r="CJ67" s="4"/>
      <c r="CK67" t="s">
        <v>153</v>
      </c>
      <c r="CL67" t="s">
        <v>153</v>
      </c>
      <c r="CM67" t="s">
        <v>153</v>
      </c>
      <c r="CN67" t="s">
        <v>153</v>
      </c>
      <c r="CO67" s="5"/>
      <c r="CP67" s="4" t="s">
        <v>153</v>
      </c>
      <c r="CQ67" s="4" t="s">
        <v>153</v>
      </c>
      <c r="CR67" t="s">
        <v>153</v>
      </c>
      <c r="CS67" t="s">
        <v>153</v>
      </c>
      <c r="CT67" t="s">
        <v>153</v>
      </c>
      <c r="CU67" t="s">
        <v>153</v>
      </c>
      <c r="CV67" t="s">
        <v>153</v>
      </c>
      <c r="CW67" t="s">
        <v>153</v>
      </c>
      <c r="CX67" t="s">
        <v>153</v>
      </c>
      <c r="CY67" t="s">
        <v>153</v>
      </c>
      <c r="CZ67" t="s">
        <v>153</v>
      </c>
      <c r="DA67" t="s">
        <v>153</v>
      </c>
      <c r="DB67" t="s">
        <v>153</v>
      </c>
      <c r="DC67" t="s">
        <v>153</v>
      </c>
      <c r="DD67" t="s">
        <v>153</v>
      </c>
      <c r="DE67" t="s">
        <v>153</v>
      </c>
      <c r="DF67" t="s">
        <v>153</v>
      </c>
      <c r="DG67" t="s">
        <v>153</v>
      </c>
      <c r="DI67" t="s">
        <v>153</v>
      </c>
      <c r="DJ67" t="s">
        <v>153</v>
      </c>
      <c r="DK67" t="s">
        <v>153</v>
      </c>
      <c r="DL67" t="s">
        <v>153</v>
      </c>
      <c r="DN67" t="s">
        <v>153</v>
      </c>
      <c r="DO67" t="s">
        <v>153</v>
      </c>
      <c r="DP67" t="s">
        <v>153</v>
      </c>
      <c r="DQ67" t="s">
        <v>153</v>
      </c>
      <c r="DR67" t="s">
        <v>153</v>
      </c>
      <c r="DS67" t="s">
        <v>153</v>
      </c>
      <c r="DT67" t="s">
        <v>153</v>
      </c>
      <c r="DU67" t="s">
        <v>153</v>
      </c>
      <c r="DV67" t="s">
        <v>153</v>
      </c>
      <c r="DW67" t="s">
        <v>153</v>
      </c>
      <c r="DX67" s="2"/>
      <c r="DY67" t="s">
        <v>153</v>
      </c>
      <c r="DZ67" t="s">
        <v>153</v>
      </c>
      <c r="EA67" t="s">
        <v>153</v>
      </c>
      <c r="EB67" t="s">
        <v>153</v>
      </c>
      <c r="EC67" t="s">
        <v>153</v>
      </c>
      <c r="ED67" t="s">
        <v>153</v>
      </c>
      <c r="EE67" t="s">
        <v>153</v>
      </c>
      <c r="EF67" t="s">
        <v>153</v>
      </c>
      <c r="EH67" t="s">
        <v>153</v>
      </c>
      <c r="EI67" t="s">
        <v>153</v>
      </c>
      <c r="EJ67" t="s">
        <v>153</v>
      </c>
      <c r="EK67" t="s">
        <v>153</v>
      </c>
      <c r="EM67" t="s">
        <v>153</v>
      </c>
      <c r="EN67" t="s">
        <v>153</v>
      </c>
      <c r="EP67" s="4" t="s">
        <v>153</v>
      </c>
      <c r="EQ67" s="4" t="s">
        <v>153</v>
      </c>
      <c r="ER67" s="4" t="s">
        <v>153</v>
      </c>
      <c r="ES67" s="4" t="s">
        <v>153</v>
      </c>
      <c r="ET67" t="s">
        <v>153</v>
      </c>
      <c r="EU67" t="s">
        <v>821</v>
      </c>
      <c r="EV67" t="s">
        <v>909</v>
      </c>
      <c r="EW67">
        <v>1103481279</v>
      </c>
      <c r="EX67" t="s">
        <v>1093</v>
      </c>
    </row>
    <row r="68" spans="1:154" x14ac:dyDescent="0.25">
      <c r="A68" s="3">
        <v>45079.431145833332</v>
      </c>
      <c r="B68" s="4" t="s">
        <v>1050</v>
      </c>
      <c r="C68" s="4" t="s">
        <v>1115</v>
      </c>
      <c r="D68" s="4" t="s">
        <v>1116</v>
      </c>
      <c r="E68" s="4" t="s">
        <v>1117</v>
      </c>
      <c r="F68" s="4" t="s">
        <v>1118</v>
      </c>
      <c r="G68" s="4" t="s">
        <v>185</v>
      </c>
      <c r="H68" s="4" t="s">
        <v>1119</v>
      </c>
      <c r="I68" s="4" t="s">
        <v>153</v>
      </c>
      <c r="J68" s="4" t="s">
        <v>153</v>
      </c>
      <c r="K68" s="5"/>
      <c r="L68" s="4" t="s">
        <v>153</v>
      </c>
      <c r="M68" s="4" t="s">
        <v>1120</v>
      </c>
      <c r="N68" s="4" t="s">
        <v>153</v>
      </c>
      <c r="O68" s="4" t="s">
        <v>1121</v>
      </c>
      <c r="P68" s="4" t="s">
        <v>1121</v>
      </c>
      <c r="Q68" s="4" t="s">
        <v>294</v>
      </c>
      <c r="R68" s="4" t="s">
        <v>191</v>
      </c>
      <c r="S68" s="4" t="s">
        <v>1122</v>
      </c>
      <c r="T68" s="4" t="s">
        <v>1123</v>
      </c>
      <c r="U68" s="4" t="s">
        <v>1124</v>
      </c>
      <c r="V68" s="4" t="s">
        <v>153</v>
      </c>
      <c r="W68" s="4" t="s">
        <v>1125</v>
      </c>
      <c r="X68" s="4" t="s">
        <v>331</v>
      </c>
      <c r="Y68" s="4" t="s">
        <v>1126</v>
      </c>
      <c r="Z68" s="4" t="s">
        <v>197</v>
      </c>
      <c r="AA68" s="4" t="s">
        <v>1127</v>
      </c>
      <c r="AB68" s="4" t="s">
        <v>153</v>
      </c>
      <c r="AC68" s="4" t="s">
        <v>1125</v>
      </c>
      <c r="AD68" s="4" t="s">
        <v>331</v>
      </c>
      <c r="AE68" s="4" t="s">
        <v>1126</v>
      </c>
      <c r="AF68" s="4" t="s">
        <v>1128</v>
      </c>
      <c r="AG68" s="4" t="s">
        <v>1129</v>
      </c>
      <c r="AH68" s="4" t="s">
        <v>153</v>
      </c>
      <c r="AI68" s="5">
        <v>45108</v>
      </c>
      <c r="AJ68" t="s">
        <v>445</v>
      </c>
      <c r="AK68" s="4">
        <v>10</v>
      </c>
      <c r="AL68" t="s">
        <v>153</v>
      </c>
      <c r="AM68" t="s">
        <v>153</v>
      </c>
      <c r="AO68" t="s">
        <v>153</v>
      </c>
      <c r="AP68" s="4"/>
      <c r="AQ68" t="s">
        <v>153</v>
      </c>
      <c r="AR68" s="5"/>
      <c r="AT68" s="4" t="s">
        <v>153</v>
      </c>
      <c r="AU68" s="4" t="s">
        <v>153</v>
      </c>
      <c r="AV68" s="4" t="s">
        <v>153</v>
      </c>
      <c r="AW68" t="s">
        <v>153</v>
      </c>
      <c r="AX68" t="s">
        <v>153</v>
      </c>
      <c r="AY68" t="s">
        <v>153</v>
      </c>
      <c r="AZ68" t="s">
        <v>153</v>
      </c>
      <c r="BA68" t="s">
        <v>153</v>
      </c>
      <c r="BB68" t="s">
        <v>153</v>
      </c>
      <c r="BC68" t="s">
        <v>153</v>
      </c>
      <c r="BD68" s="4" t="s">
        <v>153</v>
      </c>
      <c r="BE68" s="4" t="s">
        <v>153</v>
      </c>
      <c r="BF68" t="s">
        <v>153</v>
      </c>
      <c r="BG68" s="4" t="s">
        <v>153</v>
      </c>
      <c r="BH68" t="s">
        <v>153</v>
      </c>
      <c r="BI68" s="4" t="s">
        <v>153</v>
      </c>
      <c r="BJ68" t="s">
        <v>153</v>
      </c>
      <c r="BK68" s="4" t="s">
        <v>153</v>
      </c>
      <c r="BL68" t="s">
        <v>153</v>
      </c>
      <c r="BM68" t="s">
        <v>153</v>
      </c>
      <c r="BN68" s="4" t="s">
        <v>153</v>
      </c>
      <c r="BO68" s="4" t="s">
        <v>153</v>
      </c>
      <c r="BP68" s="4" t="s">
        <v>153</v>
      </c>
      <c r="BQ68" s="4" t="s">
        <v>153</v>
      </c>
      <c r="BR68" s="4" t="s">
        <v>153</v>
      </c>
      <c r="BS68" s="4" t="s">
        <v>153</v>
      </c>
      <c r="BT68" s="4" t="s">
        <v>153</v>
      </c>
      <c r="BU68" s="4" t="s">
        <v>153</v>
      </c>
      <c r="BV68" s="4"/>
      <c r="BW68" s="4" t="s">
        <v>153</v>
      </c>
      <c r="BX68" s="4" t="s">
        <v>153</v>
      </c>
      <c r="BY68" s="4" t="s">
        <v>153</v>
      </c>
      <c r="BZ68" s="4" t="s">
        <v>153</v>
      </c>
      <c r="CA68" s="4" t="s">
        <v>153</v>
      </c>
      <c r="CB68" s="4"/>
      <c r="CC68" s="4" t="s">
        <v>153</v>
      </c>
      <c r="CD68" t="s">
        <v>153</v>
      </c>
      <c r="CE68" s="4" t="s">
        <v>153</v>
      </c>
      <c r="CF68" s="4" t="s">
        <v>153</v>
      </c>
      <c r="CG68" s="4" t="s">
        <v>153</v>
      </c>
      <c r="CH68" s="5"/>
      <c r="CI68" t="s">
        <v>153</v>
      </c>
      <c r="CJ68" s="4"/>
      <c r="CK68" t="s">
        <v>153</v>
      </c>
      <c r="CL68" t="s">
        <v>153</v>
      </c>
      <c r="CM68" t="s">
        <v>153</v>
      </c>
      <c r="CN68" t="s">
        <v>153</v>
      </c>
      <c r="CO68" s="5"/>
      <c r="CP68" s="4" t="s">
        <v>153</v>
      </c>
      <c r="CQ68" s="4" t="s">
        <v>153</v>
      </c>
      <c r="CR68" t="s">
        <v>153</v>
      </c>
      <c r="CS68" t="s">
        <v>153</v>
      </c>
      <c r="CT68" t="s">
        <v>153</v>
      </c>
      <c r="CU68" t="s">
        <v>153</v>
      </c>
      <c r="CV68" t="s">
        <v>153</v>
      </c>
      <c r="CW68" t="s">
        <v>153</v>
      </c>
      <c r="CX68" t="s">
        <v>153</v>
      </c>
      <c r="CY68" t="s">
        <v>153</v>
      </c>
      <c r="CZ68" t="s">
        <v>153</v>
      </c>
      <c r="DA68" t="s">
        <v>153</v>
      </c>
      <c r="DB68" t="s">
        <v>153</v>
      </c>
      <c r="DC68" t="s">
        <v>153</v>
      </c>
      <c r="DD68" t="s">
        <v>153</v>
      </c>
      <c r="DE68" t="s">
        <v>153</v>
      </c>
      <c r="DF68" t="s">
        <v>153</v>
      </c>
      <c r="DG68" t="s">
        <v>153</v>
      </c>
      <c r="DI68" t="s">
        <v>153</v>
      </c>
      <c r="DJ68" t="s">
        <v>153</v>
      </c>
      <c r="DK68" t="s">
        <v>153</v>
      </c>
      <c r="DL68" t="s">
        <v>153</v>
      </c>
      <c r="DN68" t="s">
        <v>153</v>
      </c>
      <c r="DO68" t="s">
        <v>153</v>
      </c>
      <c r="DP68" t="s">
        <v>153</v>
      </c>
      <c r="DQ68" t="s">
        <v>153</v>
      </c>
      <c r="DR68" t="s">
        <v>153</v>
      </c>
      <c r="DS68" t="s">
        <v>153</v>
      </c>
      <c r="DT68" t="s">
        <v>153</v>
      </c>
      <c r="DU68" t="s">
        <v>153</v>
      </c>
      <c r="DV68" t="s">
        <v>153</v>
      </c>
      <c r="DW68" t="s">
        <v>153</v>
      </c>
      <c r="DX68" s="2"/>
      <c r="DY68" t="s">
        <v>153</v>
      </c>
      <c r="DZ68" t="s">
        <v>153</v>
      </c>
      <c r="EA68" t="s">
        <v>153</v>
      </c>
      <c r="EB68" t="s">
        <v>153</v>
      </c>
      <c r="EC68" t="s">
        <v>153</v>
      </c>
      <c r="ED68" t="s">
        <v>153</v>
      </c>
      <c r="EE68" t="s">
        <v>153</v>
      </c>
      <c r="EF68" t="s">
        <v>153</v>
      </c>
      <c r="EH68" t="s">
        <v>153</v>
      </c>
      <c r="EI68" t="s">
        <v>153</v>
      </c>
      <c r="EJ68" t="s">
        <v>153</v>
      </c>
      <c r="EK68" t="s">
        <v>153</v>
      </c>
      <c r="EM68" t="s">
        <v>153</v>
      </c>
      <c r="EN68" t="s">
        <v>153</v>
      </c>
      <c r="EP68" s="4" t="s">
        <v>242</v>
      </c>
      <c r="EQ68" s="4" t="s">
        <v>153</v>
      </c>
      <c r="ER68" s="4" t="s">
        <v>191</v>
      </c>
      <c r="ES68" s="4" t="s">
        <v>153</v>
      </c>
      <c r="ET68" t="s">
        <v>1130</v>
      </c>
      <c r="EU68" t="s">
        <v>1131</v>
      </c>
      <c r="EV68" t="s">
        <v>1132</v>
      </c>
      <c r="EW68">
        <v>1107805255</v>
      </c>
      <c r="EX68" t="s">
        <v>1133</v>
      </c>
    </row>
    <row r="69" spans="1:154" x14ac:dyDescent="0.25">
      <c r="A69" s="3">
        <v>45082.623124999998</v>
      </c>
      <c r="B69" s="4" t="s">
        <v>1050</v>
      </c>
      <c r="C69" s="4" t="s">
        <v>641</v>
      </c>
      <c r="D69" s="4" t="s">
        <v>642</v>
      </c>
      <c r="E69" s="4" t="s">
        <v>643</v>
      </c>
      <c r="F69" s="4" t="s">
        <v>644</v>
      </c>
      <c r="G69" s="4" t="s">
        <v>185</v>
      </c>
      <c r="H69" s="4" t="s">
        <v>645</v>
      </c>
      <c r="I69" s="4" t="s">
        <v>153</v>
      </c>
      <c r="J69" s="4" t="s">
        <v>153</v>
      </c>
      <c r="K69" s="5"/>
      <c r="L69" s="4" t="s">
        <v>153</v>
      </c>
      <c r="M69" s="4" t="s">
        <v>1134</v>
      </c>
      <c r="N69" s="4" t="s">
        <v>1134</v>
      </c>
      <c r="O69" s="4" t="s">
        <v>1135</v>
      </c>
      <c r="P69" s="4" t="s">
        <v>1136</v>
      </c>
      <c r="Q69" s="4" t="s">
        <v>294</v>
      </c>
      <c r="R69" s="4" t="s">
        <v>308</v>
      </c>
      <c r="S69" s="4" t="s">
        <v>153</v>
      </c>
      <c r="T69" s="4" t="s">
        <v>153</v>
      </c>
      <c r="U69" s="4" t="s">
        <v>1137</v>
      </c>
      <c r="V69" s="4" t="s">
        <v>153</v>
      </c>
      <c r="W69" s="4" t="s">
        <v>1138</v>
      </c>
      <c r="X69" s="4" t="s">
        <v>429</v>
      </c>
      <c r="Y69" s="4" t="s">
        <v>1139</v>
      </c>
      <c r="Z69" s="4" t="s">
        <v>237</v>
      </c>
      <c r="AA69" s="4" t="s">
        <v>1137</v>
      </c>
      <c r="AB69" s="4" t="s">
        <v>153</v>
      </c>
      <c r="AC69" s="4" t="s">
        <v>1138</v>
      </c>
      <c r="AD69" s="4" t="s">
        <v>429</v>
      </c>
      <c r="AE69" s="4" t="s">
        <v>1139</v>
      </c>
      <c r="AF69" s="4" t="s">
        <v>1140</v>
      </c>
      <c r="AG69" s="4" t="s">
        <v>1141</v>
      </c>
      <c r="AH69" s="4" t="s">
        <v>153</v>
      </c>
      <c r="AI69" s="5">
        <v>45061</v>
      </c>
      <c r="AJ69" t="s">
        <v>412</v>
      </c>
      <c r="AK69" s="4">
        <v>2</v>
      </c>
      <c r="AL69" t="s">
        <v>153</v>
      </c>
      <c r="AM69" t="s">
        <v>153</v>
      </c>
      <c r="AO69" t="s">
        <v>153</v>
      </c>
      <c r="AP69" s="4"/>
      <c r="AQ69" t="s">
        <v>153</v>
      </c>
      <c r="AR69" s="5"/>
      <c r="AT69" s="4" t="s">
        <v>153</v>
      </c>
      <c r="AU69" s="4" t="s">
        <v>153</v>
      </c>
      <c r="AV69" s="4" t="s">
        <v>153</v>
      </c>
      <c r="AW69" t="s">
        <v>153</v>
      </c>
      <c r="AX69" t="s">
        <v>153</v>
      </c>
      <c r="AY69" t="s">
        <v>153</v>
      </c>
      <c r="AZ69" t="s">
        <v>153</v>
      </c>
      <c r="BA69" t="s">
        <v>153</v>
      </c>
      <c r="BB69" t="s">
        <v>153</v>
      </c>
      <c r="BC69" t="s">
        <v>153</v>
      </c>
      <c r="BD69" s="4" t="s">
        <v>153</v>
      </c>
      <c r="BE69" s="4" t="s">
        <v>153</v>
      </c>
      <c r="BF69" t="s">
        <v>153</v>
      </c>
      <c r="BG69" s="4" t="s">
        <v>153</v>
      </c>
      <c r="BH69" t="s">
        <v>153</v>
      </c>
      <c r="BI69" s="4" t="s">
        <v>153</v>
      </c>
      <c r="BJ69" t="s">
        <v>153</v>
      </c>
      <c r="BK69" s="4" t="s">
        <v>153</v>
      </c>
      <c r="BL69" t="s">
        <v>153</v>
      </c>
      <c r="BM69" t="s">
        <v>153</v>
      </c>
      <c r="BN69" s="4" t="s">
        <v>153</v>
      </c>
      <c r="BO69" s="4" t="s">
        <v>153</v>
      </c>
      <c r="BP69" s="4" t="s">
        <v>153</v>
      </c>
      <c r="BQ69" s="4" t="s">
        <v>153</v>
      </c>
      <c r="BR69" s="4" t="s">
        <v>153</v>
      </c>
      <c r="BS69" s="4" t="s">
        <v>153</v>
      </c>
      <c r="BT69" s="4" t="s">
        <v>153</v>
      </c>
      <c r="BU69" s="4" t="s">
        <v>153</v>
      </c>
      <c r="BV69" s="4"/>
      <c r="BW69" s="4" t="s">
        <v>153</v>
      </c>
      <c r="BX69" s="4" t="s">
        <v>153</v>
      </c>
      <c r="BY69" s="4" t="s">
        <v>153</v>
      </c>
      <c r="BZ69" s="4" t="s">
        <v>153</v>
      </c>
      <c r="CA69" s="4" t="s">
        <v>153</v>
      </c>
      <c r="CB69" s="4"/>
      <c r="CC69" s="4" t="s">
        <v>153</v>
      </c>
      <c r="CD69" t="s">
        <v>153</v>
      </c>
      <c r="CE69" s="4" t="s">
        <v>153</v>
      </c>
      <c r="CF69" s="4" t="s">
        <v>153</v>
      </c>
      <c r="CG69" s="4" t="s">
        <v>153</v>
      </c>
      <c r="CH69" s="5"/>
      <c r="CI69" t="s">
        <v>153</v>
      </c>
      <c r="CJ69" s="4"/>
      <c r="CK69" t="s">
        <v>153</v>
      </c>
      <c r="CL69" t="s">
        <v>153</v>
      </c>
      <c r="CM69" t="s">
        <v>153</v>
      </c>
      <c r="CN69" t="s">
        <v>153</v>
      </c>
      <c r="CO69" s="5"/>
      <c r="CP69" s="4" t="s">
        <v>153</v>
      </c>
      <c r="CQ69" s="4" t="s">
        <v>153</v>
      </c>
      <c r="CR69" t="s">
        <v>153</v>
      </c>
      <c r="CS69" t="s">
        <v>153</v>
      </c>
      <c r="CT69" t="s">
        <v>153</v>
      </c>
      <c r="CU69" t="s">
        <v>153</v>
      </c>
      <c r="CV69" t="s">
        <v>153</v>
      </c>
      <c r="CW69" t="s">
        <v>153</v>
      </c>
      <c r="CX69" t="s">
        <v>153</v>
      </c>
      <c r="CY69" t="s">
        <v>153</v>
      </c>
      <c r="CZ69" t="s">
        <v>153</v>
      </c>
      <c r="DA69" t="s">
        <v>153</v>
      </c>
      <c r="DB69" t="s">
        <v>153</v>
      </c>
      <c r="DC69" t="s">
        <v>153</v>
      </c>
      <c r="DD69" t="s">
        <v>153</v>
      </c>
      <c r="DE69" t="s">
        <v>153</v>
      </c>
      <c r="DF69" t="s">
        <v>153</v>
      </c>
      <c r="DG69" t="s">
        <v>153</v>
      </c>
      <c r="DI69" t="s">
        <v>153</v>
      </c>
      <c r="DJ69" t="s">
        <v>153</v>
      </c>
      <c r="DK69" t="s">
        <v>153</v>
      </c>
      <c r="DL69" t="s">
        <v>153</v>
      </c>
      <c r="DN69" t="s">
        <v>153</v>
      </c>
      <c r="DO69" t="s">
        <v>153</v>
      </c>
      <c r="DP69" t="s">
        <v>153</v>
      </c>
      <c r="DQ69" t="s">
        <v>153</v>
      </c>
      <c r="DR69" t="s">
        <v>153</v>
      </c>
      <c r="DS69" t="s">
        <v>153</v>
      </c>
      <c r="DT69" t="s">
        <v>153</v>
      </c>
      <c r="DU69" t="s">
        <v>153</v>
      </c>
      <c r="DV69" t="s">
        <v>153</v>
      </c>
      <c r="DW69" t="s">
        <v>153</v>
      </c>
      <c r="DX69" s="2"/>
      <c r="DY69" t="s">
        <v>153</v>
      </c>
      <c r="DZ69" t="s">
        <v>153</v>
      </c>
      <c r="EA69" t="s">
        <v>153</v>
      </c>
      <c r="EB69" t="s">
        <v>153</v>
      </c>
      <c r="EC69" t="s">
        <v>153</v>
      </c>
      <c r="ED69" t="s">
        <v>153</v>
      </c>
      <c r="EE69" t="s">
        <v>153</v>
      </c>
      <c r="EF69" t="s">
        <v>153</v>
      </c>
      <c r="EH69" t="s">
        <v>153</v>
      </c>
      <c r="EI69" t="s">
        <v>153</v>
      </c>
      <c r="EJ69" t="s">
        <v>153</v>
      </c>
      <c r="EK69" t="s">
        <v>153</v>
      </c>
      <c r="EM69" t="s">
        <v>153</v>
      </c>
      <c r="EN69" t="s">
        <v>153</v>
      </c>
      <c r="EP69" s="4" t="s">
        <v>153</v>
      </c>
      <c r="EQ69" s="4" t="s">
        <v>153</v>
      </c>
      <c r="ER69" s="4" t="s">
        <v>191</v>
      </c>
      <c r="ES69" s="4" t="s">
        <v>153</v>
      </c>
      <c r="ET69" t="s">
        <v>1142</v>
      </c>
      <c r="EU69" t="s">
        <v>1131</v>
      </c>
      <c r="EV69" t="s">
        <v>657</v>
      </c>
      <c r="EW69">
        <v>1108665424</v>
      </c>
      <c r="EX69" t="s">
        <v>1143</v>
      </c>
    </row>
    <row r="70" spans="1:154" x14ac:dyDescent="0.25">
      <c r="A70" s="3">
        <v>45084.677708333336</v>
      </c>
      <c r="B70" s="4" t="s">
        <v>1050</v>
      </c>
      <c r="C70" s="4" t="s">
        <v>264</v>
      </c>
      <c r="D70" s="4" t="s">
        <v>265</v>
      </c>
      <c r="E70" s="4" t="s">
        <v>266</v>
      </c>
      <c r="F70" s="4" t="s">
        <v>267</v>
      </c>
      <c r="G70" s="4" t="s">
        <v>423</v>
      </c>
      <c r="H70" s="4" t="s">
        <v>268</v>
      </c>
      <c r="I70" s="4" t="s">
        <v>153</v>
      </c>
      <c r="J70" s="4" t="s">
        <v>153</v>
      </c>
      <c r="K70" s="5"/>
      <c r="L70" s="4" t="s">
        <v>153</v>
      </c>
      <c r="M70" s="4" t="s">
        <v>153</v>
      </c>
      <c r="N70" s="4" t="s">
        <v>153</v>
      </c>
      <c r="O70" s="4" t="s">
        <v>153</v>
      </c>
      <c r="P70" s="4" t="s">
        <v>153</v>
      </c>
      <c r="Q70" s="4" t="s">
        <v>153</v>
      </c>
      <c r="R70" s="4" t="s">
        <v>153</v>
      </c>
      <c r="S70" s="4" t="s">
        <v>153</v>
      </c>
      <c r="T70" s="4" t="s">
        <v>153</v>
      </c>
      <c r="U70" s="4" t="s">
        <v>153</v>
      </c>
      <c r="V70" s="4" t="s">
        <v>153</v>
      </c>
      <c r="W70" s="4" t="s">
        <v>153</v>
      </c>
      <c r="X70" s="4" t="s">
        <v>153</v>
      </c>
      <c r="Y70" s="4" t="s">
        <v>153</v>
      </c>
      <c r="Z70" s="4" t="s">
        <v>153</v>
      </c>
      <c r="AA70" s="4" t="s">
        <v>153</v>
      </c>
      <c r="AB70" s="4" t="s">
        <v>153</v>
      </c>
      <c r="AC70" s="4" t="s">
        <v>153</v>
      </c>
      <c r="AD70" s="4" t="s">
        <v>153</v>
      </c>
      <c r="AE70" s="4" t="s">
        <v>153</v>
      </c>
      <c r="AF70" s="4" t="s">
        <v>153</v>
      </c>
      <c r="AG70" s="4" t="s">
        <v>153</v>
      </c>
      <c r="AH70" s="4" t="s">
        <v>153</v>
      </c>
      <c r="AI70" s="5"/>
      <c r="AJ70" t="s">
        <v>153</v>
      </c>
      <c r="AK70" s="4"/>
      <c r="AL70" t="s">
        <v>153</v>
      </c>
      <c r="AM70" t="s">
        <v>153</v>
      </c>
      <c r="AO70" t="s">
        <v>153</v>
      </c>
      <c r="AP70" s="4"/>
      <c r="AQ70" t="s">
        <v>153</v>
      </c>
      <c r="AR70" s="5"/>
      <c r="AT70" s="4" t="s">
        <v>153</v>
      </c>
      <c r="AU70" s="4" t="s">
        <v>153</v>
      </c>
      <c r="AV70" s="4" t="s">
        <v>153</v>
      </c>
      <c r="AW70" t="s">
        <v>153</v>
      </c>
      <c r="AX70" t="s">
        <v>153</v>
      </c>
      <c r="AY70" t="s">
        <v>153</v>
      </c>
      <c r="AZ70" t="s">
        <v>153</v>
      </c>
      <c r="BA70" t="s">
        <v>153</v>
      </c>
      <c r="BB70" t="s">
        <v>153</v>
      </c>
      <c r="BC70" t="s">
        <v>153</v>
      </c>
      <c r="BD70" s="4" t="s">
        <v>153</v>
      </c>
      <c r="BE70" s="4" t="s">
        <v>153</v>
      </c>
      <c r="BF70" t="s">
        <v>153</v>
      </c>
      <c r="BG70" s="4" t="s">
        <v>153</v>
      </c>
      <c r="BH70" t="s">
        <v>153</v>
      </c>
      <c r="BI70" s="4" t="s">
        <v>1144</v>
      </c>
      <c r="BJ70" t="s">
        <v>1145</v>
      </c>
      <c r="BK70" s="4" t="s">
        <v>1145</v>
      </c>
      <c r="BL70" t="s">
        <v>1146</v>
      </c>
      <c r="BM70" t="s">
        <v>1147</v>
      </c>
      <c r="BN70" s="4" t="s">
        <v>403</v>
      </c>
      <c r="BO70" s="4" t="s">
        <v>191</v>
      </c>
      <c r="BP70" s="4" t="s">
        <v>1148</v>
      </c>
      <c r="BQ70" s="4" t="s">
        <v>153</v>
      </c>
      <c r="BR70" s="4" t="s">
        <v>1149</v>
      </c>
      <c r="BS70" s="4" t="s">
        <v>153</v>
      </c>
      <c r="BT70" s="4" t="s">
        <v>1150</v>
      </c>
      <c r="BU70" s="4" t="s">
        <v>429</v>
      </c>
      <c r="BV70" s="4">
        <v>48130</v>
      </c>
      <c r="BW70" s="4" t="s">
        <v>430</v>
      </c>
      <c r="BX70" s="4" t="s">
        <v>153</v>
      </c>
      <c r="BY70" s="4" t="s">
        <v>153</v>
      </c>
      <c r="BZ70" s="4" t="s">
        <v>153</v>
      </c>
      <c r="CA70" s="4" t="s">
        <v>153</v>
      </c>
      <c r="CB70" s="4"/>
      <c r="CC70" s="4" t="s">
        <v>430</v>
      </c>
      <c r="CD70" t="s">
        <v>606</v>
      </c>
      <c r="CE70" s="4" t="s">
        <v>1151</v>
      </c>
      <c r="CF70" s="4" t="s">
        <v>1152</v>
      </c>
      <c r="CG70" s="4" t="s">
        <v>1153</v>
      </c>
      <c r="CH70" s="5"/>
      <c r="CI70" t="s">
        <v>1154</v>
      </c>
      <c r="CJ70" s="4">
        <v>1</v>
      </c>
      <c r="CK70" t="s">
        <v>433</v>
      </c>
      <c r="CL70" t="s">
        <v>153</v>
      </c>
      <c r="CM70" t="s">
        <v>153</v>
      </c>
      <c r="CN70" t="s">
        <v>153</v>
      </c>
      <c r="CO70" s="5"/>
      <c r="CP70" s="4" t="s">
        <v>153</v>
      </c>
      <c r="CQ70" s="4" t="s">
        <v>153</v>
      </c>
      <c r="CR70" t="s">
        <v>153</v>
      </c>
      <c r="CS70" t="s">
        <v>153</v>
      </c>
      <c r="CT70" t="s">
        <v>153</v>
      </c>
      <c r="CU70" t="s">
        <v>153</v>
      </c>
      <c r="CV70" t="s">
        <v>153</v>
      </c>
      <c r="CW70" t="s">
        <v>153</v>
      </c>
      <c r="CX70" t="s">
        <v>153</v>
      </c>
      <c r="CY70" t="s">
        <v>153</v>
      </c>
      <c r="CZ70" t="s">
        <v>153</v>
      </c>
      <c r="DA70" t="s">
        <v>153</v>
      </c>
      <c r="DB70" t="s">
        <v>153</v>
      </c>
      <c r="DC70" t="s">
        <v>153</v>
      </c>
      <c r="DD70" t="s">
        <v>153</v>
      </c>
      <c r="DE70" t="s">
        <v>153</v>
      </c>
      <c r="DF70" t="s">
        <v>153</v>
      </c>
      <c r="DG70" t="s">
        <v>153</v>
      </c>
      <c r="DI70" t="s">
        <v>153</v>
      </c>
      <c r="DJ70" t="s">
        <v>153</v>
      </c>
      <c r="DK70" t="s">
        <v>153</v>
      </c>
      <c r="DL70" t="s">
        <v>153</v>
      </c>
      <c r="DN70" t="s">
        <v>153</v>
      </c>
      <c r="DO70" t="s">
        <v>153</v>
      </c>
      <c r="DP70" t="s">
        <v>153</v>
      </c>
      <c r="DQ70" t="s">
        <v>153</v>
      </c>
      <c r="DR70" t="s">
        <v>153</v>
      </c>
      <c r="DS70" t="s">
        <v>153</v>
      </c>
      <c r="DT70" t="s">
        <v>153</v>
      </c>
      <c r="DU70" t="s">
        <v>153</v>
      </c>
      <c r="DV70" t="s">
        <v>153</v>
      </c>
      <c r="DW70" t="s">
        <v>153</v>
      </c>
      <c r="DX70" s="2"/>
      <c r="DY70" t="s">
        <v>153</v>
      </c>
      <c r="DZ70" t="s">
        <v>153</v>
      </c>
      <c r="EA70" t="s">
        <v>153</v>
      </c>
      <c r="EB70" t="s">
        <v>153</v>
      </c>
      <c r="EC70" t="s">
        <v>153</v>
      </c>
      <c r="ED70" t="s">
        <v>153</v>
      </c>
      <c r="EE70" t="s">
        <v>153</v>
      </c>
      <c r="EF70" t="s">
        <v>153</v>
      </c>
      <c r="EH70" t="s">
        <v>153</v>
      </c>
      <c r="EI70" t="s">
        <v>153</v>
      </c>
      <c r="EJ70" t="s">
        <v>153</v>
      </c>
      <c r="EK70" t="s">
        <v>153</v>
      </c>
      <c r="EM70" t="s">
        <v>153</v>
      </c>
      <c r="EN70" t="s">
        <v>153</v>
      </c>
      <c r="EP70" s="4" t="s">
        <v>153</v>
      </c>
      <c r="EQ70" s="4" t="s">
        <v>153</v>
      </c>
      <c r="ER70" s="4" t="s">
        <v>205</v>
      </c>
      <c r="ES70" s="4" t="s">
        <v>153</v>
      </c>
      <c r="ET70" t="s">
        <v>153</v>
      </c>
      <c r="EU70" t="s">
        <v>1101</v>
      </c>
      <c r="EV70" t="s">
        <v>1155</v>
      </c>
      <c r="EW70">
        <v>1109544832</v>
      </c>
      <c r="EX70" t="s">
        <v>1156</v>
      </c>
    </row>
    <row r="71" spans="1:154" x14ac:dyDescent="0.25">
      <c r="A71" s="3">
        <v>45090.760289351849</v>
      </c>
      <c r="B71" s="4" t="s">
        <v>1050</v>
      </c>
      <c r="C71" s="4" t="s">
        <v>1157</v>
      </c>
      <c r="D71" s="4" t="s">
        <v>987</v>
      </c>
      <c r="E71" s="4" t="s">
        <v>988</v>
      </c>
      <c r="F71" s="4" t="s">
        <v>989</v>
      </c>
      <c r="G71" s="4" t="s">
        <v>185</v>
      </c>
      <c r="H71" s="4" t="s">
        <v>826</v>
      </c>
      <c r="I71" s="4" t="s">
        <v>153</v>
      </c>
      <c r="J71" s="4" t="s">
        <v>153</v>
      </c>
      <c r="K71" s="5"/>
      <c r="L71" s="4" t="s">
        <v>153</v>
      </c>
      <c r="M71" s="4" t="s">
        <v>1158</v>
      </c>
      <c r="N71" s="4" t="s">
        <v>153</v>
      </c>
      <c r="O71" s="4" t="s">
        <v>1159</v>
      </c>
      <c r="P71" s="4" t="s">
        <v>1160</v>
      </c>
      <c r="Q71" s="4" t="s">
        <v>190</v>
      </c>
      <c r="R71" s="4" t="s">
        <v>191</v>
      </c>
      <c r="S71" s="4" t="s">
        <v>1161</v>
      </c>
      <c r="T71" s="4" t="s">
        <v>153</v>
      </c>
      <c r="U71" s="4" t="s">
        <v>1162</v>
      </c>
      <c r="V71" s="4" t="s">
        <v>153</v>
      </c>
      <c r="W71" s="4" t="s">
        <v>1163</v>
      </c>
      <c r="X71" s="4" t="s">
        <v>347</v>
      </c>
      <c r="Y71" s="4" t="s">
        <v>1164</v>
      </c>
      <c r="Z71" s="4" t="s">
        <v>237</v>
      </c>
      <c r="AA71" s="4" t="s">
        <v>1162</v>
      </c>
      <c r="AB71" s="4" t="s">
        <v>153</v>
      </c>
      <c r="AC71" s="4" t="s">
        <v>1163</v>
      </c>
      <c r="AD71" s="4" t="s">
        <v>347</v>
      </c>
      <c r="AE71" s="4" t="s">
        <v>1164</v>
      </c>
      <c r="AF71" s="4" t="s">
        <v>1165</v>
      </c>
      <c r="AG71" s="4" t="s">
        <v>1166</v>
      </c>
      <c r="AH71" s="4" t="s">
        <v>606</v>
      </c>
      <c r="AI71" s="5">
        <v>45170</v>
      </c>
      <c r="AJ71" t="s">
        <v>153</v>
      </c>
      <c r="AK71" s="4"/>
      <c r="AL71" t="s">
        <v>1167</v>
      </c>
      <c r="AM71" t="s">
        <v>153</v>
      </c>
      <c r="AO71" t="s">
        <v>153</v>
      </c>
      <c r="AP71" s="4"/>
      <c r="AQ71" t="s">
        <v>153</v>
      </c>
      <c r="AR71" s="5"/>
      <c r="AT71" s="4" t="s">
        <v>153</v>
      </c>
      <c r="AU71" s="4" t="s">
        <v>153</v>
      </c>
      <c r="AV71" s="4" t="s">
        <v>153</v>
      </c>
      <c r="AW71" t="s">
        <v>153</v>
      </c>
      <c r="AX71" t="s">
        <v>153</v>
      </c>
      <c r="AY71" t="s">
        <v>153</v>
      </c>
      <c r="AZ71" t="s">
        <v>153</v>
      </c>
      <c r="BA71" t="s">
        <v>153</v>
      </c>
      <c r="BB71" t="s">
        <v>153</v>
      </c>
      <c r="BC71" t="s">
        <v>153</v>
      </c>
      <c r="BD71" s="4" t="s">
        <v>153</v>
      </c>
      <c r="BE71" s="4" t="s">
        <v>153</v>
      </c>
      <c r="BF71" t="s">
        <v>153</v>
      </c>
      <c r="BG71" s="4" t="s">
        <v>153</v>
      </c>
      <c r="BH71" t="s">
        <v>153</v>
      </c>
      <c r="BI71" s="4" t="s">
        <v>153</v>
      </c>
      <c r="BJ71" t="s">
        <v>153</v>
      </c>
      <c r="BK71" s="4" t="s">
        <v>153</v>
      </c>
      <c r="BL71" t="s">
        <v>153</v>
      </c>
      <c r="BM71" t="s">
        <v>153</v>
      </c>
      <c r="BN71" s="4" t="s">
        <v>153</v>
      </c>
      <c r="BO71" s="4" t="s">
        <v>153</v>
      </c>
      <c r="BP71" s="4" t="s">
        <v>153</v>
      </c>
      <c r="BQ71" s="4" t="s">
        <v>153</v>
      </c>
      <c r="BR71" s="4" t="s">
        <v>153</v>
      </c>
      <c r="BS71" s="4" t="s">
        <v>153</v>
      </c>
      <c r="BT71" s="4" t="s">
        <v>153</v>
      </c>
      <c r="BU71" s="4" t="s">
        <v>153</v>
      </c>
      <c r="BV71" s="4"/>
      <c r="BW71" s="4" t="s">
        <v>153</v>
      </c>
      <c r="BX71" s="4" t="s">
        <v>153</v>
      </c>
      <c r="BY71" s="4" t="s">
        <v>153</v>
      </c>
      <c r="BZ71" s="4" t="s">
        <v>153</v>
      </c>
      <c r="CA71" s="4" t="s">
        <v>153</v>
      </c>
      <c r="CB71" s="4"/>
      <c r="CC71" s="4" t="s">
        <v>153</v>
      </c>
      <c r="CD71" t="s">
        <v>153</v>
      </c>
      <c r="CE71" s="4" t="s">
        <v>153</v>
      </c>
      <c r="CF71" s="4" t="s">
        <v>153</v>
      </c>
      <c r="CG71" s="4" t="s">
        <v>153</v>
      </c>
      <c r="CH71" s="5"/>
      <c r="CI71" t="s">
        <v>153</v>
      </c>
      <c r="CJ71" s="4"/>
      <c r="CK71" t="s">
        <v>153</v>
      </c>
      <c r="CL71" t="s">
        <v>153</v>
      </c>
      <c r="CM71" t="s">
        <v>153</v>
      </c>
      <c r="CN71" t="s">
        <v>153</v>
      </c>
      <c r="CO71" s="5"/>
      <c r="CP71" s="4" t="s">
        <v>153</v>
      </c>
      <c r="CQ71" s="4" t="s">
        <v>153</v>
      </c>
      <c r="CR71" t="s">
        <v>153</v>
      </c>
      <c r="CS71" t="s">
        <v>153</v>
      </c>
      <c r="CT71" t="s">
        <v>153</v>
      </c>
      <c r="CU71" t="s">
        <v>153</v>
      </c>
      <c r="CV71" t="s">
        <v>153</v>
      </c>
      <c r="CW71" t="s">
        <v>153</v>
      </c>
      <c r="CX71" t="s">
        <v>153</v>
      </c>
      <c r="CY71" t="s">
        <v>153</v>
      </c>
      <c r="CZ71" t="s">
        <v>153</v>
      </c>
      <c r="DA71" t="s">
        <v>153</v>
      </c>
      <c r="DB71" t="s">
        <v>153</v>
      </c>
      <c r="DC71" t="s">
        <v>153</v>
      </c>
      <c r="DD71" t="s">
        <v>153</v>
      </c>
      <c r="DE71" t="s">
        <v>153</v>
      </c>
      <c r="DF71" t="s">
        <v>153</v>
      </c>
      <c r="DG71" t="s">
        <v>153</v>
      </c>
      <c r="DI71" t="s">
        <v>153</v>
      </c>
      <c r="DJ71" t="s">
        <v>153</v>
      </c>
      <c r="DK71" t="s">
        <v>153</v>
      </c>
      <c r="DL71" t="s">
        <v>153</v>
      </c>
      <c r="DN71" t="s">
        <v>153</v>
      </c>
      <c r="DO71" t="s">
        <v>153</v>
      </c>
      <c r="DP71" t="s">
        <v>153</v>
      </c>
      <c r="DQ71" t="s">
        <v>153</v>
      </c>
      <c r="DR71" t="s">
        <v>153</v>
      </c>
      <c r="DS71" t="s">
        <v>153</v>
      </c>
      <c r="DT71" t="s">
        <v>153</v>
      </c>
      <c r="DU71" t="s">
        <v>153</v>
      </c>
      <c r="DV71" t="s">
        <v>153</v>
      </c>
      <c r="DW71" t="s">
        <v>153</v>
      </c>
      <c r="DX71" s="2"/>
      <c r="DY71" t="s">
        <v>153</v>
      </c>
      <c r="DZ71" t="s">
        <v>153</v>
      </c>
      <c r="EA71" t="s">
        <v>153</v>
      </c>
      <c r="EB71" t="s">
        <v>153</v>
      </c>
      <c r="EC71" t="s">
        <v>153</v>
      </c>
      <c r="ED71" t="s">
        <v>153</v>
      </c>
      <c r="EE71" t="s">
        <v>153</v>
      </c>
      <c r="EF71" t="s">
        <v>153</v>
      </c>
      <c r="EH71" t="s">
        <v>153</v>
      </c>
      <c r="EI71" t="s">
        <v>153</v>
      </c>
      <c r="EJ71" t="s">
        <v>153</v>
      </c>
      <c r="EK71" t="s">
        <v>153</v>
      </c>
      <c r="EM71" t="s">
        <v>153</v>
      </c>
      <c r="EN71" t="s">
        <v>153</v>
      </c>
      <c r="EP71" s="4" t="s">
        <v>243</v>
      </c>
      <c r="EQ71" s="4" t="s">
        <v>842</v>
      </c>
      <c r="ER71" s="4" t="s">
        <v>176</v>
      </c>
      <c r="ES71" s="4" t="s">
        <v>153</v>
      </c>
      <c r="ET71" t="s">
        <v>1168</v>
      </c>
      <c r="EU71" t="s">
        <v>1169</v>
      </c>
      <c r="EV71" t="s">
        <v>1170</v>
      </c>
      <c r="EW71">
        <v>1111589723</v>
      </c>
      <c r="EX71" t="s">
        <v>1171</v>
      </c>
    </row>
    <row r="72" spans="1:154" x14ac:dyDescent="0.25">
      <c r="A72" s="3">
        <v>45107.001134259262</v>
      </c>
      <c r="B72" s="4" t="s">
        <v>1050</v>
      </c>
      <c r="C72" s="4" t="s">
        <v>154</v>
      </c>
      <c r="D72" s="4" t="s">
        <v>155</v>
      </c>
      <c r="E72" s="4" t="s">
        <v>156</v>
      </c>
      <c r="F72" s="4" t="s">
        <v>157</v>
      </c>
      <c r="G72" s="4" t="s">
        <v>252</v>
      </c>
      <c r="H72" s="4" t="s">
        <v>159</v>
      </c>
      <c r="I72" s="4" t="s">
        <v>153</v>
      </c>
      <c r="J72" s="4" t="s">
        <v>153</v>
      </c>
      <c r="K72" s="5"/>
      <c r="L72" s="4" t="s">
        <v>153</v>
      </c>
      <c r="M72" s="4" t="s">
        <v>153</v>
      </c>
      <c r="N72" s="4" t="s">
        <v>153</v>
      </c>
      <c r="O72" s="4" t="s">
        <v>153</v>
      </c>
      <c r="P72" s="4" t="s">
        <v>153</v>
      </c>
      <c r="Q72" s="4" t="s">
        <v>153</v>
      </c>
      <c r="R72" s="4" t="s">
        <v>153</v>
      </c>
      <c r="S72" s="4" t="s">
        <v>153</v>
      </c>
      <c r="T72" s="4" t="s">
        <v>153</v>
      </c>
      <c r="U72" s="4" t="s">
        <v>153</v>
      </c>
      <c r="V72" s="4" t="s">
        <v>153</v>
      </c>
      <c r="W72" s="4" t="s">
        <v>153</v>
      </c>
      <c r="X72" s="4" t="s">
        <v>153</v>
      </c>
      <c r="Y72" s="4" t="s">
        <v>153</v>
      </c>
      <c r="Z72" s="4" t="s">
        <v>153</v>
      </c>
      <c r="AA72" s="4" t="s">
        <v>153</v>
      </c>
      <c r="AB72" s="4" t="s">
        <v>153</v>
      </c>
      <c r="AC72" s="4" t="s">
        <v>153</v>
      </c>
      <c r="AD72" s="4" t="s">
        <v>153</v>
      </c>
      <c r="AE72" s="4" t="s">
        <v>153</v>
      </c>
      <c r="AF72" s="4" t="s">
        <v>153</v>
      </c>
      <c r="AG72" s="4" t="s">
        <v>153</v>
      </c>
      <c r="AH72" s="4" t="s">
        <v>153</v>
      </c>
      <c r="AI72" s="5"/>
      <c r="AJ72" t="s">
        <v>153</v>
      </c>
      <c r="AK72" s="4"/>
      <c r="AL72" t="s">
        <v>153</v>
      </c>
      <c r="AM72" t="s">
        <v>153</v>
      </c>
      <c r="AO72" t="s">
        <v>153</v>
      </c>
      <c r="AP72" s="4"/>
      <c r="AQ72" t="s">
        <v>153</v>
      </c>
      <c r="AR72" s="5">
        <v>45029</v>
      </c>
      <c r="AS72">
        <v>6</v>
      </c>
      <c r="AT72" s="4" t="s">
        <v>1172</v>
      </c>
      <c r="AU72" s="4" t="s">
        <v>1173</v>
      </c>
      <c r="AV72" s="4" t="s">
        <v>618</v>
      </c>
      <c r="AW72" t="s">
        <v>153</v>
      </c>
      <c r="AX72" t="s">
        <v>1174</v>
      </c>
      <c r="AY72" t="s">
        <v>1175</v>
      </c>
      <c r="AZ72" t="s">
        <v>1176</v>
      </c>
      <c r="BA72" t="s">
        <v>153</v>
      </c>
      <c r="BB72" t="s">
        <v>153</v>
      </c>
      <c r="BC72" t="s">
        <v>1177</v>
      </c>
      <c r="BD72" s="4" t="s">
        <v>1178</v>
      </c>
      <c r="BE72" s="4" t="s">
        <v>1179</v>
      </c>
      <c r="BF72" t="s">
        <v>242</v>
      </c>
      <c r="BG72" s="4" t="s">
        <v>1180</v>
      </c>
      <c r="BH72" t="s">
        <v>153</v>
      </c>
      <c r="BI72" s="4" t="s">
        <v>153</v>
      </c>
      <c r="BJ72" t="s">
        <v>153</v>
      </c>
      <c r="BK72" s="4" t="s">
        <v>153</v>
      </c>
      <c r="BL72" t="s">
        <v>153</v>
      </c>
      <c r="BM72" t="s">
        <v>153</v>
      </c>
      <c r="BN72" s="4" t="s">
        <v>153</v>
      </c>
      <c r="BO72" s="4" t="s">
        <v>153</v>
      </c>
      <c r="BP72" s="4" t="s">
        <v>153</v>
      </c>
      <c r="BQ72" s="4" t="s">
        <v>153</v>
      </c>
      <c r="BR72" s="4" t="s">
        <v>153</v>
      </c>
      <c r="BS72" s="4" t="s">
        <v>153</v>
      </c>
      <c r="BT72" s="4" t="s">
        <v>153</v>
      </c>
      <c r="BU72" s="4" t="s">
        <v>153</v>
      </c>
      <c r="BV72" s="4"/>
      <c r="BW72" s="4" t="s">
        <v>153</v>
      </c>
      <c r="BX72" s="4" t="s">
        <v>153</v>
      </c>
      <c r="BY72" s="4" t="s">
        <v>153</v>
      </c>
      <c r="BZ72" s="4" t="s">
        <v>153</v>
      </c>
      <c r="CA72" s="4" t="s">
        <v>153</v>
      </c>
      <c r="CB72" s="4"/>
      <c r="CC72" s="4" t="s">
        <v>153</v>
      </c>
      <c r="CD72" t="s">
        <v>153</v>
      </c>
      <c r="CE72" s="4" t="s">
        <v>153</v>
      </c>
      <c r="CF72" s="4" t="s">
        <v>153</v>
      </c>
      <c r="CG72" s="4" t="s">
        <v>153</v>
      </c>
      <c r="CH72" s="5"/>
      <c r="CI72" t="s">
        <v>153</v>
      </c>
      <c r="CJ72" s="4"/>
      <c r="CK72" t="s">
        <v>153</v>
      </c>
      <c r="CL72" t="s">
        <v>153</v>
      </c>
      <c r="CM72" t="s">
        <v>153</v>
      </c>
      <c r="CN72" t="s">
        <v>153</v>
      </c>
      <c r="CO72" s="5"/>
      <c r="CP72" s="4" t="s">
        <v>153</v>
      </c>
      <c r="CQ72" s="4" t="s">
        <v>153</v>
      </c>
      <c r="CR72" t="s">
        <v>153</v>
      </c>
      <c r="CS72" t="s">
        <v>153</v>
      </c>
      <c r="CT72" t="s">
        <v>153</v>
      </c>
      <c r="CU72" t="s">
        <v>153</v>
      </c>
      <c r="CV72" t="s">
        <v>153</v>
      </c>
      <c r="CW72" t="s">
        <v>153</v>
      </c>
      <c r="CX72" t="s">
        <v>153</v>
      </c>
      <c r="CY72" t="s">
        <v>153</v>
      </c>
      <c r="CZ72" t="s">
        <v>153</v>
      </c>
      <c r="DA72" t="s">
        <v>153</v>
      </c>
      <c r="DB72" t="s">
        <v>153</v>
      </c>
      <c r="DC72" t="s">
        <v>153</v>
      </c>
      <c r="DD72" t="s">
        <v>153</v>
      </c>
      <c r="DE72" t="s">
        <v>153</v>
      </c>
      <c r="DF72" t="s">
        <v>153</v>
      </c>
      <c r="DG72" t="s">
        <v>153</v>
      </c>
      <c r="DI72" t="s">
        <v>153</v>
      </c>
      <c r="DJ72" t="s">
        <v>153</v>
      </c>
      <c r="DK72" t="s">
        <v>153</v>
      </c>
      <c r="DL72" t="s">
        <v>153</v>
      </c>
      <c r="DN72" t="s">
        <v>153</v>
      </c>
      <c r="DO72" t="s">
        <v>153</v>
      </c>
      <c r="DP72" t="s">
        <v>153</v>
      </c>
      <c r="DQ72" t="s">
        <v>153</v>
      </c>
      <c r="DR72" t="s">
        <v>153</v>
      </c>
      <c r="DS72" t="s">
        <v>153</v>
      </c>
      <c r="DT72" t="s">
        <v>153</v>
      </c>
      <c r="DU72" t="s">
        <v>153</v>
      </c>
      <c r="DV72" t="s">
        <v>153</v>
      </c>
      <c r="DW72" t="s">
        <v>153</v>
      </c>
      <c r="DX72" s="2"/>
      <c r="DY72" t="s">
        <v>153</v>
      </c>
      <c r="DZ72" t="s">
        <v>153</v>
      </c>
      <c r="EA72" t="s">
        <v>153</v>
      </c>
      <c r="EB72" t="s">
        <v>153</v>
      </c>
      <c r="EC72" t="s">
        <v>153</v>
      </c>
      <c r="ED72" t="s">
        <v>153</v>
      </c>
      <c r="EE72" t="s">
        <v>153</v>
      </c>
      <c r="EF72" t="s">
        <v>153</v>
      </c>
      <c r="EH72" t="s">
        <v>153</v>
      </c>
      <c r="EI72" t="s">
        <v>153</v>
      </c>
      <c r="EJ72" t="s">
        <v>153</v>
      </c>
      <c r="EK72" t="s">
        <v>153</v>
      </c>
      <c r="EM72" t="s">
        <v>153</v>
      </c>
      <c r="EN72" t="s">
        <v>153</v>
      </c>
      <c r="EP72" s="4" t="s">
        <v>153</v>
      </c>
      <c r="EQ72" s="4" t="s">
        <v>153</v>
      </c>
      <c r="ER72" s="4" t="s">
        <v>176</v>
      </c>
      <c r="ES72" s="4" t="s">
        <v>153</v>
      </c>
      <c r="ET72" t="s">
        <v>1181</v>
      </c>
      <c r="EU72" t="s">
        <v>1182</v>
      </c>
      <c r="EV72" t="s">
        <v>179</v>
      </c>
      <c r="EW72">
        <v>1117014537</v>
      </c>
      <c r="EX72" t="s">
        <v>1183</v>
      </c>
    </row>
    <row r="73" spans="1:154" x14ac:dyDescent="0.25">
      <c r="A73" s="3">
        <v>45108.700497685182</v>
      </c>
      <c r="B73" s="4" t="s">
        <v>1050</v>
      </c>
      <c r="C73" s="4" t="s">
        <v>502</v>
      </c>
      <c r="D73" s="4" t="s">
        <v>503</v>
      </c>
      <c r="E73" s="4" t="s">
        <v>504</v>
      </c>
      <c r="F73" s="4" t="s">
        <v>505</v>
      </c>
      <c r="G73" s="4" t="s">
        <v>185</v>
      </c>
      <c r="H73" s="4" t="s">
        <v>468</v>
      </c>
      <c r="I73" s="4" t="s">
        <v>153</v>
      </c>
      <c r="J73" s="4" t="s">
        <v>153</v>
      </c>
      <c r="K73" s="5"/>
      <c r="L73" s="4" t="s">
        <v>153</v>
      </c>
      <c r="M73" s="4" t="s">
        <v>1184</v>
      </c>
      <c r="N73" s="4" t="s">
        <v>153</v>
      </c>
      <c r="O73" s="4" t="s">
        <v>1185</v>
      </c>
      <c r="P73" s="4" t="s">
        <v>1186</v>
      </c>
      <c r="Q73" s="4" t="s">
        <v>190</v>
      </c>
      <c r="R73" s="4" t="s">
        <v>191</v>
      </c>
      <c r="S73" s="4" t="s">
        <v>1187</v>
      </c>
      <c r="T73" s="4" t="s">
        <v>1188</v>
      </c>
      <c r="U73" s="4" t="s">
        <v>153</v>
      </c>
      <c r="V73" s="4" t="s">
        <v>153</v>
      </c>
      <c r="W73" s="4" t="s">
        <v>153</v>
      </c>
      <c r="X73" s="4" t="s">
        <v>153</v>
      </c>
      <c r="Y73" s="4" t="s">
        <v>153</v>
      </c>
      <c r="Z73" s="4" t="s">
        <v>1189</v>
      </c>
      <c r="AA73" s="4" t="s">
        <v>1190</v>
      </c>
      <c r="AB73" s="4" t="s">
        <v>153</v>
      </c>
      <c r="AC73" s="4" t="s">
        <v>1191</v>
      </c>
      <c r="AD73" s="4" t="s">
        <v>1192</v>
      </c>
      <c r="AE73" s="4" t="s">
        <v>1193</v>
      </c>
      <c r="AF73" s="4" t="s">
        <v>1194</v>
      </c>
      <c r="AG73" s="4" t="s">
        <v>1195</v>
      </c>
      <c r="AH73" s="4" t="s">
        <v>1196</v>
      </c>
      <c r="AI73" s="5">
        <v>45073</v>
      </c>
      <c r="AJ73" t="s">
        <v>1197</v>
      </c>
      <c r="AK73" s="4">
        <v>10</v>
      </c>
      <c r="AL73" t="s">
        <v>153</v>
      </c>
      <c r="AM73" t="s">
        <v>153</v>
      </c>
      <c r="AO73" t="s">
        <v>153</v>
      </c>
      <c r="AP73" s="4"/>
      <c r="AQ73" t="s">
        <v>153</v>
      </c>
      <c r="AR73" s="5"/>
      <c r="AT73" s="4" t="s">
        <v>153</v>
      </c>
      <c r="AU73" s="4" t="s">
        <v>153</v>
      </c>
      <c r="AV73" s="4" t="s">
        <v>153</v>
      </c>
      <c r="AW73" t="s">
        <v>153</v>
      </c>
      <c r="AX73" t="s">
        <v>153</v>
      </c>
      <c r="AY73" t="s">
        <v>153</v>
      </c>
      <c r="AZ73" t="s">
        <v>153</v>
      </c>
      <c r="BA73" t="s">
        <v>153</v>
      </c>
      <c r="BB73" t="s">
        <v>153</v>
      </c>
      <c r="BC73" t="s">
        <v>153</v>
      </c>
      <c r="BD73" s="4" t="s">
        <v>153</v>
      </c>
      <c r="BE73" s="4" t="s">
        <v>153</v>
      </c>
      <c r="BF73" t="s">
        <v>153</v>
      </c>
      <c r="BG73" s="4" t="s">
        <v>153</v>
      </c>
      <c r="BH73" t="s">
        <v>153</v>
      </c>
      <c r="BI73" s="4" t="s">
        <v>153</v>
      </c>
      <c r="BJ73" t="s">
        <v>153</v>
      </c>
      <c r="BK73" s="4" t="s">
        <v>153</v>
      </c>
      <c r="BL73" t="s">
        <v>153</v>
      </c>
      <c r="BM73" t="s">
        <v>153</v>
      </c>
      <c r="BN73" s="4" t="s">
        <v>153</v>
      </c>
      <c r="BO73" s="4" t="s">
        <v>153</v>
      </c>
      <c r="BP73" s="4" t="s">
        <v>153</v>
      </c>
      <c r="BQ73" s="4" t="s">
        <v>153</v>
      </c>
      <c r="BR73" s="4" t="s">
        <v>153</v>
      </c>
      <c r="BS73" s="4" t="s">
        <v>153</v>
      </c>
      <c r="BT73" s="4" t="s">
        <v>153</v>
      </c>
      <c r="BU73" s="4" t="s">
        <v>153</v>
      </c>
      <c r="BV73" s="4"/>
      <c r="BW73" s="4" t="s">
        <v>153</v>
      </c>
      <c r="BX73" s="4" t="s">
        <v>153</v>
      </c>
      <c r="BY73" s="4" t="s">
        <v>153</v>
      </c>
      <c r="BZ73" s="4" t="s">
        <v>153</v>
      </c>
      <c r="CA73" s="4" t="s">
        <v>153</v>
      </c>
      <c r="CB73" s="4"/>
      <c r="CC73" s="4" t="s">
        <v>153</v>
      </c>
      <c r="CD73" t="s">
        <v>153</v>
      </c>
      <c r="CE73" s="4" t="s">
        <v>153</v>
      </c>
      <c r="CF73" s="4" t="s">
        <v>153</v>
      </c>
      <c r="CG73" s="4" t="s">
        <v>153</v>
      </c>
      <c r="CH73" s="5"/>
      <c r="CI73" t="s">
        <v>153</v>
      </c>
      <c r="CJ73" s="4"/>
      <c r="CK73" t="s">
        <v>153</v>
      </c>
      <c r="CL73" t="s">
        <v>153</v>
      </c>
      <c r="CM73" t="s">
        <v>153</v>
      </c>
      <c r="CN73" t="s">
        <v>153</v>
      </c>
      <c r="CO73" s="5"/>
      <c r="CP73" s="4" t="s">
        <v>153</v>
      </c>
      <c r="CQ73" s="4" t="s">
        <v>153</v>
      </c>
      <c r="CR73" t="s">
        <v>153</v>
      </c>
      <c r="CS73" t="s">
        <v>153</v>
      </c>
      <c r="CT73" t="s">
        <v>153</v>
      </c>
      <c r="CU73" t="s">
        <v>153</v>
      </c>
      <c r="CV73" t="s">
        <v>153</v>
      </c>
      <c r="CW73" t="s">
        <v>153</v>
      </c>
      <c r="CX73" t="s">
        <v>153</v>
      </c>
      <c r="CY73" t="s">
        <v>153</v>
      </c>
      <c r="CZ73" t="s">
        <v>153</v>
      </c>
      <c r="DA73" t="s">
        <v>153</v>
      </c>
      <c r="DB73" t="s">
        <v>153</v>
      </c>
      <c r="DC73" t="s">
        <v>153</v>
      </c>
      <c r="DD73" t="s">
        <v>153</v>
      </c>
      <c r="DE73" t="s">
        <v>153</v>
      </c>
      <c r="DF73" t="s">
        <v>153</v>
      </c>
      <c r="DG73" t="s">
        <v>153</v>
      </c>
      <c r="DI73" t="s">
        <v>153</v>
      </c>
      <c r="DJ73" t="s">
        <v>153</v>
      </c>
      <c r="DK73" t="s">
        <v>153</v>
      </c>
      <c r="DL73" t="s">
        <v>153</v>
      </c>
      <c r="DN73" t="s">
        <v>153</v>
      </c>
      <c r="DO73" t="s">
        <v>153</v>
      </c>
      <c r="DP73" t="s">
        <v>153</v>
      </c>
      <c r="DQ73" t="s">
        <v>153</v>
      </c>
      <c r="DR73" t="s">
        <v>153</v>
      </c>
      <c r="DS73" t="s">
        <v>153</v>
      </c>
      <c r="DT73" t="s">
        <v>153</v>
      </c>
      <c r="DU73" t="s">
        <v>153</v>
      </c>
      <c r="DV73" t="s">
        <v>153</v>
      </c>
      <c r="DW73" t="s">
        <v>153</v>
      </c>
      <c r="DX73" s="2"/>
      <c r="DY73" t="s">
        <v>153</v>
      </c>
      <c r="DZ73" t="s">
        <v>153</v>
      </c>
      <c r="EA73" t="s">
        <v>153</v>
      </c>
      <c r="EB73" t="s">
        <v>153</v>
      </c>
      <c r="EC73" t="s">
        <v>153</v>
      </c>
      <c r="ED73" t="s">
        <v>153</v>
      </c>
      <c r="EE73" t="s">
        <v>153</v>
      </c>
      <c r="EF73" t="s">
        <v>153</v>
      </c>
      <c r="EH73" t="s">
        <v>153</v>
      </c>
      <c r="EI73" t="s">
        <v>153</v>
      </c>
      <c r="EJ73" t="s">
        <v>153</v>
      </c>
      <c r="EK73" t="s">
        <v>153</v>
      </c>
      <c r="EM73" t="s">
        <v>153</v>
      </c>
      <c r="EN73" t="s">
        <v>153</v>
      </c>
      <c r="EP73" s="4" t="s">
        <v>242</v>
      </c>
      <c r="EQ73" s="4" t="s">
        <v>153</v>
      </c>
      <c r="ER73" s="4" t="s">
        <v>243</v>
      </c>
      <c r="ES73" s="4" t="s">
        <v>205</v>
      </c>
      <c r="ET73" t="s">
        <v>1198</v>
      </c>
      <c r="EU73" t="s">
        <v>1182</v>
      </c>
      <c r="EV73" t="s">
        <v>1199</v>
      </c>
      <c r="EW73">
        <v>1117459884</v>
      </c>
      <c r="EX73" t="s">
        <v>1200</v>
      </c>
    </row>
    <row r="74" spans="1:154" x14ac:dyDescent="0.25">
      <c r="A74" s="3">
        <v>45110.480821759258</v>
      </c>
      <c r="B74" s="4" t="s">
        <v>1050</v>
      </c>
      <c r="C74" s="4" t="s">
        <v>502</v>
      </c>
      <c r="D74" s="4" t="s">
        <v>503</v>
      </c>
      <c r="E74" s="4" t="s">
        <v>504</v>
      </c>
      <c r="F74" s="4" t="s">
        <v>505</v>
      </c>
      <c r="G74" s="4" t="s">
        <v>185</v>
      </c>
      <c r="H74" s="4" t="s">
        <v>468</v>
      </c>
      <c r="I74" s="4" t="s">
        <v>153</v>
      </c>
      <c r="J74" s="4" t="s">
        <v>153</v>
      </c>
      <c r="K74" s="5"/>
      <c r="L74" s="4" t="s">
        <v>153</v>
      </c>
      <c r="M74" s="4" t="s">
        <v>1201</v>
      </c>
      <c r="N74" s="4" t="s">
        <v>1202</v>
      </c>
      <c r="O74" s="4" t="s">
        <v>1203</v>
      </c>
      <c r="P74" s="4" t="s">
        <v>1204</v>
      </c>
      <c r="Q74" s="4" t="s">
        <v>190</v>
      </c>
      <c r="R74" s="4" t="s">
        <v>666</v>
      </c>
      <c r="S74" s="4" t="s">
        <v>153</v>
      </c>
      <c r="T74" s="4" t="s">
        <v>153</v>
      </c>
      <c r="U74" s="4" t="s">
        <v>1205</v>
      </c>
      <c r="V74" s="4" t="s">
        <v>153</v>
      </c>
      <c r="W74" s="4" t="s">
        <v>1206</v>
      </c>
      <c r="X74" s="4" t="s">
        <v>476</v>
      </c>
      <c r="Y74" s="4" t="s">
        <v>1207</v>
      </c>
      <c r="Z74" s="4" t="s">
        <v>1208</v>
      </c>
      <c r="AA74" s="4" t="s">
        <v>1205</v>
      </c>
      <c r="AB74" s="4" t="s">
        <v>153</v>
      </c>
      <c r="AC74" s="4" t="s">
        <v>1206</v>
      </c>
      <c r="AD74" s="4" t="s">
        <v>476</v>
      </c>
      <c r="AE74" s="4" t="s">
        <v>1207</v>
      </c>
      <c r="AF74" s="4" t="s">
        <v>1209</v>
      </c>
      <c r="AG74" s="4" t="s">
        <v>1210</v>
      </c>
      <c r="AH74" s="4" t="s">
        <v>1211</v>
      </c>
      <c r="AI74" s="5">
        <v>44829</v>
      </c>
      <c r="AJ74" t="s">
        <v>1212</v>
      </c>
      <c r="AK74" s="4">
        <v>5</v>
      </c>
      <c r="AL74" t="s">
        <v>153</v>
      </c>
      <c r="AM74" t="s">
        <v>153</v>
      </c>
      <c r="AO74" t="s">
        <v>153</v>
      </c>
      <c r="AP74" s="4"/>
      <c r="AQ74" t="s">
        <v>153</v>
      </c>
      <c r="AR74" s="5"/>
      <c r="AT74" s="4" t="s">
        <v>153</v>
      </c>
      <c r="AU74" s="4" t="s">
        <v>153</v>
      </c>
      <c r="AV74" s="4" t="s">
        <v>153</v>
      </c>
      <c r="AW74" t="s">
        <v>153</v>
      </c>
      <c r="AX74" t="s">
        <v>153</v>
      </c>
      <c r="AY74" t="s">
        <v>153</v>
      </c>
      <c r="AZ74" t="s">
        <v>153</v>
      </c>
      <c r="BA74" t="s">
        <v>153</v>
      </c>
      <c r="BB74" t="s">
        <v>153</v>
      </c>
      <c r="BC74" t="s">
        <v>153</v>
      </c>
      <c r="BD74" s="4" t="s">
        <v>153</v>
      </c>
      <c r="BE74" s="4" t="s">
        <v>153</v>
      </c>
      <c r="BF74" t="s">
        <v>153</v>
      </c>
      <c r="BG74" s="4" t="s">
        <v>153</v>
      </c>
      <c r="BH74" t="s">
        <v>153</v>
      </c>
      <c r="BI74" s="4" t="s">
        <v>153</v>
      </c>
      <c r="BJ74" t="s">
        <v>153</v>
      </c>
      <c r="BK74" s="4" t="s">
        <v>153</v>
      </c>
      <c r="BL74" t="s">
        <v>153</v>
      </c>
      <c r="BM74" t="s">
        <v>153</v>
      </c>
      <c r="BN74" s="4" t="s">
        <v>153</v>
      </c>
      <c r="BO74" s="4" t="s">
        <v>153</v>
      </c>
      <c r="BP74" s="4" t="s">
        <v>153</v>
      </c>
      <c r="BQ74" s="4" t="s">
        <v>153</v>
      </c>
      <c r="BR74" s="4" t="s">
        <v>153</v>
      </c>
      <c r="BS74" s="4" t="s">
        <v>153</v>
      </c>
      <c r="BT74" s="4" t="s">
        <v>153</v>
      </c>
      <c r="BU74" s="4" t="s">
        <v>153</v>
      </c>
      <c r="BV74" s="4"/>
      <c r="BW74" s="4" t="s">
        <v>153</v>
      </c>
      <c r="BX74" s="4" t="s">
        <v>153</v>
      </c>
      <c r="BY74" s="4" t="s">
        <v>153</v>
      </c>
      <c r="BZ74" s="4" t="s">
        <v>153</v>
      </c>
      <c r="CA74" s="4" t="s">
        <v>153</v>
      </c>
      <c r="CB74" s="4"/>
      <c r="CC74" s="4" t="s">
        <v>153</v>
      </c>
      <c r="CD74" t="s">
        <v>153</v>
      </c>
      <c r="CE74" s="4" t="s">
        <v>153</v>
      </c>
      <c r="CF74" s="4" t="s">
        <v>153</v>
      </c>
      <c r="CG74" s="4" t="s">
        <v>153</v>
      </c>
      <c r="CH74" s="5"/>
      <c r="CI74" t="s">
        <v>153</v>
      </c>
      <c r="CJ74" s="4"/>
      <c r="CK74" t="s">
        <v>153</v>
      </c>
      <c r="CL74" t="s">
        <v>153</v>
      </c>
      <c r="CM74" t="s">
        <v>153</v>
      </c>
      <c r="CN74" t="s">
        <v>153</v>
      </c>
      <c r="CO74" s="5"/>
      <c r="CP74" s="4" t="s">
        <v>153</v>
      </c>
      <c r="CQ74" s="4" t="s">
        <v>153</v>
      </c>
      <c r="CR74" t="s">
        <v>153</v>
      </c>
      <c r="CS74" t="s">
        <v>153</v>
      </c>
      <c r="CT74" t="s">
        <v>153</v>
      </c>
      <c r="CU74" t="s">
        <v>153</v>
      </c>
      <c r="CV74" t="s">
        <v>153</v>
      </c>
      <c r="CW74" t="s">
        <v>153</v>
      </c>
      <c r="CX74" t="s">
        <v>153</v>
      </c>
      <c r="CY74" t="s">
        <v>153</v>
      </c>
      <c r="CZ74" t="s">
        <v>153</v>
      </c>
      <c r="DA74" t="s">
        <v>153</v>
      </c>
      <c r="DB74" t="s">
        <v>153</v>
      </c>
      <c r="DC74" t="s">
        <v>153</v>
      </c>
      <c r="DD74" t="s">
        <v>153</v>
      </c>
      <c r="DE74" t="s">
        <v>153</v>
      </c>
      <c r="DF74" t="s">
        <v>153</v>
      </c>
      <c r="DG74" t="s">
        <v>153</v>
      </c>
      <c r="DI74" t="s">
        <v>153</v>
      </c>
      <c r="DJ74" t="s">
        <v>153</v>
      </c>
      <c r="DK74" t="s">
        <v>153</v>
      </c>
      <c r="DL74" t="s">
        <v>153</v>
      </c>
      <c r="DN74" t="s">
        <v>153</v>
      </c>
      <c r="DO74" t="s">
        <v>153</v>
      </c>
      <c r="DP74" t="s">
        <v>153</v>
      </c>
      <c r="DQ74" t="s">
        <v>153</v>
      </c>
      <c r="DR74" t="s">
        <v>153</v>
      </c>
      <c r="DS74" t="s">
        <v>153</v>
      </c>
      <c r="DT74" t="s">
        <v>153</v>
      </c>
      <c r="DU74" t="s">
        <v>153</v>
      </c>
      <c r="DV74" t="s">
        <v>153</v>
      </c>
      <c r="DW74" t="s">
        <v>153</v>
      </c>
      <c r="DX74" s="2"/>
      <c r="DY74" t="s">
        <v>153</v>
      </c>
      <c r="DZ74" t="s">
        <v>153</v>
      </c>
      <c r="EA74" t="s">
        <v>153</v>
      </c>
      <c r="EB74" t="s">
        <v>153</v>
      </c>
      <c r="EC74" t="s">
        <v>153</v>
      </c>
      <c r="ED74" t="s">
        <v>153</v>
      </c>
      <c r="EE74" t="s">
        <v>153</v>
      </c>
      <c r="EF74" t="s">
        <v>153</v>
      </c>
      <c r="EH74" t="s">
        <v>153</v>
      </c>
      <c r="EI74" t="s">
        <v>153</v>
      </c>
      <c r="EJ74" t="s">
        <v>153</v>
      </c>
      <c r="EK74" t="s">
        <v>153</v>
      </c>
      <c r="EM74" t="s">
        <v>153</v>
      </c>
      <c r="EN74" t="s">
        <v>153</v>
      </c>
      <c r="EP74" s="4" t="s">
        <v>153</v>
      </c>
      <c r="EQ74" s="4" t="s">
        <v>153</v>
      </c>
      <c r="ER74" s="4" t="s">
        <v>191</v>
      </c>
      <c r="ES74" s="4" t="s">
        <v>153</v>
      </c>
      <c r="ET74" t="s">
        <v>1213</v>
      </c>
      <c r="EU74" t="s">
        <v>1182</v>
      </c>
      <c r="EV74" t="s">
        <v>519</v>
      </c>
      <c r="EW74">
        <v>1117777896</v>
      </c>
      <c r="EX74" t="s">
        <v>1214</v>
      </c>
    </row>
    <row r="75" spans="1:154" x14ac:dyDescent="0.25">
      <c r="A75" s="3">
        <v>45111.765879629631</v>
      </c>
      <c r="B75" s="4" t="s">
        <v>1050</v>
      </c>
      <c r="C75" s="4" t="s">
        <v>502</v>
      </c>
      <c r="D75" s="4" t="s">
        <v>503</v>
      </c>
      <c r="E75" s="4" t="s">
        <v>504</v>
      </c>
      <c r="F75" s="4" t="s">
        <v>505</v>
      </c>
      <c r="G75" s="4" t="s">
        <v>185</v>
      </c>
      <c r="H75" s="4" t="s">
        <v>468</v>
      </c>
      <c r="I75" s="4" t="s">
        <v>153</v>
      </c>
      <c r="J75" s="4" t="s">
        <v>153</v>
      </c>
      <c r="K75" s="5"/>
      <c r="L75" s="4" t="s">
        <v>153</v>
      </c>
      <c r="M75" s="4" t="s">
        <v>1215</v>
      </c>
      <c r="N75" s="4" t="s">
        <v>153</v>
      </c>
      <c r="O75" s="4" t="s">
        <v>1216</v>
      </c>
      <c r="P75" s="4" t="s">
        <v>1217</v>
      </c>
      <c r="Q75" s="4" t="s">
        <v>190</v>
      </c>
      <c r="R75" s="4" t="s">
        <v>191</v>
      </c>
      <c r="S75" s="4" t="s">
        <v>1218</v>
      </c>
      <c r="T75" s="4" t="s">
        <v>1219</v>
      </c>
      <c r="U75" s="4" t="s">
        <v>1220</v>
      </c>
      <c r="V75" s="4" t="s">
        <v>153</v>
      </c>
      <c r="W75" s="4" t="s">
        <v>1221</v>
      </c>
      <c r="X75" s="4" t="s">
        <v>476</v>
      </c>
      <c r="Y75" s="4" t="s">
        <v>1222</v>
      </c>
      <c r="Z75" s="4" t="s">
        <v>1223</v>
      </c>
      <c r="AA75" s="4" t="s">
        <v>1220</v>
      </c>
      <c r="AB75" s="4" t="s">
        <v>153</v>
      </c>
      <c r="AC75" s="4" t="s">
        <v>1221</v>
      </c>
      <c r="AD75" s="4" t="s">
        <v>476</v>
      </c>
      <c r="AE75" s="4" t="s">
        <v>1222</v>
      </c>
      <c r="AF75" s="4" t="s">
        <v>1224</v>
      </c>
      <c r="AG75" s="4" t="s">
        <v>1225</v>
      </c>
      <c r="AH75" s="4" t="s">
        <v>153</v>
      </c>
      <c r="AI75" s="5">
        <v>45091</v>
      </c>
      <c r="AJ75" t="s">
        <v>1226</v>
      </c>
      <c r="AK75" s="4">
        <v>5</v>
      </c>
      <c r="AL75" t="s">
        <v>153</v>
      </c>
      <c r="AM75" t="s">
        <v>153</v>
      </c>
      <c r="AO75" t="s">
        <v>153</v>
      </c>
      <c r="AP75" s="4"/>
      <c r="AQ75" t="s">
        <v>153</v>
      </c>
      <c r="AR75" s="5"/>
      <c r="AT75" s="4" t="s">
        <v>153</v>
      </c>
      <c r="AU75" s="4" t="s">
        <v>153</v>
      </c>
      <c r="AV75" s="4" t="s">
        <v>153</v>
      </c>
      <c r="AW75" t="s">
        <v>153</v>
      </c>
      <c r="AX75" t="s">
        <v>153</v>
      </c>
      <c r="AY75" t="s">
        <v>153</v>
      </c>
      <c r="AZ75" t="s">
        <v>153</v>
      </c>
      <c r="BA75" t="s">
        <v>153</v>
      </c>
      <c r="BB75" t="s">
        <v>153</v>
      </c>
      <c r="BC75" t="s">
        <v>153</v>
      </c>
      <c r="BD75" s="4" t="s">
        <v>153</v>
      </c>
      <c r="BE75" s="4" t="s">
        <v>153</v>
      </c>
      <c r="BF75" t="s">
        <v>153</v>
      </c>
      <c r="BG75" s="4" t="s">
        <v>153</v>
      </c>
      <c r="BH75" t="s">
        <v>153</v>
      </c>
      <c r="BI75" s="4" t="s">
        <v>153</v>
      </c>
      <c r="BJ75" t="s">
        <v>153</v>
      </c>
      <c r="BK75" s="4" t="s">
        <v>153</v>
      </c>
      <c r="BL75" t="s">
        <v>153</v>
      </c>
      <c r="BM75" t="s">
        <v>153</v>
      </c>
      <c r="BN75" s="4" t="s">
        <v>153</v>
      </c>
      <c r="BO75" s="4" t="s">
        <v>153</v>
      </c>
      <c r="BP75" s="4" t="s">
        <v>153</v>
      </c>
      <c r="BQ75" s="4" t="s">
        <v>153</v>
      </c>
      <c r="BR75" s="4" t="s">
        <v>153</v>
      </c>
      <c r="BS75" s="4" t="s">
        <v>153</v>
      </c>
      <c r="BT75" s="4" t="s">
        <v>153</v>
      </c>
      <c r="BU75" s="4" t="s">
        <v>153</v>
      </c>
      <c r="BV75" s="4"/>
      <c r="BW75" s="4" t="s">
        <v>153</v>
      </c>
      <c r="BX75" s="4" t="s">
        <v>153</v>
      </c>
      <c r="BY75" s="4" t="s">
        <v>153</v>
      </c>
      <c r="BZ75" s="4" t="s">
        <v>153</v>
      </c>
      <c r="CA75" s="4" t="s">
        <v>153</v>
      </c>
      <c r="CB75" s="4"/>
      <c r="CC75" s="4" t="s">
        <v>153</v>
      </c>
      <c r="CD75" t="s">
        <v>153</v>
      </c>
      <c r="CE75" s="4" t="s">
        <v>153</v>
      </c>
      <c r="CF75" s="4" t="s">
        <v>153</v>
      </c>
      <c r="CG75" s="4" t="s">
        <v>153</v>
      </c>
      <c r="CH75" s="5"/>
      <c r="CI75" t="s">
        <v>153</v>
      </c>
      <c r="CJ75" s="4"/>
      <c r="CK75" t="s">
        <v>153</v>
      </c>
      <c r="CL75" t="s">
        <v>153</v>
      </c>
      <c r="CM75" t="s">
        <v>153</v>
      </c>
      <c r="CN75" t="s">
        <v>153</v>
      </c>
      <c r="CO75" s="5"/>
      <c r="CP75" s="4" t="s">
        <v>153</v>
      </c>
      <c r="CQ75" s="4" t="s">
        <v>153</v>
      </c>
      <c r="CR75" t="s">
        <v>153</v>
      </c>
      <c r="CS75" t="s">
        <v>153</v>
      </c>
      <c r="CT75" t="s">
        <v>153</v>
      </c>
      <c r="CU75" t="s">
        <v>153</v>
      </c>
      <c r="CV75" t="s">
        <v>153</v>
      </c>
      <c r="CW75" t="s">
        <v>153</v>
      </c>
      <c r="CX75" t="s">
        <v>153</v>
      </c>
      <c r="CY75" t="s">
        <v>153</v>
      </c>
      <c r="CZ75" t="s">
        <v>153</v>
      </c>
      <c r="DA75" t="s">
        <v>153</v>
      </c>
      <c r="DB75" t="s">
        <v>153</v>
      </c>
      <c r="DC75" t="s">
        <v>153</v>
      </c>
      <c r="DD75" t="s">
        <v>153</v>
      </c>
      <c r="DE75" t="s">
        <v>153</v>
      </c>
      <c r="DF75" t="s">
        <v>153</v>
      </c>
      <c r="DG75" t="s">
        <v>153</v>
      </c>
      <c r="DI75" t="s">
        <v>153</v>
      </c>
      <c r="DJ75" t="s">
        <v>153</v>
      </c>
      <c r="DK75" t="s">
        <v>153</v>
      </c>
      <c r="DL75" t="s">
        <v>153</v>
      </c>
      <c r="DN75" t="s">
        <v>153</v>
      </c>
      <c r="DO75" t="s">
        <v>153</v>
      </c>
      <c r="DP75" t="s">
        <v>153</v>
      </c>
      <c r="DQ75" t="s">
        <v>153</v>
      </c>
      <c r="DR75" t="s">
        <v>153</v>
      </c>
      <c r="DS75" t="s">
        <v>153</v>
      </c>
      <c r="DT75" t="s">
        <v>153</v>
      </c>
      <c r="DU75" t="s">
        <v>153</v>
      </c>
      <c r="DV75" t="s">
        <v>153</v>
      </c>
      <c r="DW75" t="s">
        <v>153</v>
      </c>
      <c r="DX75" s="2"/>
      <c r="DY75" t="s">
        <v>153</v>
      </c>
      <c r="DZ75" t="s">
        <v>153</v>
      </c>
      <c r="EA75" t="s">
        <v>153</v>
      </c>
      <c r="EB75" t="s">
        <v>153</v>
      </c>
      <c r="EC75" t="s">
        <v>153</v>
      </c>
      <c r="ED75" t="s">
        <v>153</v>
      </c>
      <c r="EE75" t="s">
        <v>153</v>
      </c>
      <c r="EF75" t="s">
        <v>153</v>
      </c>
      <c r="EH75" t="s">
        <v>153</v>
      </c>
      <c r="EI75" t="s">
        <v>153</v>
      </c>
      <c r="EJ75" t="s">
        <v>153</v>
      </c>
      <c r="EK75" t="s">
        <v>153</v>
      </c>
      <c r="EM75" t="s">
        <v>153</v>
      </c>
      <c r="EN75" t="s">
        <v>153</v>
      </c>
      <c r="EP75" s="4" t="s">
        <v>242</v>
      </c>
      <c r="EQ75" s="4" t="s">
        <v>153</v>
      </c>
      <c r="ER75" s="4" t="s">
        <v>243</v>
      </c>
      <c r="ES75" s="4" t="s">
        <v>356</v>
      </c>
      <c r="ET75" t="s">
        <v>1227</v>
      </c>
      <c r="EU75" t="s">
        <v>1182</v>
      </c>
      <c r="EV75" t="s">
        <v>1199</v>
      </c>
      <c r="EW75">
        <v>1118127251</v>
      </c>
      <c r="EX75" t="s">
        <v>1200</v>
      </c>
    </row>
    <row r="76" spans="1:154" x14ac:dyDescent="0.25">
      <c r="A76" s="3">
        <v>45112.336296296293</v>
      </c>
      <c r="B76" s="4" t="s">
        <v>1050</v>
      </c>
      <c r="C76" s="4" t="s">
        <v>549</v>
      </c>
      <c r="D76" s="4" t="s">
        <v>550</v>
      </c>
      <c r="E76" s="4" t="s">
        <v>551</v>
      </c>
      <c r="F76" s="4" t="s">
        <v>552</v>
      </c>
      <c r="G76" s="4" t="s">
        <v>185</v>
      </c>
      <c r="H76" s="4" t="s">
        <v>553</v>
      </c>
      <c r="I76" s="4" t="s">
        <v>153</v>
      </c>
      <c r="J76" s="4" t="s">
        <v>153</v>
      </c>
      <c r="K76" s="5"/>
      <c r="L76" s="4" t="s">
        <v>153</v>
      </c>
      <c r="M76" s="4" t="s">
        <v>1228</v>
      </c>
      <c r="N76" s="4" t="s">
        <v>1229</v>
      </c>
      <c r="O76" s="4" t="s">
        <v>555</v>
      </c>
      <c r="P76" s="4" t="s">
        <v>1230</v>
      </c>
      <c r="Q76" s="4" t="s">
        <v>294</v>
      </c>
      <c r="R76" s="4" t="s">
        <v>191</v>
      </c>
      <c r="S76" s="4" t="s">
        <v>1231</v>
      </c>
      <c r="T76" s="4" t="s">
        <v>1232</v>
      </c>
      <c r="U76" s="4" t="s">
        <v>1233</v>
      </c>
      <c r="V76" s="4" t="s">
        <v>153</v>
      </c>
      <c r="W76" s="4" t="s">
        <v>1234</v>
      </c>
      <c r="X76" s="4" t="s">
        <v>331</v>
      </c>
      <c r="Y76" s="4" t="s">
        <v>1235</v>
      </c>
      <c r="Z76" s="4" t="s">
        <v>237</v>
      </c>
      <c r="AA76" s="4" t="s">
        <v>1233</v>
      </c>
      <c r="AB76" s="4" t="s">
        <v>153</v>
      </c>
      <c r="AC76" s="4" t="s">
        <v>1234</v>
      </c>
      <c r="AD76" s="4" t="s">
        <v>331</v>
      </c>
      <c r="AE76" s="4" t="s">
        <v>1235</v>
      </c>
      <c r="AF76" s="4" t="s">
        <v>1236</v>
      </c>
      <c r="AG76" s="4" t="s">
        <v>1237</v>
      </c>
      <c r="AH76" s="4" t="s">
        <v>1238</v>
      </c>
      <c r="AI76" s="5">
        <v>45109</v>
      </c>
      <c r="AJ76" t="s">
        <v>1239</v>
      </c>
      <c r="AK76" s="4">
        <v>25</v>
      </c>
      <c r="AL76" t="s">
        <v>153</v>
      </c>
      <c r="AM76" t="s">
        <v>153</v>
      </c>
      <c r="AO76" t="s">
        <v>153</v>
      </c>
      <c r="AP76" s="4"/>
      <c r="AQ76" t="s">
        <v>153</v>
      </c>
      <c r="AR76" s="5"/>
      <c r="AT76" s="4" t="s">
        <v>153</v>
      </c>
      <c r="AU76" s="4" t="s">
        <v>153</v>
      </c>
      <c r="AV76" s="4" t="s">
        <v>153</v>
      </c>
      <c r="AW76" t="s">
        <v>153</v>
      </c>
      <c r="AX76" t="s">
        <v>153</v>
      </c>
      <c r="AY76" t="s">
        <v>153</v>
      </c>
      <c r="AZ76" t="s">
        <v>153</v>
      </c>
      <c r="BA76" t="s">
        <v>153</v>
      </c>
      <c r="BB76" t="s">
        <v>153</v>
      </c>
      <c r="BC76" t="s">
        <v>153</v>
      </c>
      <c r="BD76" s="4" t="s">
        <v>153</v>
      </c>
      <c r="BE76" s="4" t="s">
        <v>153</v>
      </c>
      <c r="BF76" t="s">
        <v>153</v>
      </c>
      <c r="BG76" s="4" t="s">
        <v>153</v>
      </c>
      <c r="BH76" t="s">
        <v>153</v>
      </c>
      <c r="BI76" s="4" t="s">
        <v>153</v>
      </c>
      <c r="BJ76" t="s">
        <v>153</v>
      </c>
      <c r="BK76" s="4" t="s">
        <v>153</v>
      </c>
      <c r="BL76" t="s">
        <v>153</v>
      </c>
      <c r="BM76" t="s">
        <v>153</v>
      </c>
      <c r="BN76" s="4" t="s">
        <v>153</v>
      </c>
      <c r="BO76" s="4" t="s">
        <v>153</v>
      </c>
      <c r="BP76" s="4" t="s">
        <v>153</v>
      </c>
      <c r="BQ76" s="4" t="s">
        <v>153</v>
      </c>
      <c r="BR76" s="4" t="s">
        <v>153</v>
      </c>
      <c r="BS76" s="4" t="s">
        <v>153</v>
      </c>
      <c r="BT76" s="4" t="s">
        <v>153</v>
      </c>
      <c r="BU76" s="4" t="s">
        <v>153</v>
      </c>
      <c r="BV76" s="4"/>
      <c r="BW76" s="4" t="s">
        <v>153</v>
      </c>
      <c r="BX76" s="4" t="s">
        <v>153</v>
      </c>
      <c r="BY76" s="4" t="s">
        <v>153</v>
      </c>
      <c r="BZ76" s="4" t="s">
        <v>153</v>
      </c>
      <c r="CA76" s="4" t="s">
        <v>153</v>
      </c>
      <c r="CB76" s="4"/>
      <c r="CC76" s="4" t="s">
        <v>153</v>
      </c>
      <c r="CD76" t="s">
        <v>153</v>
      </c>
      <c r="CE76" s="4" t="s">
        <v>153</v>
      </c>
      <c r="CF76" s="4" t="s">
        <v>153</v>
      </c>
      <c r="CG76" s="4" t="s">
        <v>153</v>
      </c>
      <c r="CH76" s="5"/>
      <c r="CI76" t="s">
        <v>153</v>
      </c>
      <c r="CJ76" s="4"/>
      <c r="CK76" t="s">
        <v>153</v>
      </c>
      <c r="CL76" t="s">
        <v>153</v>
      </c>
      <c r="CM76" t="s">
        <v>153</v>
      </c>
      <c r="CN76" t="s">
        <v>153</v>
      </c>
      <c r="CO76" s="5"/>
      <c r="CP76" s="4" t="s">
        <v>153</v>
      </c>
      <c r="CQ76" s="4" t="s">
        <v>153</v>
      </c>
      <c r="CR76" t="s">
        <v>153</v>
      </c>
      <c r="CS76" t="s">
        <v>153</v>
      </c>
      <c r="CT76" t="s">
        <v>153</v>
      </c>
      <c r="CU76" t="s">
        <v>153</v>
      </c>
      <c r="CV76" t="s">
        <v>153</v>
      </c>
      <c r="CW76" t="s">
        <v>153</v>
      </c>
      <c r="CX76" t="s">
        <v>153</v>
      </c>
      <c r="CY76" t="s">
        <v>153</v>
      </c>
      <c r="CZ76" t="s">
        <v>153</v>
      </c>
      <c r="DA76" t="s">
        <v>153</v>
      </c>
      <c r="DB76" t="s">
        <v>153</v>
      </c>
      <c r="DC76" t="s">
        <v>153</v>
      </c>
      <c r="DD76" t="s">
        <v>153</v>
      </c>
      <c r="DE76" t="s">
        <v>153</v>
      </c>
      <c r="DF76" t="s">
        <v>153</v>
      </c>
      <c r="DG76" t="s">
        <v>153</v>
      </c>
      <c r="DI76" t="s">
        <v>153</v>
      </c>
      <c r="DJ76" t="s">
        <v>153</v>
      </c>
      <c r="DK76" t="s">
        <v>153</v>
      </c>
      <c r="DL76" t="s">
        <v>153</v>
      </c>
      <c r="DN76" t="s">
        <v>153</v>
      </c>
      <c r="DO76" t="s">
        <v>153</v>
      </c>
      <c r="DP76" t="s">
        <v>153</v>
      </c>
      <c r="DQ76" t="s">
        <v>153</v>
      </c>
      <c r="DR76" t="s">
        <v>153</v>
      </c>
      <c r="DS76" t="s">
        <v>153</v>
      </c>
      <c r="DT76" t="s">
        <v>153</v>
      </c>
      <c r="DU76" t="s">
        <v>153</v>
      </c>
      <c r="DV76" t="s">
        <v>153</v>
      </c>
      <c r="DW76" t="s">
        <v>153</v>
      </c>
      <c r="DX76" s="2"/>
      <c r="DY76" t="s">
        <v>153</v>
      </c>
      <c r="DZ76" t="s">
        <v>153</v>
      </c>
      <c r="EA76" t="s">
        <v>153</v>
      </c>
      <c r="EB76" t="s">
        <v>153</v>
      </c>
      <c r="EC76" t="s">
        <v>153</v>
      </c>
      <c r="ED76" t="s">
        <v>153</v>
      </c>
      <c r="EE76" t="s">
        <v>153</v>
      </c>
      <c r="EF76" t="s">
        <v>153</v>
      </c>
      <c r="EH76" t="s">
        <v>153</v>
      </c>
      <c r="EI76" t="s">
        <v>153</v>
      </c>
      <c r="EJ76" t="s">
        <v>153</v>
      </c>
      <c r="EK76" t="s">
        <v>153</v>
      </c>
      <c r="EM76" t="s">
        <v>153</v>
      </c>
      <c r="EN76" t="s">
        <v>153</v>
      </c>
      <c r="EP76" s="4" t="s">
        <v>242</v>
      </c>
      <c r="EQ76" s="4" t="s">
        <v>153</v>
      </c>
      <c r="ER76" s="4" t="s">
        <v>191</v>
      </c>
      <c r="ES76" s="4" t="s">
        <v>153</v>
      </c>
      <c r="ET76" t="s">
        <v>153</v>
      </c>
      <c r="EU76" t="s">
        <v>1182</v>
      </c>
      <c r="EV76" t="s">
        <v>560</v>
      </c>
      <c r="EW76">
        <v>1118225136</v>
      </c>
      <c r="EX76" t="s">
        <v>561</v>
      </c>
    </row>
    <row r="77" spans="1:154" x14ac:dyDescent="0.25">
      <c r="A77" s="3">
        <v>45112.645543981482</v>
      </c>
      <c r="B77" s="4" t="s">
        <v>1050</v>
      </c>
      <c r="C77" s="4" t="s">
        <v>549</v>
      </c>
      <c r="D77" s="4" t="s">
        <v>550</v>
      </c>
      <c r="E77" s="4" t="s">
        <v>551</v>
      </c>
      <c r="F77" s="4" t="s">
        <v>552</v>
      </c>
      <c r="G77" s="4" t="s">
        <v>185</v>
      </c>
      <c r="H77" s="4" t="s">
        <v>553</v>
      </c>
      <c r="I77" s="4" t="s">
        <v>153</v>
      </c>
      <c r="J77" s="4" t="s">
        <v>153</v>
      </c>
      <c r="K77" s="5"/>
      <c r="L77" s="4" t="s">
        <v>153</v>
      </c>
      <c r="M77" s="4" t="s">
        <v>1240</v>
      </c>
      <c r="N77" s="4" t="s">
        <v>153</v>
      </c>
      <c r="O77" s="4" t="s">
        <v>1241</v>
      </c>
      <c r="P77" s="4" t="s">
        <v>1242</v>
      </c>
      <c r="Q77" s="4" t="s">
        <v>294</v>
      </c>
      <c r="R77" s="4" t="s">
        <v>191</v>
      </c>
      <c r="S77" s="4" t="s">
        <v>1243</v>
      </c>
      <c r="T77" s="4" t="s">
        <v>1232</v>
      </c>
      <c r="U77" s="4" t="s">
        <v>1244</v>
      </c>
      <c r="V77" s="4" t="s">
        <v>153</v>
      </c>
      <c r="W77" s="4" t="s">
        <v>1245</v>
      </c>
      <c r="X77" s="4" t="s">
        <v>331</v>
      </c>
      <c r="Y77" s="4" t="s">
        <v>1246</v>
      </c>
      <c r="Z77" s="4" t="s">
        <v>197</v>
      </c>
      <c r="AA77" s="4" t="s">
        <v>1244</v>
      </c>
      <c r="AB77" s="4" t="s">
        <v>153</v>
      </c>
      <c r="AC77" s="4" t="s">
        <v>1245</v>
      </c>
      <c r="AD77" s="4" t="s">
        <v>331</v>
      </c>
      <c r="AE77" s="4" t="s">
        <v>1246</v>
      </c>
      <c r="AF77" s="4" t="s">
        <v>1247</v>
      </c>
      <c r="AG77" s="4" t="s">
        <v>1248</v>
      </c>
      <c r="AH77" s="4" t="s">
        <v>153</v>
      </c>
      <c r="AI77" s="5">
        <v>45151</v>
      </c>
      <c r="AJ77" t="s">
        <v>1249</v>
      </c>
      <c r="AK77" s="4">
        <v>6</v>
      </c>
      <c r="AL77" t="s">
        <v>153</v>
      </c>
      <c r="AM77" t="s">
        <v>153</v>
      </c>
      <c r="AO77" t="s">
        <v>153</v>
      </c>
      <c r="AP77" s="4"/>
      <c r="AQ77" t="s">
        <v>153</v>
      </c>
      <c r="AR77" s="5"/>
      <c r="AT77" s="4" t="s">
        <v>153</v>
      </c>
      <c r="AU77" s="4" t="s">
        <v>153</v>
      </c>
      <c r="AV77" s="4" t="s">
        <v>153</v>
      </c>
      <c r="AW77" t="s">
        <v>153</v>
      </c>
      <c r="AX77" t="s">
        <v>153</v>
      </c>
      <c r="AY77" t="s">
        <v>153</v>
      </c>
      <c r="AZ77" t="s">
        <v>153</v>
      </c>
      <c r="BA77" t="s">
        <v>153</v>
      </c>
      <c r="BB77" t="s">
        <v>153</v>
      </c>
      <c r="BC77" t="s">
        <v>153</v>
      </c>
      <c r="BD77" s="4" t="s">
        <v>153</v>
      </c>
      <c r="BE77" s="4" t="s">
        <v>153</v>
      </c>
      <c r="BF77" t="s">
        <v>153</v>
      </c>
      <c r="BG77" s="4" t="s">
        <v>153</v>
      </c>
      <c r="BH77" t="s">
        <v>153</v>
      </c>
      <c r="BI77" s="4" t="s">
        <v>153</v>
      </c>
      <c r="BJ77" t="s">
        <v>153</v>
      </c>
      <c r="BK77" s="4" t="s">
        <v>153</v>
      </c>
      <c r="BL77" t="s">
        <v>153</v>
      </c>
      <c r="BM77" t="s">
        <v>153</v>
      </c>
      <c r="BN77" s="4" t="s">
        <v>153</v>
      </c>
      <c r="BO77" s="4" t="s">
        <v>153</v>
      </c>
      <c r="BP77" s="4" t="s">
        <v>153</v>
      </c>
      <c r="BQ77" s="4" t="s">
        <v>153</v>
      </c>
      <c r="BR77" s="4" t="s">
        <v>153</v>
      </c>
      <c r="BS77" s="4" t="s">
        <v>153</v>
      </c>
      <c r="BT77" s="4" t="s">
        <v>153</v>
      </c>
      <c r="BU77" s="4" t="s">
        <v>153</v>
      </c>
      <c r="BV77" s="4"/>
      <c r="BW77" s="4" t="s">
        <v>153</v>
      </c>
      <c r="BX77" s="4" t="s">
        <v>153</v>
      </c>
      <c r="BY77" s="4" t="s">
        <v>153</v>
      </c>
      <c r="BZ77" s="4" t="s">
        <v>153</v>
      </c>
      <c r="CA77" s="4" t="s">
        <v>153</v>
      </c>
      <c r="CB77" s="4"/>
      <c r="CC77" s="4" t="s">
        <v>153</v>
      </c>
      <c r="CD77" t="s">
        <v>153</v>
      </c>
      <c r="CE77" s="4" t="s">
        <v>153</v>
      </c>
      <c r="CF77" s="4" t="s">
        <v>153</v>
      </c>
      <c r="CG77" s="4" t="s">
        <v>153</v>
      </c>
      <c r="CH77" s="5"/>
      <c r="CI77" t="s">
        <v>153</v>
      </c>
      <c r="CJ77" s="4"/>
      <c r="CK77" t="s">
        <v>153</v>
      </c>
      <c r="CL77" t="s">
        <v>153</v>
      </c>
      <c r="CM77" t="s">
        <v>153</v>
      </c>
      <c r="CN77" t="s">
        <v>153</v>
      </c>
      <c r="CO77" s="5"/>
      <c r="CP77" s="4" t="s">
        <v>153</v>
      </c>
      <c r="CQ77" s="4" t="s">
        <v>153</v>
      </c>
      <c r="CR77" t="s">
        <v>153</v>
      </c>
      <c r="CS77" t="s">
        <v>153</v>
      </c>
      <c r="CT77" t="s">
        <v>153</v>
      </c>
      <c r="CU77" t="s">
        <v>153</v>
      </c>
      <c r="CV77" t="s">
        <v>153</v>
      </c>
      <c r="CW77" t="s">
        <v>153</v>
      </c>
      <c r="CX77" t="s">
        <v>153</v>
      </c>
      <c r="CY77" t="s">
        <v>153</v>
      </c>
      <c r="CZ77" t="s">
        <v>153</v>
      </c>
      <c r="DA77" t="s">
        <v>153</v>
      </c>
      <c r="DB77" t="s">
        <v>153</v>
      </c>
      <c r="DC77" t="s">
        <v>153</v>
      </c>
      <c r="DD77" t="s">
        <v>153</v>
      </c>
      <c r="DE77" t="s">
        <v>153</v>
      </c>
      <c r="DF77" t="s">
        <v>153</v>
      </c>
      <c r="DG77" t="s">
        <v>153</v>
      </c>
      <c r="DI77" t="s">
        <v>153</v>
      </c>
      <c r="DJ77" t="s">
        <v>153</v>
      </c>
      <c r="DK77" t="s">
        <v>153</v>
      </c>
      <c r="DL77" t="s">
        <v>153</v>
      </c>
      <c r="DN77" t="s">
        <v>153</v>
      </c>
      <c r="DO77" t="s">
        <v>153</v>
      </c>
      <c r="DP77" t="s">
        <v>153</v>
      </c>
      <c r="DQ77" t="s">
        <v>153</v>
      </c>
      <c r="DR77" t="s">
        <v>153</v>
      </c>
      <c r="DS77" t="s">
        <v>153</v>
      </c>
      <c r="DT77" t="s">
        <v>153</v>
      </c>
      <c r="DU77" t="s">
        <v>153</v>
      </c>
      <c r="DV77" t="s">
        <v>153</v>
      </c>
      <c r="DW77" t="s">
        <v>153</v>
      </c>
      <c r="DX77" s="2"/>
      <c r="DY77" t="s">
        <v>153</v>
      </c>
      <c r="DZ77" t="s">
        <v>153</v>
      </c>
      <c r="EA77" t="s">
        <v>153</v>
      </c>
      <c r="EB77" t="s">
        <v>153</v>
      </c>
      <c r="EC77" t="s">
        <v>153</v>
      </c>
      <c r="ED77" t="s">
        <v>153</v>
      </c>
      <c r="EE77" t="s">
        <v>153</v>
      </c>
      <c r="EF77" t="s">
        <v>153</v>
      </c>
      <c r="EH77" t="s">
        <v>153</v>
      </c>
      <c r="EI77" t="s">
        <v>153</v>
      </c>
      <c r="EJ77" t="s">
        <v>153</v>
      </c>
      <c r="EK77" t="s">
        <v>153</v>
      </c>
      <c r="EM77" t="s">
        <v>153</v>
      </c>
      <c r="EN77" t="s">
        <v>153</v>
      </c>
      <c r="EP77" s="4" t="s">
        <v>242</v>
      </c>
      <c r="EQ77" s="4" t="s">
        <v>153</v>
      </c>
      <c r="ER77" s="4" t="s">
        <v>191</v>
      </c>
      <c r="ES77" s="4" t="s">
        <v>153</v>
      </c>
      <c r="ET77" t="s">
        <v>153</v>
      </c>
      <c r="EU77" t="s">
        <v>1182</v>
      </c>
      <c r="EV77" t="s">
        <v>560</v>
      </c>
      <c r="EW77">
        <v>1118415593</v>
      </c>
      <c r="EX77" t="s">
        <v>561</v>
      </c>
    </row>
    <row r="78" spans="1:154" x14ac:dyDescent="0.25">
      <c r="A78" s="3">
        <v>45112.648645833331</v>
      </c>
      <c r="B78" s="4" t="s">
        <v>1050</v>
      </c>
      <c r="C78" s="4" t="s">
        <v>549</v>
      </c>
      <c r="D78" s="4" t="s">
        <v>550</v>
      </c>
      <c r="E78" s="4" t="s">
        <v>551</v>
      </c>
      <c r="F78" s="4" t="s">
        <v>552</v>
      </c>
      <c r="G78" s="4" t="s">
        <v>185</v>
      </c>
      <c r="H78" s="4" t="s">
        <v>553</v>
      </c>
      <c r="I78" s="4" t="s">
        <v>153</v>
      </c>
      <c r="J78" s="4" t="s">
        <v>153</v>
      </c>
      <c r="K78" s="5"/>
      <c r="L78" s="4" t="s">
        <v>153</v>
      </c>
      <c r="M78" s="4" t="s">
        <v>1250</v>
      </c>
      <c r="N78" s="4" t="s">
        <v>153</v>
      </c>
      <c r="O78" s="4" t="s">
        <v>1241</v>
      </c>
      <c r="P78" s="4" t="s">
        <v>1242</v>
      </c>
      <c r="Q78" s="4" t="s">
        <v>294</v>
      </c>
      <c r="R78" s="4" t="s">
        <v>205</v>
      </c>
      <c r="S78" s="4" t="s">
        <v>153</v>
      </c>
      <c r="T78" s="4" t="s">
        <v>1232</v>
      </c>
      <c r="U78" s="4" t="s">
        <v>1251</v>
      </c>
      <c r="V78" s="4" t="s">
        <v>153</v>
      </c>
      <c r="W78" s="4" t="s">
        <v>1252</v>
      </c>
      <c r="X78" s="4" t="s">
        <v>331</v>
      </c>
      <c r="Y78" s="4" t="s">
        <v>1253</v>
      </c>
      <c r="Z78" s="4" t="s">
        <v>237</v>
      </c>
      <c r="AA78" s="4" t="s">
        <v>1251</v>
      </c>
      <c r="AB78" s="4" t="s">
        <v>153</v>
      </c>
      <c r="AC78" s="4" t="s">
        <v>1252</v>
      </c>
      <c r="AD78" s="4" t="s">
        <v>331</v>
      </c>
      <c r="AE78" s="4" t="s">
        <v>1253</v>
      </c>
      <c r="AF78" s="4" t="s">
        <v>1247</v>
      </c>
      <c r="AG78" s="4" t="s">
        <v>1248</v>
      </c>
      <c r="AH78" s="4" t="s">
        <v>153</v>
      </c>
      <c r="AI78" s="5">
        <v>45151</v>
      </c>
      <c r="AJ78" t="s">
        <v>1249</v>
      </c>
      <c r="AK78" s="4">
        <v>6</v>
      </c>
      <c r="AL78" t="s">
        <v>153</v>
      </c>
      <c r="AM78" t="s">
        <v>153</v>
      </c>
      <c r="AO78" t="s">
        <v>153</v>
      </c>
      <c r="AP78" s="4"/>
      <c r="AQ78" t="s">
        <v>153</v>
      </c>
      <c r="AR78" s="5"/>
      <c r="AT78" s="4" t="s">
        <v>153</v>
      </c>
      <c r="AU78" s="4" t="s">
        <v>153</v>
      </c>
      <c r="AV78" s="4" t="s">
        <v>153</v>
      </c>
      <c r="AW78" t="s">
        <v>153</v>
      </c>
      <c r="AX78" t="s">
        <v>153</v>
      </c>
      <c r="AY78" t="s">
        <v>153</v>
      </c>
      <c r="AZ78" t="s">
        <v>153</v>
      </c>
      <c r="BA78" t="s">
        <v>153</v>
      </c>
      <c r="BB78" t="s">
        <v>153</v>
      </c>
      <c r="BC78" t="s">
        <v>153</v>
      </c>
      <c r="BD78" s="4" t="s">
        <v>153</v>
      </c>
      <c r="BE78" s="4" t="s">
        <v>153</v>
      </c>
      <c r="BF78" t="s">
        <v>153</v>
      </c>
      <c r="BG78" s="4" t="s">
        <v>153</v>
      </c>
      <c r="BH78" t="s">
        <v>153</v>
      </c>
      <c r="BI78" s="4" t="s">
        <v>153</v>
      </c>
      <c r="BJ78" t="s">
        <v>153</v>
      </c>
      <c r="BK78" s="4" t="s">
        <v>153</v>
      </c>
      <c r="BL78" t="s">
        <v>153</v>
      </c>
      <c r="BM78" t="s">
        <v>153</v>
      </c>
      <c r="BN78" s="4" t="s">
        <v>153</v>
      </c>
      <c r="BO78" s="4" t="s">
        <v>153</v>
      </c>
      <c r="BP78" s="4" t="s">
        <v>153</v>
      </c>
      <c r="BQ78" s="4" t="s">
        <v>153</v>
      </c>
      <c r="BR78" s="4" t="s">
        <v>153</v>
      </c>
      <c r="BS78" s="4" t="s">
        <v>153</v>
      </c>
      <c r="BT78" s="4" t="s">
        <v>153</v>
      </c>
      <c r="BU78" s="4" t="s">
        <v>153</v>
      </c>
      <c r="BV78" s="4"/>
      <c r="BW78" s="4" t="s">
        <v>153</v>
      </c>
      <c r="BX78" s="4" t="s">
        <v>153</v>
      </c>
      <c r="BY78" s="4" t="s">
        <v>153</v>
      </c>
      <c r="BZ78" s="4" t="s">
        <v>153</v>
      </c>
      <c r="CA78" s="4" t="s">
        <v>153</v>
      </c>
      <c r="CB78" s="4"/>
      <c r="CC78" s="4" t="s">
        <v>153</v>
      </c>
      <c r="CD78" t="s">
        <v>153</v>
      </c>
      <c r="CE78" s="4" t="s">
        <v>153</v>
      </c>
      <c r="CF78" s="4" t="s">
        <v>153</v>
      </c>
      <c r="CG78" s="4" t="s">
        <v>153</v>
      </c>
      <c r="CH78" s="5"/>
      <c r="CI78" t="s">
        <v>153</v>
      </c>
      <c r="CJ78" s="4"/>
      <c r="CK78" t="s">
        <v>153</v>
      </c>
      <c r="CL78" t="s">
        <v>153</v>
      </c>
      <c r="CM78" t="s">
        <v>153</v>
      </c>
      <c r="CN78" t="s">
        <v>153</v>
      </c>
      <c r="CO78" s="5"/>
      <c r="CP78" s="4" t="s">
        <v>153</v>
      </c>
      <c r="CQ78" s="4" t="s">
        <v>153</v>
      </c>
      <c r="CR78" t="s">
        <v>153</v>
      </c>
      <c r="CS78" t="s">
        <v>153</v>
      </c>
      <c r="CT78" t="s">
        <v>153</v>
      </c>
      <c r="CU78" t="s">
        <v>153</v>
      </c>
      <c r="CV78" t="s">
        <v>153</v>
      </c>
      <c r="CW78" t="s">
        <v>153</v>
      </c>
      <c r="CX78" t="s">
        <v>153</v>
      </c>
      <c r="CY78" t="s">
        <v>153</v>
      </c>
      <c r="CZ78" t="s">
        <v>153</v>
      </c>
      <c r="DA78" t="s">
        <v>153</v>
      </c>
      <c r="DB78" t="s">
        <v>153</v>
      </c>
      <c r="DC78" t="s">
        <v>153</v>
      </c>
      <c r="DD78" t="s">
        <v>153</v>
      </c>
      <c r="DE78" t="s">
        <v>153</v>
      </c>
      <c r="DF78" t="s">
        <v>153</v>
      </c>
      <c r="DG78" t="s">
        <v>153</v>
      </c>
      <c r="DI78" t="s">
        <v>153</v>
      </c>
      <c r="DJ78" t="s">
        <v>153</v>
      </c>
      <c r="DK78" t="s">
        <v>153</v>
      </c>
      <c r="DL78" t="s">
        <v>153</v>
      </c>
      <c r="DN78" t="s">
        <v>153</v>
      </c>
      <c r="DO78" t="s">
        <v>153</v>
      </c>
      <c r="DP78" t="s">
        <v>153</v>
      </c>
      <c r="DQ78" t="s">
        <v>153</v>
      </c>
      <c r="DR78" t="s">
        <v>153</v>
      </c>
      <c r="DS78" t="s">
        <v>153</v>
      </c>
      <c r="DT78" t="s">
        <v>153</v>
      </c>
      <c r="DU78" t="s">
        <v>153</v>
      </c>
      <c r="DV78" t="s">
        <v>153</v>
      </c>
      <c r="DW78" t="s">
        <v>153</v>
      </c>
      <c r="DX78" s="2"/>
      <c r="DY78" t="s">
        <v>153</v>
      </c>
      <c r="DZ78" t="s">
        <v>153</v>
      </c>
      <c r="EA78" t="s">
        <v>153</v>
      </c>
      <c r="EB78" t="s">
        <v>153</v>
      </c>
      <c r="EC78" t="s">
        <v>153</v>
      </c>
      <c r="ED78" t="s">
        <v>153</v>
      </c>
      <c r="EE78" t="s">
        <v>153</v>
      </c>
      <c r="EF78" t="s">
        <v>153</v>
      </c>
      <c r="EH78" t="s">
        <v>153</v>
      </c>
      <c r="EI78" t="s">
        <v>153</v>
      </c>
      <c r="EJ78" t="s">
        <v>153</v>
      </c>
      <c r="EK78" t="s">
        <v>153</v>
      </c>
      <c r="EM78" t="s">
        <v>153</v>
      </c>
      <c r="EN78" t="s">
        <v>153</v>
      </c>
      <c r="EP78" s="4" t="s">
        <v>153</v>
      </c>
      <c r="EQ78" s="4" t="s">
        <v>153</v>
      </c>
      <c r="ER78" s="4" t="s">
        <v>191</v>
      </c>
      <c r="ES78" s="4" t="s">
        <v>153</v>
      </c>
      <c r="ET78" t="s">
        <v>1254</v>
      </c>
      <c r="EU78" t="s">
        <v>1182</v>
      </c>
      <c r="EV78" t="s">
        <v>560</v>
      </c>
      <c r="EW78">
        <v>1118417354</v>
      </c>
      <c r="EX78" t="s">
        <v>561</v>
      </c>
    </row>
    <row r="79" spans="1:154" x14ac:dyDescent="0.25">
      <c r="A79" s="3">
        <v>45113.232870370368</v>
      </c>
      <c r="B79" s="4" t="s">
        <v>1050</v>
      </c>
      <c r="C79" s="4" t="s">
        <v>502</v>
      </c>
      <c r="D79" s="4" t="s">
        <v>503</v>
      </c>
      <c r="E79" s="4" t="s">
        <v>504</v>
      </c>
      <c r="F79" s="4" t="s">
        <v>1255</v>
      </c>
      <c r="G79" s="4" t="s">
        <v>185</v>
      </c>
      <c r="H79" s="4" t="s">
        <v>506</v>
      </c>
      <c r="I79" s="4" t="s">
        <v>153</v>
      </c>
      <c r="J79" s="4" t="s">
        <v>153</v>
      </c>
      <c r="K79" s="5"/>
      <c r="L79" s="4" t="s">
        <v>153</v>
      </c>
      <c r="M79" s="4" t="s">
        <v>1256</v>
      </c>
      <c r="N79" s="4" t="s">
        <v>1257</v>
      </c>
      <c r="O79" s="4" t="s">
        <v>1258</v>
      </c>
      <c r="P79" s="4" t="s">
        <v>1259</v>
      </c>
      <c r="Q79" s="4" t="s">
        <v>190</v>
      </c>
      <c r="R79" s="4" t="s">
        <v>666</v>
      </c>
      <c r="S79" s="4" t="s">
        <v>153</v>
      </c>
      <c r="T79" s="4" t="s">
        <v>1260</v>
      </c>
      <c r="U79" s="4" t="s">
        <v>1261</v>
      </c>
      <c r="V79" s="4" t="s">
        <v>153</v>
      </c>
      <c r="W79" s="4" t="s">
        <v>588</v>
      </c>
      <c r="X79" s="4" t="s">
        <v>589</v>
      </c>
      <c r="Y79" s="4" t="s">
        <v>1262</v>
      </c>
      <c r="Z79" s="4" t="s">
        <v>197</v>
      </c>
      <c r="AA79" s="4" t="s">
        <v>1261</v>
      </c>
      <c r="AB79" s="4" t="s">
        <v>153</v>
      </c>
      <c r="AC79" s="4" t="s">
        <v>588</v>
      </c>
      <c r="AD79" s="4" t="s">
        <v>589</v>
      </c>
      <c r="AE79" s="4" t="s">
        <v>1262</v>
      </c>
      <c r="AF79" s="4" t="s">
        <v>1263</v>
      </c>
      <c r="AG79" s="4" t="s">
        <v>1264</v>
      </c>
      <c r="AH79" s="4" t="s">
        <v>1265</v>
      </c>
      <c r="AI79" s="5">
        <v>45214</v>
      </c>
      <c r="AJ79" t="s">
        <v>1266</v>
      </c>
      <c r="AK79" s="4"/>
      <c r="AL79" t="s">
        <v>153</v>
      </c>
      <c r="AM79" t="s">
        <v>153</v>
      </c>
      <c r="AO79" t="s">
        <v>153</v>
      </c>
      <c r="AP79" s="4"/>
      <c r="AQ79" t="s">
        <v>153</v>
      </c>
      <c r="AR79" s="5"/>
      <c r="AT79" s="4" t="s">
        <v>153</v>
      </c>
      <c r="AU79" s="4" t="s">
        <v>153</v>
      </c>
      <c r="AV79" s="4" t="s">
        <v>153</v>
      </c>
      <c r="AW79" t="s">
        <v>153</v>
      </c>
      <c r="AX79" t="s">
        <v>153</v>
      </c>
      <c r="AY79" t="s">
        <v>153</v>
      </c>
      <c r="AZ79" t="s">
        <v>153</v>
      </c>
      <c r="BA79" t="s">
        <v>153</v>
      </c>
      <c r="BB79" t="s">
        <v>153</v>
      </c>
      <c r="BC79" t="s">
        <v>153</v>
      </c>
      <c r="BD79" s="4" t="s">
        <v>153</v>
      </c>
      <c r="BE79" s="4" t="s">
        <v>153</v>
      </c>
      <c r="BF79" t="s">
        <v>153</v>
      </c>
      <c r="BG79" s="4" t="s">
        <v>153</v>
      </c>
      <c r="BH79" t="s">
        <v>153</v>
      </c>
      <c r="BI79" s="4" t="s">
        <v>153</v>
      </c>
      <c r="BJ79" t="s">
        <v>153</v>
      </c>
      <c r="BK79" s="4" t="s">
        <v>153</v>
      </c>
      <c r="BL79" t="s">
        <v>153</v>
      </c>
      <c r="BM79" t="s">
        <v>153</v>
      </c>
      <c r="BN79" s="4" t="s">
        <v>153</v>
      </c>
      <c r="BO79" s="4" t="s">
        <v>153</v>
      </c>
      <c r="BP79" s="4" t="s">
        <v>153</v>
      </c>
      <c r="BQ79" s="4" t="s">
        <v>153</v>
      </c>
      <c r="BR79" s="4" t="s">
        <v>153</v>
      </c>
      <c r="BS79" s="4" t="s">
        <v>153</v>
      </c>
      <c r="BT79" s="4" t="s">
        <v>153</v>
      </c>
      <c r="BU79" s="4" t="s">
        <v>153</v>
      </c>
      <c r="BV79" s="4"/>
      <c r="BW79" s="4" t="s">
        <v>153</v>
      </c>
      <c r="BX79" s="4" t="s">
        <v>153</v>
      </c>
      <c r="BY79" s="4" t="s">
        <v>153</v>
      </c>
      <c r="BZ79" s="4" t="s">
        <v>153</v>
      </c>
      <c r="CA79" s="4" t="s">
        <v>153</v>
      </c>
      <c r="CB79" s="4"/>
      <c r="CC79" s="4" t="s">
        <v>153</v>
      </c>
      <c r="CD79" t="s">
        <v>153</v>
      </c>
      <c r="CE79" s="4" t="s">
        <v>153</v>
      </c>
      <c r="CF79" s="4" t="s">
        <v>153</v>
      </c>
      <c r="CG79" s="4" t="s">
        <v>153</v>
      </c>
      <c r="CH79" s="5"/>
      <c r="CI79" t="s">
        <v>153</v>
      </c>
      <c r="CJ79" s="4"/>
      <c r="CK79" t="s">
        <v>153</v>
      </c>
      <c r="CL79" t="s">
        <v>153</v>
      </c>
      <c r="CM79" t="s">
        <v>153</v>
      </c>
      <c r="CN79" t="s">
        <v>153</v>
      </c>
      <c r="CO79" s="5"/>
      <c r="CP79" s="4" t="s">
        <v>153</v>
      </c>
      <c r="CQ79" s="4" t="s">
        <v>153</v>
      </c>
      <c r="CR79" t="s">
        <v>153</v>
      </c>
      <c r="CS79" t="s">
        <v>153</v>
      </c>
      <c r="CT79" t="s">
        <v>153</v>
      </c>
      <c r="CU79" t="s">
        <v>153</v>
      </c>
      <c r="CV79" t="s">
        <v>153</v>
      </c>
      <c r="CW79" t="s">
        <v>153</v>
      </c>
      <c r="CX79" t="s">
        <v>153</v>
      </c>
      <c r="CY79" t="s">
        <v>153</v>
      </c>
      <c r="CZ79" t="s">
        <v>153</v>
      </c>
      <c r="DA79" t="s">
        <v>153</v>
      </c>
      <c r="DB79" t="s">
        <v>153</v>
      </c>
      <c r="DC79" t="s">
        <v>153</v>
      </c>
      <c r="DD79" t="s">
        <v>153</v>
      </c>
      <c r="DE79" t="s">
        <v>153</v>
      </c>
      <c r="DF79" t="s">
        <v>153</v>
      </c>
      <c r="DG79" t="s">
        <v>153</v>
      </c>
      <c r="DI79" t="s">
        <v>153</v>
      </c>
      <c r="DJ79" t="s">
        <v>153</v>
      </c>
      <c r="DK79" t="s">
        <v>153</v>
      </c>
      <c r="DL79" t="s">
        <v>153</v>
      </c>
      <c r="DN79" t="s">
        <v>153</v>
      </c>
      <c r="DO79" t="s">
        <v>153</v>
      </c>
      <c r="DP79" t="s">
        <v>153</v>
      </c>
      <c r="DQ79" t="s">
        <v>153</v>
      </c>
      <c r="DR79" t="s">
        <v>153</v>
      </c>
      <c r="DS79" t="s">
        <v>153</v>
      </c>
      <c r="DT79" t="s">
        <v>153</v>
      </c>
      <c r="DU79" t="s">
        <v>153</v>
      </c>
      <c r="DV79" t="s">
        <v>153</v>
      </c>
      <c r="DW79" t="s">
        <v>153</v>
      </c>
      <c r="DX79" s="2"/>
      <c r="DY79" t="s">
        <v>153</v>
      </c>
      <c r="DZ79" t="s">
        <v>153</v>
      </c>
      <c r="EA79" t="s">
        <v>153</v>
      </c>
      <c r="EB79" t="s">
        <v>153</v>
      </c>
      <c r="EC79" t="s">
        <v>153</v>
      </c>
      <c r="ED79" t="s">
        <v>153</v>
      </c>
      <c r="EE79" t="s">
        <v>153</v>
      </c>
      <c r="EF79" t="s">
        <v>153</v>
      </c>
      <c r="EH79" t="s">
        <v>153</v>
      </c>
      <c r="EI79" t="s">
        <v>153</v>
      </c>
      <c r="EJ79" t="s">
        <v>153</v>
      </c>
      <c r="EK79" t="s">
        <v>153</v>
      </c>
      <c r="EM79" t="s">
        <v>153</v>
      </c>
      <c r="EN79" t="s">
        <v>153</v>
      </c>
      <c r="EP79" s="4" t="s">
        <v>153</v>
      </c>
      <c r="EQ79" s="4" t="s">
        <v>153</v>
      </c>
      <c r="ER79" s="4" t="s">
        <v>243</v>
      </c>
      <c r="ES79" s="4" t="s">
        <v>205</v>
      </c>
      <c r="ET79" t="s">
        <v>1267</v>
      </c>
      <c r="EU79" t="s">
        <v>1182</v>
      </c>
      <c r="EV79" t="s">
        <v>1199</v>
      </c>
      <c r="EW79">
        <v>1118579424</v>
      </c>
      <c r="EX79" t="s">
        <v>1200</v>
      </c>
    </row>
    <row r="80" spans="1:154" x14ac:dyDescent="0.25">
      <c r="A80" s="3">
        <v>45113.240335648145</v>
      </c>
      <c r="B80" s="4" t="s">
        <v>1050</v>
      </c>
      <c r="C80" s="4" t="s">
        <v>502</v>
      </c>
      <c r="D80" s="4" t="s">
        <v>503</v>
      </c>
      <c r="E80" s="4" t="s">
        <v>504</v>
      </c>
      <c r="F80" s="4" t="s">
        <v>505</v>
      </c>
      <c r="G80" s="4" t="s">
        <v>185</v>
      </c>
      <c r="H80" s="4" t="s">
        <v>468</v>
      </c>
      <c r="I80" s="4" t="s">
        <v>153</v>
      </c>
      <c r="J80" s="4" t="s">
        <v>153</v>
      </c>
      <c r="K80" s="5"/>
      <c r="L80" s="4" t="s">
        <v>153</v>
      </c>
      <c r="M80" s="4" t="s">
        <v>1268</v>
      </c>
      <c r="N80" s="4" t="s">
        <v>1269</v>
      </c>
      <c r="O80" s="4" t="s">
        <v>1270</v>
      </c>
      <c r="P80" s="4" t="s">
        <v>1271</v>
      </c>
      <c r="Q80" s="4" t="s">
        <v>294</v>
      </c>
      <c r="R80" s="4" t="s">
        <v>191</v>
      </c>
      <c r="S80" s="4" t="s">
        <v>1218</v>
      </c>
      <c r="T80" s="4" t="s">
        <v>153</v>
      </c>
      <c r="U80" s="4" t="s">
        <v>1272</v>
      </c>
      <c r="V80" s="4" t="s">
        <v>153</v>
      </c>
      <c r="W80" s="4" t="s">
        <v>1273</v>
      </c>
      <c r="X80" s="4" t="s">
        <v>476</v>
      </c>
      <c r="Y80" s="4" t="s">
        <v>1274</v>
      </c>
      <c r="Z80" s="4" t="s">
        <v>1275</v>
      </c>
      <c r="AA80" s="4" t="s">
        <v>1276</v>
      </c>
      <c r="AB80" s="4" t="s">
        <v>153</v>
      </c>
      <c r="AC80" s="4" t="s">
        <v>1273</v>
      </c>
      <c r="AD80" s="4" t="s">
        <v>476</v>
      </c>
      <c r="AE80" s="4" t="s">
        <v>1274</v>
      </c>
      <c r="AF80" s="4" t="s">
        <v>1277</v>
      </c>
      <c r="AG80" s="4" t="s">
        <v>1278</v>
      </c>
      <c r="AH80" s="4" t="s">
        <v>1279</v>
      </c>
      <c r="AI80" s="5">
        <v>45095</v>
      </c>
      <c r="AJ80" t="s">
        <v>1280</v>
      </c>
      <c r="AK80" s="4">
        <v>10</v>
      </c>
      <c r="AL80" t="s">
        <v>153</v>
      </c>
      <c r="AM80" t="s">
        <v>153</v>
      </c>
      <c r="AO80" t="s">
        <v>153</v>
      </c>
      <c r="AP80" s="4"/>
      <c r="AQ80" t="s">
        <v>153</v>
      </c>
      <c r="AR80" s="5"/>
      <c r="AT80" s="4" t="s">
        <v>153</v>
      </c>
      <c r="AU80" s="4" t="s">
        <v>153</v>
      </c>
      <c r="AV80" s="4" t="s">
        <v>153</v>
      </c>
      <c r="AW80" t="s">
        <v>153</v>
      </c>
      <c r="AX80" t="s">
        <v>153</v>
      </c>
      <c r="AY80" t="s">
        <v>153</v>
      </c>
      <c r="AZ80" t="s">
        <v>153</v>
      </c>
      <c r="BA80" t="s">
        <v>153</v>
      </c>
      <c r="BB80" t="s">
        <v>153</v>
      </c>
      <c r="BC80" t="s">
        <v>153</v>
      </c>
      <c r="BD80" s="4" t="s">
        <v>153</v>
      </c>
      <c r="BE80" s="4" t="s">
        <v>153</v>
      </c>
      <c r="BF80" t="s">
        <v>153</v>
      </c>
      <c r="BG80" s="4" t="s">
        <v>153</v>
      </c>
      <c r="BH80" t="s">
        <v>153</v>
      </c>
      <c r="BI80" s="4" t="s">
        <v>153</v>
      </c>
      <c r="BJ80" t="s">
        <v>153</v>
      </c>
      <c r="BK80" s="4" t="s">
        <v>153</v>
      </c>
      <c r="BL80" t="s">
        <v>153</v>
      </c>
      <c r="BM80" t="s">
        <v>153</v>
      </c>
      <c r="BN80" s="4" t="s">
        <v>153</v>
      </c>
      <c r="BO80" s="4" t="s">
        <v>153</v>
      </c>
      <c r="BP80" s="4" t="s">
        <v>153</v>
      </c>
      <c r="BQ80" s="4" t="s">
        <v>153</v>
      </c>
      <c r="BR80" s="4" t="s">
        <v>153</v>
      </c>
      <c r="BS80" s="4" t="s">
        <v>153</v>
      </c>
      <c r="BT80" s="4" t="s">
        <v>153</v>
      </c>
      <c r="BU80" s="4" t="s">
        <v>153</v>
      </c>
      <c r="BV80" s="4"/>
      <c r="BW80" s="4" t="s">
        <v>153</v>
      </c>
      <c r="BX80" s="4" t="s">
        <v>153</v>
      </c>
      <c r="BY80" s="4" t="s">
        <v>153</v>
      </c>
      <c r="BZ80" s="4" t="s">
        <v>153</v>
      </c>
      <c r="CA80" s="4" t="s">
        <v>153</v>
      </c>
      <c r="CB80" s="4"/>
      <c r="CC80" s="4" t="s">
        <v>153</v>
      </c>
      <c r="CD80" t="s">
        <v>153</v>
      </c>
      <c r="CE80" s="4" t="s">
        <v>153</v>
      </c>
      <c r="CF80" s="4" t="s">
        <v>153</v>
      </c>
      <c r="CG80" s="4" t="s">
        <v>153</v>
      </c>
      <c r="CH80" s="5"/>
      <c r="CI80" t="s">
        <v>153</v>
      </c>
      <c r="CJ80" s="4"/>
      <c r="CK80" t="s">
        <v>153</v>
      </c>
      <c r="CL80" t="s">
        <v>153</v>
      </c>
      <c r="CM80" t="s">
        <v>153</v>
      </c>
      <c r="CN80" t="s">
        <v>153</v>
      </c>
      <c r="CO80" s="5"/>
      <c r="CP80" s="4" t="s">
        <v>153</v>
      </c>
      <c r="CQ80" s="4" t="s">
        <v>153</v>
      </c>
      <c r="CR80" t="s">
        <v>153</v>
      </c>
      <c r="CS80" t="s">
        <v>153</v>
      </c>
      <c r="CT80" t="s">
        <v>153</v>
      </c>
      <c r="CU80" t="s">
        <v>153</v>
      </c>
      <c r="CV80" t="s">
        <v>153</v>
      </c>
      <c r="CW80" t="s">
        <v>153</v>
      </c>
      <c r="CX80" t="s">
        <v>153</v>
      </c>
      <c r="CY80" t="s">
        <v>153</v>
      </c>
      <c r="CZ80" t="s">
        <v>153</v>
      </c>
      <c r="DA80" t="s">
        <v>153</v>
      </c>
      <c r="DB80" t="s">
        <v>153</v>
      </c>
      <c r="DC80" t="s">
        <v>153</v>
      </c>
      <c r="DD80" t="s">
        <v>153</v>
      </c>
      <c r="DE80" t="s">
        <v>153</v>
      </c>
      <c r="DF80" t="s">
        <v>153</v>
      </c>
      <c r="DG80" t="s">
        <v>153</v>
      </c>
      <c r="DI80" t="s">
        <v>153</v>
      </c>
      <c r="DJ80" t="s">
        <v>153</v>
      </c>
      <c r="DK80" t="s">
        <v>153</v>
      </c>
      <c r="DL80" t="s">
        <v>153</v>
      </c>
      <c r="DN80" t="s">
        <v>153</v>
      </c>
      <c r="DO80" t="s">
        <v>153</v>
      </c>
      <c r="DP80" t="s">
        <v>153</v>
      </c>
      <c r="DQ80" t="s">
        <v>153</v>
      </c>
      <c r="DR80" t="s">
        <v>153</v>
      </c>
      <c r="DS80" t="s">
        <v>153</v>
      </c>
      <c r="DT80" t="s">
        <v>153</v>
      </c>
      <c r="DU80" t="s">
        <v>153</v>
      </c>
      <c r="DV80" t="s">
        <v>153</v>
      </c>
      <c r="DW80" t="s">
        <v>153</v>
      </c>
      <c r="DX80" s="2"/>
      <c r="DY80" t="s">
        <v>153</v>
      </c>
      <c r="DZ80" t="s">
        <v>153</v>
      </c>
      <c r="EA80" t="s">
        <v>153</v>
      </c>
      <c r="EB80" t="s">
        <v>153</v>
      </c>
      <c r="EC80" t="s">
        <v>153</v>
      </c>
      <c r="ED80" t="s">
        <v>153</v>
      </c>
      <c r="EE80" t="s">
        <v>153</v>
      </c>
      <c r="EF80" t="s">
        <v>153</v>
      </c>
      <c r="EH80" t="s">
        <v>153</v>
      </c>
      <c r="EI80" t="s">
        <v>153</v>
      </c>
      <c r="EJ80" t="s">
        <v>153</v>
      </c>
      <c r="EK80" t="s">
        <v>153</v>
      </c>
      <c r="EM80" t="s">
        <v>153</v>
      </c>
      <c r="EN80" t="s">
        <v>153</v>
      </c>
      <c r="EP80" s="4" t="s">
        <v>242</v>
      </c>
      <c r="EQ80" s="4" t="s">
        <v>153</v>
      </c>
      <c r="ER80" s="4" t="s">
        <v>191</v>
      </c>
      <c r="ES80" s="4" t="s">
        <v>153</v>
      </c>
      <c r="ET80" t="s">
        <v>1281</v>
      </c>
      <c r="EU80" t="s">
        <v>1182</v>
      </c>
      <c r="EV80" t="s">
        <v>1199</v>
      </c>
      <c r="EW80">
        <v>1118580547</v>
      </c>
      <c r="EX80" t="s">
        <v>1200</v>
      </c>
    </row>
    <row r="81" spans="1:154" x14ac:dyDescent="0.25">
      <c r="A81" s="3">
        <v>45113.642407407409</v>
      </c>
      <c r="B81" s="4" t="s">
        <v>1050</v>
      </c>
      <c r="C81" s="4" t="s">
        <v>502</v>
      </c>
      <c r="D81" s="4" t="s">
        <v>503</v>
      </c>
      <c r="E81" s="4" t="s">
        <v>504</v>
      </c>
      <c r="F81" s="4" t="s">
        <v>505</v>
      </c>
      <c r="G81" s="4" t="s">
        <v>185</v>
      </c>
      <c r="H81" s="4" t="s">
        <v>468</v>
      </c>
      <c r="I81" s="4" t="s">
        <v>153</v>
      </c>
      <c r="J81" s="4" t="s">
        <v>153</v>
      </c>
      <c r="K81" s="5"/>
      <c r="L81" s="4" t="s">
        <v>153</v>
      </c>
      <c r="M81" s="4" t="s">
        <v>1282</v>
      </c>
      <c r="N81" s="4" t="s">
        <v>1283</v>
      </c>
      <c r="O81" s="4" t="s">
        <v>1284</v>
      </c>
      <c r="P81" s="4" t="s">
        <v>1285</v>
      </c>
      <c r="Q81" s="4" t="s">
        <v>190</v>
      </c>
      <c r="R81" s="4" t="s">
        <v>308</v>
      </c>
      <c r="S81" s="4" t="s">
        <v>153</v>
      </c>
      <c r="T81" s="4" t="s">
        <v>1286</v>
      </c>
      <c r="U81" s="4" t="s">
        <v>153</v>
      </c>
      <c r="V81" s="4" t="s">
        <v>153</v>
      </c>
      <c r="W81" s="4" t="s">
        <v>153</v>
      </c>
      <c r="X81" s="4" t="s">
        <v>153</v>
      </c>
      <c r="Y81" s="4" t="s">
        <v>153</v>
      </c>
      <c r="Z81" s="4" t="s">
        <v>237</v>
      </c>
      <c r="AA81" s="4" t="s">
        <v>1287</v>
      </c>
      <c r="AB81" s="4" t="s">
        <v>1288</v>
      </c>
      <c r="AC81" s="4" t="s">
        <v>1289</v>
      </c>
      <c r="AD81" s="4" t="s">
        <v>476</v>
      </c>
      <c r="AE81" s="4" t="s">
        <v>1290</v>
      </c>
      <c r="AF81" s="4" t="s">
        <v>1291</v>
      </c>
      <c r="AG81" s="4" t="s">
        <v>1292</v>
      </c>
      <c r="AH81" s="4" t="s">
        <v>1293</v>
      </c>
      <c r="AI81" s="5">
        <v>44801</v>
      </c>
      <c r="AJ81" t="s">
        <v>496</v>
      </c>
      <c r="AK81" s="4"/>
      <c r="AL81" t="s">
        <v>153</v>
      </c>
      <c r="AM81" t="s">
        <v>153</v>
      </c>
      <c r="AO81" t="s">
        <v>153</v>
      </c>
      <c r="AP81" s="4"/>
      <c r="AQ81" t="s">
        <v>153</v>
      </c>
      <c r="AR81" s="5"/>
      <c r="AT81" s="4" t="s">
        <v>153</v>
      </c>
      <c r="AU81" s="4" t="s">
        <v>153</v>
      </c>
      <c r="AV81" s="4" t="s">
        <v>153</v>
      </c>
      <c r="AW81" t="s">
        <v>153</v>
      </c>
      <c r="AX81" t="s">
        <v>153</v>
      </c>
      <c r="AY81" t="s">
        <v>153</v>
      </c>
      <c r="AZ81" t="s">
        <v>153</v>
      </c>
      <c r="BA81" t="s">
        <v>153</v>
      </c>
      <c r="BB81" t="s">
        <v>153</v>
      </c>
      <c r="BC81" t="s">
        <v>153</v>
      </c>
      <c r="BD81" s="4" t="s">
        <v>153</v>
      </c>
      <c r="BE81" s="4" t="s">
        <v>153</v>
      </c>
      <c r="BF81" t="s">
        <v>153</v>
      </c>
      <c r="BG81" s="4" t="s">
        <v>153</v>
      </c>
      <c r="BH81" t="s">
        <v>153</v>
      </c>
      <c r="BI81" s="4" t="s">
        <v>153</v>
      </c>
      <c r="BJ81" t="s">
        <v>153</v>
      </c>
      <c r="BK81" s="4" t="s">
        <v>153</v>
      </c>
      <c r="BL81" t="s">
        <v>153</v>
      </c>
      <c r="BM81" t="s">
        <v>153</v>
      </c>
      <c r="BN81" s="4" t="s">
        <v>153</v>
      </c>
      <c r="BO81" s="4" t="s">
        <v>153</v>
      </c>
      <c r="BP81" s="4" t="s">
        <v>153</v>
      </c>
      <c r="BQ81" s="4" t="s">
        <v>153</v>
      </c>
      <c r="BR81" s="4" t="s">
        <v>153</v>
      </c>
      <c r="BS81" s="4" t="s">
        <v>153</v>
      </c>
      <c r="BT81" s="4" t="s">
        <v>153</v>
      </c>
      <c r="BU81" s="4" t="s">
        <v>153</v>
      </c>
      <c r="BV81" s="4"/>
      <c r="BW81" s="4" t="s">
        <v>153</v>
      </c>
      <c r="BX81" s="4" t="s">
        <v>153</v>
      </c>
      <c r="BY81" s="4" t="s">
        <v>153</v>
      </c>
      <c r="BZ81" s="4" t="s">
        <v>153</v>
      </c>
      <c r="CA81" s="4" t="s">
        <v>153</v>
      </c>
      <c r="CB81" s="4"/>
      <c r="CC81" s="4" t="s">
        <v>153</v>
      </c>
      <c r="CD81" t="s">
        <v>153</v>
      </c>
      <c r="CE81" s="4" t="s">
        <v>153</v>
      </c>
      <c r="CF81" s="4" t="s">
        <v>153</v>
      </c>
      <c r="CG81" s="4" t="s">
        <v>153</v>
      </c>
      <c r="CH81" s="5"/>
      <c r="CI81" t="s">
        <v>153</v>
      </c>
      <c r="CJ81" s="4"/>
      <c r="CK81" t="s">
        <v>153</v>
      </c>
      <c r="CL81" t="s">
        <v>153</v>
      </c>
      <c r="CM81" t="s">
        <v>153</v>
      </c>
      <c r="CN81" t="s">
        <v>153</v>
      </c>
      <c r="CO81" s="5"/>
      <c r="CP81" s="4" t="s">
        <v>153</v>
      </c>
      <c r="CQ81" s="4" t="s">
        <v>153</v>
      </c>
      <c r="CR81" t="s">
        <v>153</v>
      </c>
      <c r="CS81" t="s">
        <v>153</v>
      </c>
      <c r="CT81" t="s">
        <v>153</v>
      </c>
      <c r="CU81" t="s">
        <v>153</v>
      </c>
      <c r="CV81" t="s">
        <v>153</v>
      </c>
      <c r="CW81" t="s">
        <v>153</v>
      </c>
      <c r="CX81" t="s">
        <v>153</v>
      </c>
      <c r="CY81" t="s">
        <v>153</v>
      </c>
      <c r="CZ81" t="s">
        <v>153</v>
      </c>
      <c r="DA81" t="s">
        <v>153</v>
      </c>
      <c r="DB81" t="s">
        <v>153</v>
      </c>
      <c r="DC81" t="s">
        <v>153</v>
      </c>
      <c r="DD81" t="s">
        <v>153</v>
      </c>
      <c r="DE81" t="s">
        <v>153</v>
      </c>
      <c r="DF81" t="s">
        <v>153</v>
      </c>
      <c r="DG81" t="s">
        <v>153</v>
      </c>
      <c r="DI81" t="s">
        <v>153</v>
      </c>
      <c r="DJ81" t="s">
        <v>153</v>
      </c>
      <c r="DK81" t="s">
        <v>153</v>
      </c>
      <c r="DL81" t="s">
        <v>153</v>
      </c>
      <c r="DN81" t="s">
        <v>153</v>
      </c>
      <c r="DO81" t="s">
        <v>153</v>
      </c>
      <c r="DP81" t="s">
        <v>153</v>
      </c>
      <c r="DQ81" t="s">
        <v>153</v>
      </c>
      <c r="DR81" t="s">
        <v>153</v>
      </c>
      <c r="DS81" t="s">
        <v>153</v>
      </c>
      <c r="DT81" t="s">
        <v>153</v>
      </c>
      <c r="DU81" t="s">
        <v>153</v>
      </c>
      <c r="DV81" t="s">
        <v>153</v>
      </c>
      <c r="DW81" t="s">
        <v>153</v>
      </c>
      <c r="DX81" s="2"/>
      <c r="DY81" t="s">
        <v>153</v>
      </c>
      <c r="DZ81" t="s">
        <v>153</v>
      </c>
      <c r="EA81" t="s">
        <v>153</v>
      </c>
      <c r="EB81" t="s">
        <v>153</v>
      </c>
      <c r="EC81" t="s">
        <v>153</v>
      </c>
      <c r="ED81" t="s">
        <v>153</v>
      </c>
      <c r="EE81" t="s">
        <v>153</v>
      </c>
      <c r="EF81" t="s">
        <v>153</v>
      </c>
      <c r="EH81" t="s">
        <v>153</v>
      </c>
      <c r="EI81" t="s">
        <v>153</v>
      </c>
      <c r="EJ81" t="s">
        <v>153</v>
      </c>
      <c r="EK81" t="s">
        <v>153</v>
      </c>
      <c r="EM81" t="s">
        <v>153</v>
      </c>
      <c r="EN81" t="s">
        <v>153</v>
      </c>
      <c r="EP81" s="4" t="s">
        <v>153</v>
      </c>
      <c r="EQ81" s="4" t="s">
        <v>153</v>
      </c>
      <c r="ER81" s="4" t="s">
        <v>176</v>
      </c>
      <c r="ES81" s="4" t="s">
        <v>153</v>
      </c>
      <c r="ET81" t="s">
        <v>1294</v>
      </c>
      <c r="EU81" t="s">
        <v>1182</v>
      </c>
      <c r="EV81" t="s">
        <v>519</v>
      </c>
      <c r="EW81">
        <v>1118756836</v>
      </c>
      <c r="EX81" t="s">
        <v>1214</v>
      </c>
    </row>
    <row r="82" spans="1:154" x14ac:dyDescent="0.25">
      <c r="A82" s="3">
        <v>45141.582812499997</v>
      </c>
      <c r="B82" s="4" t="s">
        <v>1050</v>
      </c>
      <c r="C82" s="4" t="s">
        <v>549</v>
      </c>
      <c r="D82" s="4" t="s">
        <v>550</v>
      </c>
      <c r="E82" s="4" t="s">
        <v>551</v>
      </c>
      <c r="F82" s="4" t="s">
        <v>552</v>
      </c>
      <c r="G82" s="4" t="s">
        <v>185</v>
      </c>
      <c r="H82" s="4" t="s">
        <v>553</v>
      </c>
      <c r="I82" s="4" t="s">
        <v>153</v>
      </c>
      <c r="J82" s="4" t="s">
        <v>153</v>
      </c>
      <c r="K82" s="5"/>
      <c r="L82" s="4" t="s">
        <v>153</v>
      </c>
      <c r="M82" s="4" t="s">
        <v>1295</v>
      </c>
      <c r="N82" s="4" t="s">
        <v>1296</v>
      </c>
      <c r="O82" s="4" t="s">
        <v>1297</v>
      </c>
      <c r="P82" s="4" t="s">
        <v>1298</v>
      </c>
      <c r="Q82" s="4" t="s">
        <v>294</v>
      </c>
      <c r="R82" s="4" t="s">
        <v>666</v>
      </c>
      <c r="S82" s="4" t="s">
        <v>153</v>
      </c>
      <c r="T82" s="4" t="s">
        <v>1299</v>
      </c>
      <c r="U82" s="4" t="s">
        <v>1300</v>
      </c>
      <c r="V82" s="4" t="s">
        <v>153</v>
      </c>
      <c r="W82" s="4" t="s">
        <v>1301</v>
      </c>
      <c r="X82" s="4" t="s">
        <v>1302</v>
      </c>
      <c r="Y82" s="4" t="s">
        <v>1303</v>
      </c>
      <c r="Z82" s="4" t="s">
        <v>1304</v>
      </c>
      <c r="AA82" s="4" t="s">
        <v>1305</v>
      </c>
      <c r="AB82" s="4" t="s">
        <v>153</v>
      </c>
      <c r="AC82" s="4" t="s">
        <v>1301</v>
      </c>
      <c r="AD82" s="4" t="s">
        <v>1302</v>
      </c>
      <c r="AE82" s="4" t="s">
        <v>1303</v>
      </c>
      <c r="AF82" s="4" t="s">
        <v>1306</v>
      </c>
      <c r="AG82" s="4" t="s">
        <v>1307</v>
      </c>
      <c r="AH82" s="4" t="s">
        <v>153</v>
      </c>
      <c r="AI82" s="5">
        <v>45109</v>
      </c>
      <c r="AJ82" t="s">
        <v>153</v>
      </c>
      <c r="AK82" s="4">
        <v>15</v>
      </c>
      <c r="AL82" t="s">
        <v>153</v>
      </c>
      <c r="AM82" t="s">
        <v>153</v>
      </c>
      <c r="AO82" t="s">
        <v>153</v>
      </c>
      <c r="AP82" s="4"/>
      <c r="AQ82" t="s">
        <v>153</v>
      </c>
      <c r="AR82" s="5"/>
      <c r="AT82" s="4" t="s">
        <v>153</v>
      </c>
      <c r="AU82" s="4" t="s">
        <v>153</v>
      </c>
      <c r="AV82" s="4" t="s">
        <v>153</v>
      </c>
      <c r="AW82" t="s">
        <v>153</v>
      </c>
      <c r="AX82" t="s">
        <v>153</v>
      </c>
      <c r="AY82" t="s">
        <v>153</v>
      </c>
      <c r="AZ82" t="s">
        <v>153</v>
      </c>
      <c r="BA82" t="s">
        <v>153</v>
      </c>
      <c r="BB82" t="s">
        <v>153</v>
      </c>
      <c r="BC82" t="s">
        <v>153</v>
      </c>
      <c r="BD82" s="4" t="s">
        <v>153</v>
      </c>
      <c r="BE82" s="4" t="s">
        <v>153</v>
      </c>
      <c r="BF82" t="s">
        <v>153</v>
      </c>
      <c r="BG82" s="4" t="s">
        <v>153</v>
      </c>
      <c r="BH82" t="s">
        <v>153</v>
      </c>
      <c r="BI82" s="4" t="s">
        <v>153</v>
      </c>
      <c r="BJ82" t="s">
        <v>153</v>
      </c>
      <c r="BK82" s="4" t="s">
        <v>153</v>
      </c>
      <c r="BL82" t="s">
        <v>153</v>
      </c>
      <c r="BM82" t="s">
        <v>153</v>
      </c>
      <c r="BN82" s="4" t="s">
        <v>153</v>
      </c>
      <c r="BO82" s="4" t="s">
        <v>153</v>
      </c>
      <c r="BP82" s="4" t="s">
        <v>153</v>
      </c>
      <c r="BQ82" s="4" t="s">
        <v>153</v>
      </c>
      <c r="BR82" s="4" t="s">
        <v>153</v>
      </c>
      <c r="BS82" s="4" t="s">
        <v>153</v>
      </c>
      <c r="BT82" s="4" t="s">
        <v>153</v>
      </c>
      <c r="BU82" s="4" t="s">
        <v>153</v>
      </c>
      <c r="BV82" s="4"/>
      <c r="BW82" s="4" t="s">
        <v>153</v>
      </c>
      <c r="BX82" s="4" t="s">
        <v>153</v>
      </c>
      <c r="BY82" s="4" t="s">
        <v>153</v>
      </c>
      <c r="BZ82" s="4" t="s">
        <v>153</v>
      </c>
      <c r="CA82" s="4" t="s">
        <v>153</v>
      </c>
      <c r="CB82" s="4"/>
      <c r="CC82" s="4" t="s">
        <v>153</v>
      </c>
      <c r="CD82" t="s">
        <v>153</v>
      </c>
      <c r="CE82" s="4" t="s">
        <v>153</v>
      </c>
      <c r="CF82" s="4" t="s">
        <v>153</v>
      </c>
      <c r="CG82" s="4" t="s">
        <v>153</v>
      </c>
      <c r="CH82" s="5"/>
      <c r="CI82" t="s">
        <v>153</v>
      </c>
      <c r="CJ82" s="4"/>
      <c r="CK82" t="s">
        <v>153</v>
      </c>
      <c r="CL82" t="s">
        <v>153</v>
      </c>
      <c r="CM82" t="s">
        <v>153</v>
      </c>
      <c r="CN82" t="s">
        <v>153</v>
      </c>
      <c r="CO82" s="5"/>
      <c r="CP82" s="4" t="s">
        <v>153</v>
      </c>
      <c r="CQ82" s="4" t="s">
        <v>153</v>
      </c>
      <c r="CR82" t="s">
        <v>153</v>
      </c>
      <c r="CS82" t="s">
        <v>153</v>
      </c>
      <c r="CT82" t="s">
        <v>153</v>
      </c>
      <c r="CU82" t="s">
        <v>153</v>
      </c>
      <c r="CV82" t="s">
        <v>153</v>
      </c>
      <c r="CW82" t="s">
        <v>153</v>
      </c>
      <c r="CX82" t="s">
        <v>153</v>
      </c>
      <c r="CY82" t="s">
        <v>153</v>
      </c>
      <c r="CZ82" t="s">
        <v>153</v>
      </c>
      <c r="DA82" t="s">
        <v>153</v>
      </c>
      <c r="DB82" t="s">
        <v>153</v>
      </c>
      <c r="DC82" t="s">
        <v>153</v>
      </c>
      <c r="DD82" t="s">
        <v>153</v>
      </c>
      <c r="DE82" t="s">
        <v>153</v>
      </c>
      <c r="DF82" t="s">
        <v>153</v>
      </c>
      <c r="DG82" t="s">
        <v>153</v>
      </c>
      <c r="DI82" t="s">
        <v>153</v>
      </c>
      <c r="DJ82" t="s">
        <v>153</v>
      </c>
      <c r="DK82" t="s">
        <v>153</v>
      </c>
      <c r="DL82" t="s">
        <v>153</v>
      </c>
      <c r="DN82" t="s">
        <v>153</v>
      </c>
      <c r="DO82" t="s">
        <v>153</v>
      </c>
      <c r="DP82" t="s">
        <v>153</v>
      </c>
      <c r="DQ82" t="s">
        <v>153</v>
      </c>
      <c r="DR82" t="s">
        <v>153</v>
      </c>
      <c r="DS82" t="s">
        <v>153</v>
      </c>
      <c r="DT82" t="s">
        <v>153</v>
      </c>
      <c r="DU82" t="s">
        <v>153</v>
      </c>
      <c r="DV82" t="s">
        <v>153</v>
      </c>
      <c r="DW82" t="s">
        <v>153</v>
      </c>
      <c r="DX82" s="2"/>
      <c r="DY82" t="s">
        <v>153</v>
      </c>
      <c r="DZ82" t="s">
        <v>153</v>
      </c>
      <c r="EA82" t="s">
        <v>153</v>
      </c>
      <c r="EB82" t="s">
        <v>153</v>
      </c>
      <c r="EC82" t="s">
        <v>153</v>
      </c>
      <c r="ED82" t="s">
        <v>153</v>
      </c>
      <c r="EE82" t="s">
        <v>153</v>
      </c>
      <c r="EF82" t="s">
        <v>153</v>
      </c>
      <c r="EH82" t="s">
        <v>153</v>
      </c>
      <c r="EI82" t="s">
        <v>153</v>
      </c>
      <c r="EJ82" t="s">
        <v>153</v>
      </c>
      <c r="EK82" t="s">
        <v>153</v>
      </c>
      <c r="EM82" t="s">
        <v>153</v>
      </c>
      <c r="EN82" t="s">
        <v>153</v>
      </c>
      <c r="EP82" s="4" t="s">
        <v>153</v>
      </c>
      <c r="EQ82" s="4" t="s">
        <v>153</v>
      </c>
      <c r="ER82" s="4" t="s">
        <v>191</v>
      </c>
      <c r="ES82" s="4" t="s">
        <v>153</v>
      </c>
      <c r="ET82" t="s">
        <v>1308</v>
      </c>
      <c r="EU82" t="s">
        <v>1309</v>
      </c>
      <c r="EV82" t="s">
        <v>560</v>
      </c>
      <c r="EW82">
        <v>1127619413</v>
      </c>
      <c r="EX82" t="s">
        <v>561</v>
      </c>
    </row>
    <row r="83" spans="1:154" x14ac:dyDescent="0.25">
      <c r="A83" s="3">
        <v>45146.656539351854</v>
      </c>
      <c r="B83" s="4" t="s">
        <v>1050</v>
      </c>
      <c r="C83" s="4" t="s">
        <v>1310</v>
      </c>
      <c r="D83" s="4" t="s">
        <v>1116</v>
      </c>
      <c r="E83" s="4" t="s">
        <v>1117</v>
      </c>
      <c r="F83" s="4" t="s">
        <v>1118</v>
      </c>
      <c r="G83" s="4" t="s">
        <v>948</v>
      </c>
      <c r="H83" s="4" t="s">
        <v>1119</v>
      </c>
      <c r="I83" s="4" t="s">
        <v>153</v>
      </c>
      <c r="J83" s="4" t="s">
        <v>1311</v>
      </c>
      <c r="K83" s="5">
        <v>45078</v>
      </c>
      <c r="L83" s="4" t="s">
        <v>1312</v>
      </c>
      <c r="M83" s="4" t="s">
        <v>1313</v>
      </c>
      <c r="N83" s="4" t="s">
        <v>153</v>
      </c>
      <c r="O83" s="4" t="s">
        <v>1314</v>
      </c>
      <c r="P83" s="4" t="s">
        <v>731</v>
      </c>
      <c r="Q83" s="4" t="s">
        <v>153</v>
      </c>
      <c r="R83" s="4" t="s">
        <v>191</v>
      </c>
      <c r="S83" s="4" t="s">
        <v>1315</v>
      </c>
      <c r="T83" s="4" t="s">
        <v>1316</v>
      </c>
      <c r="U83" s="4" t="s">
        <v>1317</v>
      </c>
      <c r="V83" s="4" t="s">
        <v>153</v>
      </c>
      <c r="W83" s="4" t="s">
        <v>1318</v>
      </c>
      <c r="X83" s="4" t="s">
        <v>331</v>
      </c>
      <c r="Y83" s="4" t="s">
        <v>1319</v>
      </c>
      <c r="Z83" s="4" t="s">
        <v>237</v>
      </c>
      <c r="AA83" s="4" t="s">
        <v>1317</v>
      </c>
      <c r="AB83" s="4" t="s">
        <v>153</v>
      </c>
      <c r="AC83" s="4" t="s">
        <v>1318</v>
      </c>
      <c r="AD83" s="4" t="s">
        <v>331</v>
      </c>
      <c r="AE83" s="4" t="s">
        <v>1319</v>
      </c>
      <c r="AF83" s="4" t="s">
        <v>1320</v>
      </c>
      <c r="AG83" s="4" t="s">
        <v>1321</v>
      </c>
      <c r="AH83" s="4" t="s">
        <v>153</v>
      </c>
      <c r="AI83" s="5"/>
      <c r="AJ83" t="s">
        <v>1322</v>
      </c>
      <c r="AK83" s="4">
        <v>5</v>
      </c>
      <c r="AL83" t="s">
        <v>153</v>
      </c>
      <c r="AM83" t="s">
        <v>153</v>
      </c>
      <c r="AO83" t="s">
        <v>153</v>
      </c>
      <c r="AP83" s="4"/>
      <c r="AQ83" t="s">
        <v>153</v>
      </c>
      <c r="AR83" s="5"/>
      <c r="AT83" s="4" t="s">
        <v>153</v>
      </c>
      <c r="AU83" s="4" t="s">
        <v>153</v>
      </c>
      <c r="AV83" s="4" t="s">
        <v>153</v>
      </c>
      <c r="AW83" t="s">
        <v>153</v>
      </c>
      <c r="AX83" t="s">
        <v>153</v>
      </c>
      <c r="AY83" t="s">
        <v>153</v>
      </c>
      <c r="AZ83" t="s">
        <v>153</v>
      </c>
      <c r="BA83" t="s">
        <v>153</v>
      </c>
      <c r="BB83" t="s">
        <v>153</v>
      </c>
      <c r="BC83" t="s">
        <v>153</v>
      </c>
      <c r="BD83" s="4" t="s">
        <v>153</v>
      </c>
      <c r="BE83" s="4" t="s">
        <v>153</v>
      </c>
      <c r="BF83" t="s">
        <v>153</v>
      </c>
      <c r="BG83" s="4" t="s">
        <v>153</v>
      </c>
      <c r="BH83" t="s">
        <v>153</v>
      </c>
      <c r="BI83" s="4" t="s">
        <v>153</v>
      </c>
      <c r="BJ83" t="s">
        <v>153</v>
      </c>
      <c r="BK83" s="4" t="s">
        <v>153</v>
      </c>
      <c r="BL83" t="s">
        <v>153</v>
      </c>
      <c r="BM83" t="s">
        <v>153</v>
      </c>
      <c r="BN83" s="4" t="s">
        <v>153</v>
      </c>
      <c r="BO83" s="4" t="s">
        <v>153</v>
      </c>
      <c r="BP83" s="4" t="s">
        <v>153</v>
      </c>
      <c r="BQ83" s="4" t="s">
        <v>153</v>
      </c>
      <c r="BR83" s="4" t="s">
        <v>153</v>
      </c>
      <c r="BS83" s="4" t="s">
        <v>153</v>
      </c>
      <c r="BT83" s="4" t="s">
        <v>153</v>
      </c>
      <c r="BU83" s="4" t="s">
        <v>153</v>
      </c>
      <c r="BV83" s="4"/>
      <c r="BW83" s="4" t="s">
        <v>153</v>
      </c>
      <c r="BX83" s="4" t="s">
        <v>153</v>
      </c>
      <c r="BY83" s="4" t="s">
        <v>153</v>
      </c>
      <c r="BZ83" s="4" t="s">
        <v>153</v>
      </c>
      <c r="CA83" s="4" t="s">
        <v>153</v>
      </c>
      <c r="CB83" s="4"/>
      <c r="CC83" s="4" t="s">
        <v>153</v>
      </c>
      <c r="CD83" t="s">
        <v>153</v>
      </c>
      <c r="CE83" s="4" t="s">
        <v>153</v>
      </c>
      <c r="CF83" s="4" t="s">
        <v>153</v>
      </c>
      <c r="CG83" s="4" t="s">
        <v>153</v>
      </c>
      <c r="CH83" s="5"/>
      <c r="CI83" t="s">
        <v>153</v>
      </c>
      <c r="CJ83" s="4"/>
      <c r="CK83" t="s">
        <v>153</v>
      </c>
      <c r="CL83" t="s">
        <v>153</v>
      </c>
      <c r="CM83" t="s">
        <v>153</v>
      </c>
      <c r="CN83" t="s">
        <v>153</v>
      </c>
      <c r="CO83" s="5"/>
      <c r="CP83" s="4" t="s">
        <v>153</v>
      </c>
      <c r="CQ83" s="4" t="s">
        <v>153</v>
      </c>
      <c r="CR83" t="s">
        <v>153</v>
      </c>
      <c r="CS83" t="s">
        <v>153</v>
      </c>
      <c r="CT83" t="s">
        <v>153</v>
      </c>
      <c r="CU83" t="s">
        <v>153</v>
      </c>
      <c r="CV83" t="s">
        <v>153</v>
      </c>
      <c r="CW83" t="s">
        <v>153</v>
      </c>
      <c r="CX83" t="s">
        <v>153</v>
      </c>
      <c r="CY83" t="s">
        <v>153</v>
      </c>
      <c r="CZ83" t="s">
        <v>153</v>
      </c>
      <c r="DA83" t="s">
        <v>153</v>
      </c>
      <c r="DB83" t="s">
        <v>153</v>
      </c>
      <c r="DC83" t="s">
        <v>153</v>
      </c>
      <c r="DD83" t="s">
        <v>153</v>
      </c>
      <c r="DE83" t="s">
        <v>153</v>
      </c>
      <c r="DF83" t="s">
        <v>153</v>
      </c>
      <c r="DG83" t="s">
        <v>153</v>
      </c>
      <c r="DI83" t="s">
        <v>153</v>
      </c>
      <c r="DJ83" t="s">
        <v>153</v>
      </c>
      <c r="DK83" t="s">
        <v>153</v>
      </c>
      <c r="DL83" t="s">
        <v>153</v>
      </c>
      <c r="DN83" t="s">
        <v>153</v>
      </c>
      <c r="DO83" t="s">
        <v>153</v>
      </c>
      <c r="DP83" t="s">
        <v>153</v>
      </c>
      <c r="DQ83" t="s">
        <v>153</v>
      </c>
      <c r="DR83" t="s">
        <v>153</v>
      </c>
      <c r="DS83" t="s">
        <v>153</v>
      </c>
      <c r="DT83" t="s">
        <v>153</v>
      </c>
      <c r="DU83" t="s">
        <v>153</v>
      </c>
      <c r="DV83" t="s">
        <v>153</v>
      </c>
      <c r="DW83" t="s">
        <v>153</v>
      </c>
      <c r="DX83" s="2"/>
      <c r="DY83" t="s">
        <v>153</v>
      </c>
      <c r="DZ83" t="s">
        <v>153</v>
      </c>
      <c r="EA83" t="s">
        <v>153</v>
      </c>
      <c r="EB83" t="s">
        <v>153</v>
      </c>
      <c r="EC83" t="s">
        <v>153</v>
      </c>
      <c r="ED83" t="s">
        <v>153</v>
      </c>
      <c r="EE83" t="s">
        <v>153</v>
      </c>
      <c r="EF83" t="s">
        <v>153</v>
      </c>
      <c r="EH83" t="s">
        <v>153</v>
      </c>
      <c r="EI83" t="s">
        <v>153</v>
      </c>
      <c r="EJ83" t="s">
        <v>153</v>
      </c>
      <c r="EK83" t="s">
        <v>153</v>
      </c>
      <c r="EM83" t="s">
        <v>153</v>
      </c>
      <c r="EN83" t="s">
        <v>153</v>
      </c>
      <c r="EP83" s="4" t="s">
        <v>243</v>
      </c>
      <c r="EQ83" s="4" t="s">
        <v>244</v>
      </c>
      <c r="ER83" s="4" t="s">
        <v>191</v>
      </c>
      <c r="ES83" s="4" t="s">
        <v>153</v>
      </c>
      <c r="ET83" t="s">
        <v>153</v>
      </c>
      <c r="EU83" t="s">
        <v>1182</v>
      </c>
      <c r="EV83" t="s">
        <v>1323</v>
      </c>
      <c r="EW83">
        <v>1129392587</v>
      </c>
      <c r="EX83" t="s">
        <v>1324</v>
      </c>
    </row>
    <row r="84" spans="1:154" x14ac:dyDescent="0.25">
      <c r="A84" s="3">
        <v>45147.589618055557</v>
      </c>
      <c r="B84" s="4" t="s">
        <v>1050</v>
      </c>
      <c r="C84" s="4" t="s">
        <v>1310</v>
      </c>
      <c r="D84" s="4" t="s">
        <v>1116</v>
      </c>
      <c r="E84" s="4" t="s">
        <v>1117</v>
      </c>
      <c r="F84" s="4" t="s">
        <v>1118</v>
      </c>
      <c r="G84" s="4" t="s">
        <v>185</v>
      </c>
      <c r="H84" s="4" t="s">
        <v>1119</v>
      </c>
      <c r="I84" s="4" t="s">
        <v>153</v>
      </c>
      <c r="J84" s="4" t="s">
        <v>153</v>
      </c>
      <c r="K84" s="5"/>
      <c r="L84" s="4" t="s">
        <v>153</v>
      </c>
      <c r="M84" s="4" t="s">
        <v>1325</v>
      </c>
      <c r="N84" s="4" t="s">
        <v>153</v>
      </c>
      <c r="O84" s="4" t="s">
        <v>1326</v>
      </c>
      <c r="P84" s="4" t="s">
        <v>1327</v>
      </c>
      <c r="Q84" s="4" t="s">
        <v>190</v>
      </c>
      <c r="R84" s="4" t="s">
        <v>666</v>
      </c>
      <c r="S84" s="4" t="s">
        <v>153</v>
      </c>
      <c r="T84" s="4" t="s">
        <v>1123</v>
      </c>
      <c r="U84" s="4" t="s">
        <v>1328</v>
      </c>
      <c r="V84" s="4" t="s">
        <v>153</v>
      </c>
      <c r="W84" s="4" t="s">
        <v>1329</v>
      </c>
      <c r="X84" s="4" t="s">
        <v>331</v>
      </c>
      <c r="Y84" s="4" t="s">
        <v>1330</v>
      </c>
      <c r="Z84" s="4" t="s">
        <v>197</v>
      </c>
      <c r="AA84" s="4" t="s">
        <v>1331</v>
      </c>
      <c r="AB84" s="4" t="s">
        <v>153</v>
      </c>
      <c r="AC84" s="4" t="s">
        <v>1332</v>
      </c>
      <c r="AD84" s="4" t="s">
        <v>331</v>
      </c>
      <c r="AE84" s="4" t="s">
        <v>1333</v>
      </c>
      <c r="AF84" s="4" t="s">
        <v>1334</v>
      </c>
      <c r="AG84" s="4" t="s">
        <v>1335</v>
      </c>
      <c r="AH84" s="4" t="s">
        <v>153</v>
      </c>
      <c r="AI84" s="5">
        <v>45108</v>
      </c>
      <c r="AJ84" t="s">
        <v>1249</v>
      </c>
      <c r="AK84" s="4">
        <v>10</v>
      </c>
      <c r="AL84" t="s">
        <v>153</v>
      </c>
      <c r="AM84" t="s">
        <v>153</v>
      </c>
      <c r="AO84" t="s">
        <v>153</v>
      </c>
      <c r="AP84" s="4"/>
      <c r="AQ84" t="s">
        <v>153</v>
      </c>
      <c r="AR84" s="5"/>
      <c r="AT84" s="4" t="s">
        <v>153</v>
      </c>
      <c r="AU84" s="4" t="s">
        <v>153</v>
      </c>
      <c r="AV84" s="4" t="s">
        <v>153</v>
      </c>
      <c r="AW84" t="s">
        <v>153</v>
      </c>
      <c r="AX84" t="s">
        <v>153</v>
      </c>
      <c r="AY84" t="s">
        <v>153</v>
      </c>
      <c r="AZ84" t="s">
        <v>153</v>
      </c>
      <c r="BA84" t="s">
        <v>153</v>
      </c>
      <c r="BB84" t="s">
        <v>153</v>
      </c>
      <c r="BC84" t="s">
        <v>153</v>
      </c>
      <c r="BD84" s="4" t="s">
        <v>153</v>
      </c>
      <c r="BE84" s="4" t="s">
        <v>153</v>
      </c>
      <c r="BF84" t="s">
        <v>153</v>
      </c>
      <c r="BG84" s="4" t="s">
        <v>153</v>
      </c>
      <c r="BH84" t="s">
        <v>153</v>
      </c>
      <c r="BI84" s="4" t="s">
        <v>153</v>
      </c>
      <c r="BJ84" t="s">
        <v>153</v>
      </c>
      <c r="BK84" s="4" t="s">
        <v>153</v>
      </c>
      <c r="BL84" t="s">
        <v>153</v>
      </c>
      <c r="BM84" t="s">
        <v>153</v>
      </c>
      <c r="BN84" s="4" t="s">
        <v>153</v>
      </c>
      <c r="BO84" s="4" t="s">
        <v>153</v>
      </c>
      <c r="BP84" s="4" t="s">
        <v>153</v>
      </c>
      <c r="BQ84" s="4" t="s">
        <v>153</v>
      </c>
      <c r="BR84" s="4" t="s">
        <v>153</v>
      </c>
      <c r="BS84" s="4" t="s">
        <v>153</v>
      </c>
      <c r="BT84" s="4" t="s">
        <v>153</v>
      </c>
      <c r="BU84" s="4" t="s">
        <v>153</v>
      </c>
      <c r="BV84" s="4"/>
      <c r="BW84" s="4" t="s">
        <v>153</v>
      </c>
      <c r="BX84" s="4" t="s">
        <v>153</v>
      </c>
      <c r="BY84" s="4" t="s">
        <v>153</v>
      </c>
      <c r="BZ84" s="4" t="s">
        <v>153</v>
      </c>
      <c r="CA84" s="4" t="s">
        <v>153</v>
      </c>
      <c r="CB84" s="4"/>
      <c r="CC84" s="4" t="s">
        <v>153</v>
      </c>
      <c r="CD84" t="s">
        <v>153</v>
      </c>
      <c r="CE84" s="4" t="s">
        <v>153</v>
      </c>
      <c r="CF84" s="4" t="s">
        <v>153</v>
      </c>
      <c r="CG84" s="4" t="s">
        <v>153</v>
      </c>
      <c r="CH84" s="5"/>
      <c r="CI84" t="s">
        <v>153</v>
      </c>
      <c r="CJ84" s="4"/>
      <c r="CK84" t="s">
        <v>153</v>
      </c>
      <c r="CL84" t="s">
        <v>153</v>
      </c>
      <c r="CM84" t="s">
        <v>153</v>
      </c>
      <c r="CN84" t="s">
        <v>153</v>
      </c>
      <c r="CO84" s="5"/>
      <c r="CP84" s="4" t="s">
        <v>153</v>
      </c>
      <c r="CQ84" s="4" t="s">
        <v>153</v>
      </c>
      <c r="CR84" t="s">
        <v>153</v>
      </c>
      <c r="CS84" t="s">
        <v>153</v>
      </c>
      <c r="CT84" t="s">
        <v>153</v>
      </c>
      <c r="CU84" t="s">
        <v>153</v>
      </c>
      <c r="CV84" t="s">
        <v>153</v>
      </c>
      <c r="CW84" t="s">
        <v>153</v>
      </c>
      <c r="CX84" t="s">
        <v>153</v>
      </c>
      <c r="CY84" t="s">
        <v>153</v>
      </c>
      <c r="CZ84" t="s">
        <v>153</v>
      </c>
      <c r="DA84" t="s">
        <v>153</v>
      </c>
      <c r="DB84" t="s">
        <v>153</v>
      </c>
      <c r="DC84" t="s">
        <v>153</v>
      </c>
      <c r="DD84" t="s">
        <v>153</v>
      </c>
      <c r="DE84" t="s">
        <v>153</v>
      </c>
      <c r="DF84" t="s">
        <v>153</v>
      </c>
      <c r="DG84" t="s">
        <v>153</v>
      </c>
      <c r="DI84" t="s">
        <v>153</v>
      </c>
      <c r="DJ84" t="s">
        <v>153</v>
      </c>
      <c r="DK84" t="s">
        <v>153</v>
      </c>
      <c r="DL84" t="s">
        <v>153</v>
      </c>
      <c r="DN84" t="s">
        <v>153</v>
      </c>
      <c r="DO84" t="s">
        <v>153</v>
      </c>
      <c r="DP84" t="s">
        <v>153</v>
      </c>
      <c r="DQ84" t="s">
        <v>153</v>
      </c>
      <c r="DR84" t="s">
        <v>153</v>
      </c>
      <c r="DS84" t="s">
        <v>153</v>
      </c>
      <c r="DT84" t="s">
        <v>153</v>
      </c>
      <c r="DU84" t="s">
        <v>153</v>
      </c>
      <c r="DV84" t="s">
        <v>153</v>
      </c>
      <c r="DW84" t="s">
        <v>153</v>
      </c>
      <c r="DX84" s="2"/>
      <c r="DY84" t="s">
        <v>153</v>
      </c>
      <c r="DZ84" t="s">
        <v>153</v>
      </c>
      <c r="EA84" t="s">
        <v>153</v>
      </c>
      <c r="EB84" t="s">
        <v>153</v>
      </c>
      <c r="EC84" t="s">
        <v>153</v>
      </c>
      <c r="ED84" t="s">
        <v>153</v>
      </c>
      <c r="EE84" t="s">
        <v>153</v>
      </c>
      <c r="EF84" t="s">
        <v>153</v>
      </c>
      <c r="EH84" t="s">
        <v>153</v>
      </c>
      <c r="EI84" t="s">
        <v>153</v>
      </c>
      <c r="EJ84" t="s">
        <v>153</v>
      </c>
      <c r="EK84" t="s">
        <v>153</v>
      </c>
      <c r="EM84" t="s">
        <v>153</v>
      </c>
      <c r="EN84" t="s">
        <v>153</v>
      </c>
      <c r="EP84" s="4" t="s">
        <v>153</v>
      </c>
      <c r="EQ84" s="4" t="s">
        <v>153</v>
      </c>
      <c r="ER84" s="4" t="s">
        <v>243</v>
      </c>
      <c r="ES84" s="4" t="s">
        <v>244</v>
      </c>
      <c r="ET84" t="s">
        <v>153</v>
      </c>
      <c r="EU84" t="s">
        <v>1182</v>
      </c>
      <c r="EV84" t="s">
        <v>1323</v>
      </c>
      <c r="EW84">
        <v>1129740783</v>
      </c>
      <c r="EX84" t="s">
        <v>1324</v>
      </c>
    </row>
    <row r="85" spans="1:154" x14ac:dyDescent="0.25">
      <c r="A85" s="3">
        <v>45148.602685185186</v>
      </c>
      <c r="B85" s="4" t="s">
        <v>1050</v>
      </c>
      <c r="C85" s="4" t="s">
        <v>1336</v>
      </c>
      <c r="D85" s="4" t="s">
        <v>1337</v>
      </c>
      <c r="E85" s="4" t="s">
        <v>1338</v>
      </c>
      <c r="F85" s="4" t="s">
        <v>1339</v>
      </c>
      <c r="G85" s="4" t="s">
        <v>185</v>
      </c>
      <c r="H85" s="4" t="s">
        <v>1032</v>
      </c>
      <c r="I85" s="4" t="s">
        <v>153</v>
      </c>
      <c r="J85" s="4" t="s">
        <v>153</v>
      </c>
      <c r="K85" s="5"/>
      <c r="L85" s="4" t="s">
        <v>153</v>
      </c>
      <c r="M85" s="4" t="s">
        <v>1340</v>
      </c>
      <c r="N85" s="4" t="s">
        <v>1340</v>
      </c>
      <c r="O85" s="4" t="s">
        <v>1336</v>
      </c>
      <c r="P85" s="4" t="s">
        <v>1337</v>
      </c>
      <c r="Q85" s="4" t="s">
        <v>190</v>
      </c>
      <c r="R85" s="4" t="s">
        <v>191</v>
      </c>
      <c r="S85" s="4" t="s">
        <v>1341</v>
      </c>
      <c r="T85" s="4" t="s">
        <v>606</v>
      </c>
      <c r="U85" s="4" t="s">
        <v>1342</v>
      </c>
      <c r="V85" s="4" t="s">
        <v>1343</v>
      </c>
      <c r="W85" s="4" t="s">
        <v>1344</v>
      </c>
      <c r="X85" s="4" t="s">
        <v>167</v>
      </c>
      <c r="Y85" s="4" t="s">
        <v>1345</v>
      </c>
      <c r="Z85" s="4" t="s">
        <v>237</v>
      </c>
      <c r="AA85" s="4" t="s">
        <v>1346</v>
      </c>
      <c r="AB85" s="4" t="s">
        <v>153</v>
      </c>
      <c r="AC85" s="4" t="s">
        <v>1344</v>
      </c>
      <c r="AD85" s="4" t="s">
        <v>167</v>
      </c>
      <c r="AE85" s="4" t="s">
        <v>1347</v>
      </c>
      <c r="AF85" s="4" t="s">
        <v>1348</v>
      </c>
      <c r="AG85" s="4" t="s">
        <v>1349</v>
      </c>
      <c r="AH85" s="4" t="s">
        <v>1350</v>
      </c>
      <c r="AI85" s="5">
        <v>44953</v>
      </c>
      <c r="AJ85" t="s">
        <v>412</v>
      </c>
      <c r="AK85" s="4">
        <v>12</v>
      </c>
      <c r="AL85" t="s">
        <v>1351</v>
      </c>
      <c r="AM85" t="s">
        <v>153</v>
      </c>
      <c r="AO85" t="s">
        <v>153</v>
      </c>
      <c r="AP85" s="4"/>
      <c r="AQ85" t="s">
        <v>153</v>
      </c>
      <c r="AR85" s="5"/>
      <c r="AT85" s="4" t="s">
        <v>153</v>
      </c>
      <c r="AU85" s="4" t="s">
        <v>153</v>
      </c>
      <c r="AV85" s="4" t="s">
        <v>153</v>
      </c>
      <c r="AW85" t="s">
        <v>153</v>
      </c>
      <c r="AX85" t="s">
        <v>153</v>
      </c>
      <c r="AY85" t="s">
        <v>153</v>
      </c>
      <c r="AZ85" t="s">
        <v>153</v>
      </c>
      <c r="BA85" t="s">
        <v>153</v>
      </c>
      <c r="BB85" t="s">
        <v>153</v>
      </c>
      <c r="BC85" t="s">
        <v>153</v>
      </c>
      <c r="BD85" s="4" t="s">
        <v>153</v>
      </c>
      <c r="BE85" s="4" t="s">
        <v>153</v>
      </c>
      <c r="BF85" t="s">
        <v>153</v>
      </c>
      <c r="BG85" s="4" t="s">
        <v>153</v>
      </c>
      <c r="BH85" t="s">
        <v>153</v>
      </c>
      <c r="BI85" s="4" t="s">
        <v>153</v>
      </c>
      <c r="BJ85" t="s">
        <v>153</v>
      </c>
      <c r="BK85" s="4" t="s">
        <v>153</v>
      </c>
      <c r="BL85" t="s">
        <v>153</v>
      </c>
      <c r="BM85" t="s">
        <v>153</v>
      </c>
      <c r="BN85" s="4" t="s">
        <v>153</v>
      </c>
      <c r="BO85" s="4" t="s">
        <v>153</v>
      </c>
      <c r="BP85" s="4" t="s">
        <v>153</v>
      </c>
      <c r="BQ85" s="4" t="s">
        <v>153</v>
      </c>
      <c r="BR85" s="4" t="s">
        <v>153</v>
      </c>
      <c r="BS85" s="4" t="s">
        <v>153</v>
      </c>
      <c r="BT85" s="4" t="s">
        <v>153</v>
      </c>
      <c r="BU85" s="4" t="s">
        <v>153</v>
      </c>
      <c r="BV85" s="4"/>
      <c r="BW85" s="4" t="s">
        <v>153</v>
      </c>
      <c r="BX85" s="4" t="s">
        <v>153</v>
      </c>
      <c r="BY85" s="4" t="s">
        <v>153</v>
      </c>
      <c r="BZ85" s="4" t="s">
        <v>153</v>
      </c>
      <c r="CA85" s="4" t="s">
        <v>153</v>
      </c>
      <c r="CB85" s="4"/>
      <c r="CC85" s="4" t="s">
        <v>153</v>
      </c>
      <c r="CD85" t="s">
        <v>153</v>
      </c>
      <c r="CE85" s="4" t="s">
        <v>153</v>
      </c>
      <c r="CF85" s="4" t="s">
        <v>153</v>
      </c>
      <c r="CG85" s="4" t="s">
        <v>153</v>
      </c>
      <c r="CH85" s="5"/>
      <c r="CI85" t="s">
        <v>153</v>
      </c>
      <c r="CJ85" s="4"/>
      <c r="CK85" t="s">
        <v>153</v>
      </c>
      <c r="CL85" t="s">
        <v>153</v>
      </c>
      <c r="CM85" t="s">
        <v>153</v>
      </c>
      <c r="CN85" t="s">
        <v>153</v>
      </c>
      <c r="CO85" s="5"/>
      <c r="CP85" s="4" t="s">
        <v>153</v>
      </c>
      <c r="CQ85" s="4" t="s">
        <v>153</v>
      </c>
      <c r="CR85" t="s">
        <v>153</v>
      </c>
      <c r="CS85" t="s">
        <v>153</v>
      </c>
      <c r="CT85" t="s">
        <v>153</v>
      </c>
      <c r="CU85" t="s">
        <v>153</v>
      </c>
      <c r="CV85" t="s">
        <v>153</v>
      </c>
      <c r="CW85" t="s">
        <v>153</v>
      </c>
      <c r="CX85" t="s">
        <v>153</v>
      </c>
      <c r="CY85" t="s">
        <v>153</v>
      </c>
      <c r="CZ85" t="s">
        <v>153</v>
      </c>
      <c r="DA85" t="s">
        <v>153</v>
      </c>
      <c r="DB85" t="s">
        <v>153</v>
      </c>
      <c r="DC85" t="s">
        <v>153</v>
      </c>
      <c r="DD85" t="s">
        <v>153</v>
      </c>
      <c r="DE85" t="s">
        <v>153</v>
      </c>
      <c r="DF85" t="s">
        <v>153</v>
      </c>
      <c r="DG85" t="s">
        <v>153</v>
      </c>
      <c r="DI85" t="s">
        <v>153</v>
      </c>
      <c r="DJ85" t="s">
        <v>153</v>
      </c>
      <c r="DK85" t="s">
        <v>153</v>
      </c>
      <c r="DL85" t="s">
        <v>153</v>
      </c>
      <c r="DN85" t="s">
        <v>153</v>
      </c>
      <c r="DO85" t="s">
        <v>153</v>
      </c>
      <c r="DP85" t="s">
        <v>153</v>
      </c>
      <c r="DQ85" t="s">
        <v>153</v>
      </c>
      <c r="DR85" t="s">
        <v>153</v>
      </c>
      <c r="DS85" t="s">
        <v>153</v>
      </c>
      <c r="DT85" t="s">
        <v>153</v>
      </c>
      <c r="DU85" t="s">
        <v>153</v>
      </c>
      <c r="DV85" t="s">
        <v>153</v>
      </c>
      <c r="DW85" t="s">
        <v>153</v>
      </c>
      <c r="DX85" s="2"/>
      <c r="DY85" t="s">
        <v>153</v>
      </c>
      <c r="DZ85" t="s">
        <v>153</v>
      </c>
      <c r="EA85" t="s">
        <v>153</v>
      </c>
      <c r="EB85" t="s">
        <v>153</v>
      </c>
      <c r="EC85" t="s">
        <v>153</v>
      </c>
      <c r="ED85" t="s">
        <v>153</v>
      </c>
      <c r="EE85" t="s">
        <v>153</v>
      </c>
      <c r="EF85" t="s">
        <v>153</v>
      </c>
      <c r="EH85" t="s">
        <v>153</v>
      </c>
      <c r="EI85" t="s">
        <v>153</v>
      </c>
      <c r="EJ85" t="s">
        <v>153</v>
      </c>
      <c r="EK85" t="s">
        <v>153</v>
      </c>
      <c r="EM85" t="s">
        <v>153</v>
      </c>
      <c r="EN85" t="s">
        <v>153</v>
      </c>
      <c r="EP85" s="4" t="s">
        <v>243</v>
      </c>
      <c r="EQ85" s="4" t="s">
        <v>842</v>
      </c>
      <c r="ER85" s="4" t="s">
        <v>176</v>
      </c>
      <c r="ES85" s="4" t="s">
        <v>153</v>
      </c>
      <c r="ET85" t="s">
        <v>153</v>
      </c>
      <c r="EU85" t="s">
        <v>1352</v>
      </c>
      <c r="EV85" t="s">
        <v>1353</v>
      </c>
      <c r="EW85">
        <v>1130181115</v>
      </c>
      <c r="EX85" t="s">
        <v>1354</v>
      </c>
    </row>
    <row r="86" spans="1:154" x14ac:dyDescent="0.25">
      <c r="A86" s="3">
        <v>45153.554178240738</v>
      </c>
      <c r="B86" s="4" t="s">
        <v>1050</v>
      </c>
      <c r="C86" s="4" t="s">
        <v>1051</v>
      </c>
      <c r="D86" s="4" t="s">
        <v>1052</v>
      </c>
      <c r="E86" s="4" t="s">
        <v>1053</v>
      </c>
      <c r="F86" s="4" t="s">
        <v>1054</v>
      </c>
      <c r="G86" s="4" t="s">
        <v>252</v>
      </c>
      <c r="H86" s="4" t="s">
        <v>1055</v>
      </c>
      <c r="I86" s="4" t="s">
        <v>153</v>
      </c>
      <c r="J86" s="4" t="s">
        <v>1355</v>
      </c>
      <c r="K86" s="5"/>
      <c r="L86" s="4" t="s">
        <v>153</v>
      </c>
      <c r="M86" s="4" t="s">
        <v>153</v>
      </c>
      <c r="N86" s="4" t="s">
        <v>153</v>
      </c>
      <c r="O86" s="4" t="s">
        <v>153</v>
      </c>
      <c r="P86" s="4" t="s">
        <v>153</v>
      </c>
      <c r="Q86" s="4" t="s">
        <v>153</v>
      </c>
      <c r="R86" s="4" t="s">
        <v>153</v>
      </c>
      <c r="S86" s="4" t="s">
        <v>153</v>
      </c>
      <c r="T86" s="4" t="s">
        <v>153</v>
      </c>
      <c r="U86" s="4" t="s">
        <v>153</v>
      </c>
      <c r="V86" s="4" t="s">
        <v>153</v>
      </c>
      <c r="W86" s="4" t="s">
        <v>153</v>
      </c>
      <c r="X86" s="4" t="s">
        <v>153</v>
      </c>
      <c r="Y86" s="4" t="s">
        <v>153</v>
      </c>
      <c r="Z86" s="4" t="s">
        <v>153</v>
      </c>
      <c r="AA86" s="4" t="s">
        <v>153</v>
      </c>
      <c r="AB86" s="4" t="s">
        <v>153</v>
      </c>
      <c r="AC86" s="4" t="s">
        <v>153</v>
      </c>
      <c r="AD86" s="4" t="s">
        <v>153</v>
      </c>
      <c r="AE86" s="4" t="s">
        <v>153</v>
      </c>
      <c r="AF86" s="4" t="s">
        <v>153</v>
      </c>
      <c r="AG86" s="4" t="s">
        <v>153</v>
      </c>
      <c r="AH86" s="4" t="s">
        <v>153</v>
      </c>
      <c r="AI86" s="5"/>
      <c r="AJ86" t="s">
        <v>153</v>
      </c>
      <c r="AK86" s="4"/>
      <c r="AL86" t="s">
        <v>153</v>
      </c>
      <c r="AM86" t="s">
        <v>153</v>
      </c>
      <c r="AO86" t="s">
        <v>153</v>
      </c>
      <c r="AP86" s="4"/>
      <c r="AQ86" t="s">
        <v>153</v>
      </c>
      <c r="AR86" s="5">
        <v>45061</v>
      </c>
      <c r="AS86">
        <v>1</v>
      </c>
      <c r="AT86" s="4" t="s">
        <v>1356</v>
      </c>
      <c r="AU86" s="4" t="s">
        <v>1357</v>
      </c>
      <c r="AV86" s="4" t="s">
        <v>256</v>
      </c>
      <c r="AW86" t="s">
        <v>153</v>
      </c>
      <c r="AX86" t="s">
        <v>153</v>
      </c>
      <c r="AY86" t="s">
        <v>1358</v>
      </c>
      <c r="AZ86" t="s">
        <v>1359</v>
      </c>
      <c r="BA86" t="s">
        <v>153</v>
      </c>
      <c r="BB86" t="s">
        <v>153</v>
      </c>
      <c r="BC86" t="s">
        <v>153</v>
      </c>
      <c r="BD86" s="4" t="s">
        <v>1360</v>
      </c>
      <c r="BE86" s="4" t="s">
        <v>1361</v>
      </c>
      <c r="BF86" t="s">
        <v>242</v>
      </c>
      <c r="BG86" s="4" t="s">
        <v>927</v>
      </c>
      <c r="BH86" t="s">
        <v>153</v>
      </c>
      <c r="BI86" s="4" t="s">
        <v>153</v>
      </c>
      <c r="BJ86" t="s">
        <v>153</v>
      </c>
      <c r="BK86" s="4" t="s">
        <v>153</v>
      </c>
      <c r="BL86" t="s">
        <v>153</v>
      </c>
      <c r="BM86" t="s">
        <v>153</v>
      </c>
      <c r="BN86" s="4" t="s">
        <v>153</v>
      </c>
      <c r="BO86" s="4" t="s">
        <v>153</v>
      </c>
      <c r="BP86" s="4" t="s">
        <v>153</v>
      </c>
      <c r="BQ86" s="4" t="s">
        <v>153</v>
      </c>
      <c r="BR86" s="4" t="s">
        <v>153</v>
      </c>
      <c r="BS86" s="4" t="s">
        <v>153</v>
      </c>
      <c r="BT86" s="4" t="s">
        <v>153</v>
      </c>
      <c r="BU86" s="4" t="s">
        <v>153</v>
      </c>
      <c r="BV86" s="4"/>
      <c r="BW86" s="4" t="s">
        <v>153</v>
      </c>
      <c r="BX86" s="4" t="s">
        <v>153</v>
      </c>
      <c r="BY86" s="4" t="s">
        <v>153</v>
      </c>
      <c r="BZ86" s="4" t="s">
        <v>153</v>
      </c>
      <c r="CA86" s="4" t="s">
        <v>153</v>
      </c>
      <c r="CB86" s="4"/>
      <c r="CC86" s="4" t="s">
        <v>153</v>
      </c>
      <c r="CD86" t="s">
        <v>153</v>
      </c>
      <c r="CE86" s="4" t="s">
        <v>153</v>
      </c>
      <c r="CF86" s="4" t="s">
        <v>153</v>
      </c>
      <c r="CG86" s="4" t="s">
        <v>153</v>
      </c>
      <c r="CH86" s="5"/>
      <c r="CI86" t="s">
        <v>153</v>
      </c>
      <c r="CJ86" s="4"/>
      <c r="CK86" t="s">
        <v>153</v>
      </c>
      <c r="CL86" t="s">
        <v>153</v>
      </c>
      <c r="CM86" t="s">
        <v>153</v>
      </c>
      <c r="CN86" t="s">
        <v>153</v>
      </c>
      <c r="CO86" s="5"/>
      <c r="CP86" s="4" t="s">
        <v>153</v>
      </c>
      <c r="CQ86" s="4" t="s">
        <v>153</v>
      </c>
      <c r="CR86" t="s">
        <v>153</v>
      </c>
      <c r="CS86" t="s">
        <v>153</v>
      </c>
      <c r="CT86" t="s">
        <v>153</v>
      </c>
      <c r="CU86" t="s">
        <v>153</v>
      </c>
      <c r="CV86" t="s">
        <v>153</v>
      </c>
      <c r="CW86" t="s">
        <v>153</v>
      </c>
      <c r="CX86" t="s">
        <v>153</v>
      </c>
      <c r="CY86" t="s">
        <v>153</v>
      </c>
      <c r="CZ86" t="s">
        <v>153</v>
      </c>
      <c r="DA86" t="s">
        <v>153</v>
      </c>
      <c r="DB86" t="s">
        <v>153</v>
      </c>
      <c r="DC86" t="s">
        <v>153</v>
      </c>
      <c r="DD86" t="s">
        <v>153</v>
      </c>
      <c r="DE86" t="s">
        <v>153</v>
      </c>
      <c r="DF86" t="s">
        <v>153</v>
      </c>
      <c r="DG86" t="s">
        <v>153</v>
      </c>
      <c r="DI86" t="s">
        <v>153</v>
      </c>
      <c r="DJ86" t="s">
        <v>153</v>
      </c>
      <c r="DK86" t="s">
        <v>153</v>
      </c>
      <c r="DL86" t="s">
        <v>153</v>
      </c>
      <c r="DN86" t="s">
        <v>153</v>
      </c>
      <c r="DO86" t="s">
        <v>153</v>
      </c>
      <c r="DP86" t="s">
        <v>153</v>
      </c>
      <c r="DQ86" t="s">
        <v>153</v>
      </c>
      <c r="DR86" t="s">
        <v>153</v>
      </c>
      <c r="DS86" t="s">
        <v>153</v>
      </c>
      <c r="DT86" t="s">
        <v>153</v>
      </c>
      <c r="DU86" t="s">
        <v>153</v>
      </c>
      <c r="DV86" t="s">
        <v>153</v>
      </c>
      <c r="DW86" t="s">
        <v>153</v>
      </c>
      <c r="DX86" s="2"/>
      <c r="DY86" t="s">
        <v>153</v>
      </c>
      <c r="DZ86" t="s">
        <v>153</v>
      </c>
      <c r="EA86" t="s">
        <v>153</v>
      </c>
      <c r="EB86" t="s">
        <v>153</v>
      </c>
      <c r="EC86" t="s">
        <v>153</v>
      </c>
      <c r="ED86" t="s">
        <v>153</v>
      </c>
      <c r="EE86" t="s">
        <v>153</v>
      </c>
      <c r="EF86" t="s">
        <v>153</v>
      </c>
      <c r="EH86" t="s">
        <v>153</v>
      </c>
      <c r="EI86" t="s">
        <v>153</v>
      </c>
      <c r="EJ86" t="s">
        <v>153</v>
      </c>
      <c r="EK86" t="s">
        <v>153</v>
      </c>
      <c r="EM86" t="s">
        <v>153</v>
      </c>
      <c r="EN86" t="s">
        <v>153</v>
      </c>
      <c r="EP86" s="4" t="s">
        <v>153</v>
      </c>
      <c r="EQ86" s="4" t="s">
        <v>153</v>
      </c>
      <c r="ER86" s="4" t="s">
        <v>191</v>
      </c>
      <c r="ES86" s="4" t="s">
        <v>153</v>
      </c>
      <c r="ET86" t="s">
        <v>1362</v>
      </c>
      <c r="EU86" t="s">
        <v>1309</v>
      </c>
      <c r="EV86" t="s">
        <v>1067</v>
      </c>
      <c r="EW86">
        <v>1131827251</v>
      </c>
      <c r="EX86" t="s">
        <v>1068</v>
      </c>
    </row>
    <row r="87" spans="1:154" x14ac:dyDescent="0.25">
      <c r="A87" s="3">
        <v>45156.382256944446</v>
      </c>
      <c r="B87" s="4" t="s">
        <v>1050</v>
      </c>
      <c r="C87" s="4" t="s">
        <v>1363</v>
      </c>
      <c r="D87" s="4" t="s">
        <v>1364</v>
      </c>
      <c r="E87" s="4" t="s">
        <v>1365</v>
      </c>
      <c r="F87" s="4" t="s">
        <v>1366</v>
      </c>
      <c r="G87" s="4" t="s">
        <v>252</v>
      </c>
      <c r="H87" s="4" t="s">
        <v>793</v>
      </c>
      <c r="I87" s="4" t="s">
        <v>153</v>
      </c>
      <c r="J87" s="4" t="s">
        <v>1367</v>
      </c>
      <c r="K87" s="5"/>
      <c r="L87" s="4" t="s">
        <v>153</v>
      </c>
      <c r="M87" s="4" t="s">
        <v>153</v>
      </c>
      <c r="N87" s="4" t="s">
        <v>153</v>
      </c>
      <c r="O87" s="4" t="s">
        <v>153</v>
      </c>
      <c r="P87" s="4" t="s">
        <v>153</v>
      </c>
      <c r="Q87" s="4" t="s">
        <v>153</v>
      </c>
      <c r="R87" s="4" t="s">
        <v>153</v>
      </c>
      <c r="S87" s="4" t="s">
        <v>153</v>
      </c>
      <c r="T87" s="4" t="s">
        <v>153</v>
      </c>
      <c r="U87" s="4" t="s">
        <v>153</v>
      </c>
      <c r="V87" s="4" t="s">
        <v>153</v>
      </c>
      <c r="W87" s="4" t="s">
        <v>153</v>
      </c>
      <c r="X87" s="4" t="s">
        <v>153</v>
      </c>
      <c r="Y87" s="4" t="s">
        <v>153</v>
      </c>
      <c r="Z87" s="4" t="s">
        <v>153</v>
      </c>
      <c r="AA87" s="4" t="s">
        <v>153</v>
      </c>
      <c r="AB87" s="4" t="s">
        <v>153</v>
      </c>
      <c r="AC87" s="4" t="s">
        <v>153</v>
      </c>
      <c r="AD87" s="4" t="s">
        <v>153</v>
      </c>
      <c r="AE87" s="4" t="s">
        <v>153</v>
      </c>
      <c r="AF87" s="4" t="s">
        <v>153</v>
      </c>
      <c r="AG87" s="4" t="s">
        <v>153</v>
      </c>
      <c r="AH87" s="4" t="s">
        <v>153</v>
      </c>
      <c r="AI87" s="5"/>
      <c r="AJ87" t="s">
        <v>153</v>
      </c>
      <c r="AK87" s="4"/>
      <c r="AL87" t="s">
        <v>153</v>
      </c>
      <c r="AM87" t="s">
        <v>153</v>
      </c>
      <c r="AO87" t="s">
        <v>153</v>
      </c>
      <c r="AP87" s="4"/>
      <c r="AQ87" t="s">
        <v>153</v>
      </c>
      <c r="AR87" s="5">
        <v>45077</v>
      </c>
      <c r="AS87">
        <v>2</v>
      </c>
      <c r="AT87" s="4" t="s">
        <v>562</v>
      </c>
      <c r="AU87" s="4" t="s">
        <v>1368</v>
      </c>
      <c r="AV87" s="4" t="s">
        <v>256</v>
      </c>
      <c r="AW87" t="s">
        <v>153</v>
      </c>
      <c r="AX87" t="s">
        <v>153</v>
      </c>
      <c r="AY87" t="s">
        <v>1369</v>
      </c>
      <c r="AZ87" t="s">
        <v>653</v>
      </c>
      <c r="BA87" t="s">
        <v>153</v>
      </c>
      <c r="BB87" t="s">
        <v>153</v>
      </c>
      <c r="BC87" t="s">
        <v>1370</v>
      </c>
      <c r="BD87" s="4" t="s">
        <v>1371</v>
      </c>
      <c r="BE87" s="4" t="s">
        <v>1372</v>
      </c>
      <c r="BF87" t="s">
        <v>242</v>
      </c>
      <c r="BG87" s="4" t="s">
        <v>927</v>
      </c>
      <c r="BH87" t="s">
        <v>153</v>
      </c>
      <c r="BI87" s="4" t="s">
        <v>153</v>
      </c>
      <c r="BJ87" t="s">
        <v>153</v>
      </c>
      <c r="BK87" s="4" t="s">
        <v>153</v>
      </c>
      <c r="BL87" t="s">
        <v>153</v>
      </c>
      <c r="BM87" t="s">
        <v>153</v>
      </c>
      <c r="BN87" s="4" t="s">
        <v>153</v>
      </c>
      <c r="BO87" s="4" t="s">
        <v>153</v>
      </c>
      <c r="BP87" s="4" t="s">
        <v>153</v>
      </c>
      <c r="BQ87" s="4" t="s">
        <v>153</v>
      </c>
      <c r="BR87" s="4" t="s">
        <v>153</v>
      </c>
      <c r="BS87" s="4" t="s">
        <v>153</v>
      </c>
      <c r="BT87" s="4" t="s">
        <v>153</v>
      </c>
      <c r="BU87" s="4" t="s">
        <v>153</v>
      </c>
      <c r="BV87" s="4"/>
      <c r="BW87" s="4" t="s">
        <v>153</v>
      </c>
      <c r="BX87" s="4" t="s">
        <v>153</v>
      </c>
      <c r="BY87" s="4" t="s">
        <v>153</v>
      </c>
      <c r="BZ87" s="4" t="s">
        <v>153</v>
      </c>
      <c r="CA87" s="4" t="s">
        <v>153</v>
      </c>
      <c r="CB87" s="4"/>
      <c r="CC87" s="4" t="s">
        <v>153</v>
      </c>
      <c r="CD87" t="s">
        <v>153</v>
      </c>
      <c r="CE87" s="4" t="s">
        <v>153</v>
      </c>
      <c r="CF87" s="4" t="s">
        <v>153</v>
      </c>
      <c r="CG87" s="4" t="s">
        <v>153</v>
      </c>
      <c r="CH87" s="5"/>
      <c r="CI87" t="s">
        <v>153</v>
      </c>
      <c r="CJ87" s="4"/>
      <c r="CK87" t="s">
        <v>153</v>
      </c>
      <c r="CL87" t="s">
        <v>153</v>
      </c>
      <c r="CM87" t="s">
        <v>153</v>
      </c>
      <c r="CN87" t="s">
        <v>153</v>
      </c>
      <c r="CO87" s="5"/>
      <c r="CP87" s="4" t="s">
        <v>153</v>
      </c>
      <c r="CQ87" s="4" t="s">
        <v>153</v>
      </c>
      <c r="CR87" t="s">
        <v>153</v>
      </c>
      <c r="CS87" t="s">
        <v>153</v>
      </c>
      <c r="CT87" t="s">
        <v>153</v>
      </c>
      <c r="CU87" t="s">
        <v>153</v>
      </c>
      <c r="CV87" t="s">
        <v>153</v>
      </c>
      <c r="CW87" t="s">
        <v>153</v>
      </c>
      <c r="CX87" t="s">
        <v>153</v>
      </c>
      <c r="CY87" t="s">
        <v>153</v>
      </c>
      <c r="CZ87" t="s">
        <v>153</v>
      </c>
      <c r="DA87" t="s">
        <v>153</v>
      </c>
      <c r="DB87" t="s">
        <v>153</v>
      </c>
      <c r="DC87" t="s">
        <v>153</v>
      </c>
      <c r="DD87" t="s">
        <v>153</v>
      </c>
      <c r="DE87" t="s">
        <v>153</v>
      </c>
      <c r="DF87" t="s">
        <v>153</v>
      </c>
      <c r="DG87" t="s">
        <v>153</v>
      </c>
      <c r="DI87" t="s">
        <v>153</v>
      </c>
      <c r="DJ87" t="s">
        <v>153</v>
      </c>
      <c r="DK87" t="s">
        <v>153</v>
      </c>
      <c r="DL87" t="s">
        <v>153</v>
      </c>
      <c r="DN87" t="s">
        <v>153</v>
      </c>
      <c r="DO87" t="s">
        <v>153</v>
      </c>
      <c r="DP87" t="s">
        <v>153</v>
      </c>
      <c r="DQ87" t="s">
        <v>153</v>
      </c>
      <c r="DR87" t="s">
        <v>153</v>
      </c>
      <c r="DS87" t="s">
        <v>153</v>
      </c>
      <c r="DT87" t="s">
        <v>153</v>
      </c>
      <c r="DU87" t="s">
        <v>153</v>
      </c>
      <c r="DV87" t="s">
        <v>153</v>
      </c>
      <c r="DW87" t="s">
        <v>153</v>
      </c>
      <c r="DX87" s="2"/>
      <c r="DY87" t="s">
        <v>153</v>
      </c>
      <c r="DZ87" t="s">
        <v>153</v>
      </c>
      <c r="EA87" t="s">
        <v>153</v>
      </c>
      <c r="EB87" t="s">
        <v>153</v>
      </c>
      <c r="EC87" t="s">
        <v>153</v>
      </c>
      <c r="ED87" t="s">
        <v>153</v>
      </c>
      <c r="EE87" t="s">
        <v>153</v>
      </c>
      <c r="EF87" t="s">
        <v>153</v>
      </c>
      <c r="EH87" t="s">
        <v>153</v>
      </c>
      <c r="EI87" t="s">
        <v>153</v>
      </c>
      <c r="EJ87" t="s">
        <v>153</v>
      </c>
      <c r="EK87" t="s">
        <v>153</v>
      </c>
      <c r="EM87" t="s">
        <v>153</v>
      </c>
      <c r="EN87" t="s">
        <v>153</v>
      </c>
      <c r="EP87" s="4" t="s">
        <v>153</v>
      </c>
      <c r="EQ87" s="4" t="s">
        <v>153</v>
      </c>
      <c r="ER87" s="4" t="s">
        <v>191</v>
      </c>
      <c r="ES87" s="4" t="s">
        <v>153</v>
      </c>
      <c r="ET87" t="s">
        <v>1373</v>
      </c>
      <c r="EU87" t="s">
        <v>1374</v>
      </c>
      <c r="EV87" t="s">
        <v>1375</v>
      </c>
      <c r="EW87">
        <v>1132947759</v>
      </c>
      <c r="EX87" t="s">
        <v>1376</v>
      </c>
    </row>
    <row r="88" spans="1:154" x14ac:dyDescent="0.25">
      <c r="A88" s="3">
        <v>45156.390509259261</v>
      </c>
      <c r="B88" s="4" t="s">
        <v>1050</v>
      </c>
      <c r="C88" s="4" t="s">
        <v>1363</v>
      </c>
      <c r="D88" s="4" t="s">
        <v>1364</v>
      </c>
      <c r="E88" s="4" t="s">
        <v>1365</v>
      </c>
      <c r="F88" s="4" t="s">
        <v>1366</v>
      </c>
      <c r="G88" s="4" t="s">
        <v>252</v>
      </c>
      <c r="H88" s="4" t="s">
        <v>793</v>
      </c>
      <c r="I88" s="4" t="s">
        <v>153</v>
      </c>
      <c r="J88" s="4" t="s">
        <v>1377</v>
      </c>
      <c r="K88" s="5"/>
      <c r="L88" s="4" t="s">
        <v>153</v>
      </c>
      <c r="M88" s="4" t="s">
        <v>153</v>
      </c>
      <c r="N88" s="4" t="s">
        <v>153</v>
      </c>
      <c r="O88" s="4" t="s">
        <v>153</v>
      </c>
      <c r="P88" s="4" t="s">
        <v>153</v>
      </c>
      <c r="Q88" s="4" t="s">
        <v>153</v>
      </c>
      <c r="R88" s="4" t="s">
        <v>153</v>
      </c>
      <c r="S88" s="4" t="s">
        <v>153</v>
      </c>
      <c r="T88" s="4" t="s">
        <v>153</v>
      </c>
      <c r="U88" s="4" t="s">
        <v>153</v>
      </c>
      <c r="V88" s="4" t="s">
        <v>153</v>
      </c>
      <c r="W88" s="4" t="s">
        <v>153</v>
      </c>
      <c r="X88" s="4" t="s">
        <v>153</v>
      </c>
      <c r="Y88" s="4" t="s">
        <v>153</v>
      </c>
      <c r="Z88" s="4" t="s">
        <v>153</v>
      </c>
      <c r="AA88" s="4" t="s">
        <v>153</v>
      </c>
      <c r="AB88" s="4" t="s">
        <v>153</v>
      </c>
      <c r="AC88" s="4" t="s">
        <v>153</v>
      </c>
      <c r="AD88" s="4" t="s">
        <v>153</v>
      </c>
      <c r="AE88" s="4" t="s">
        <v>153</v>
      </c>
      <c r="AF88" s="4" t="s">
        <v>153</v>
      </c>
      <c r="AG88" s="4" t="s">
        <v>153</v>
      </c>
      <c r="AH88" s="4" t="s">
        <v>153</v>
      </c>
      <c r="AI88" s="5"/>
      <c r="AJ88" t="s">
        <v>153</v>
      </c>
      <c r="AK88" s="4"/>
      <c r="AL88" t="s">
        <v>153</v>
      </c>
      <c r="AM88" t="s">
        <v>153</v>
      </c>
      <c r="AO88" t="s">
        <v>153</v>
      </c>
      <c r="AP88" s="4"/>
      <c r="AQ88" t="s">
        <v>153</v>
      </c>
      <c r="AR88" s="5">
        <v>45074</v>
      </c>
      <c r="AS88">
        <v>0</v>
      </c>
      <c r="AT88" s="4" t="s">
        <v>153</v>
      </c>
      <c r="AU88" s="4" t="s">
        <v>153</v>
      </c>
      <c r="AV88" s="4" t="s">
        <v>618</v>
      </c>
      <c r="AW88" t="s">
        <v>153</v>
      </c>
      <c r="AX88" t="s">
        <v>1378</v>
      </c>
      <c r="AY88" t="s">
        <v>1379</v>
      </c>
      <c r="AZ88" t="s">
        <v>153</v>
      </c>
      <c r="BA88" t="s">
        <v>153</v>
      </c>
      <c r="BB88" t="s">
        <v>153</v>
      </c>
      <c r="BC88" t="s">
        <v>153</v>
      </c>
      <c r="BD88" s="4" t="s">
        <v>1380</v>
      </c>
      <c r="BE88" s="4" t="s">
        <v>1381</v>
      </c>
      <c r="BF88" t="s">
        <v>242</v>
      </c>
      <c r="BG88" s="4" t="s">
        <v>927</v>
      </c>
      <c r="BH88" t="s">
        <v>153</v>
      </c>
      <c r="BI88" s="4" t="s">
        <v>153</v>
      </c>
      <c r="BJ88" t="s">
        <v>153</v>
      </c>
      <c r="BK88" s="4" t="s">
        <v>153</v>
      </c>
      <c r="BL88" t="s">
        <v>153</v>
      </c>
      <c r="BM88" t="s">
        <v>153</v>
      </c>
      <c r="BN88" s="4" t="s">
        <v>153</v>
      </c>
      <c r="BO88" s="4" t="s">
        <v>153</v>
      </c>
      <c r="BP88" s="4" t="s">
        <v>153</v>
      </c>
      <c r="BQ88" s="4" t="s">
        <v>153</v>
      </c>
      <c r="BR88" s="4" t="s">
        <v>153</v>
      </c>
      <c r="BS88" s="4" t="s">
        <v>153</v>
      </c>
      <c r="BT88" s="4" t="s">
        <v>153</v>
      </c>
      <c r="BU88" s="4" t="s">
        <v>153</v>
      </c>
      <c r="BV88" s="4"/>
      <c r="BW88" s="4" t="s">
        <v>153</v>
      </c>
      <c r="BX88" s="4" t="s">
        <v>153</v>
      </c>
      <c r="BY88" s="4" t="s">
        <v>153</v>
      </c>
      <c r="BZ88" s="4" t="s">
        <v>153</v>
      </c>
      <c r="CA88" s="4" t="s">
        <v>153</v>
      </c>
      <c r="CB88" s="4"/>
      <c r="CC88" s="4" t="s">
        <v>153</v>
      </c>
      <c r="CD88" t="s">
        <v>153</v>
      </c>
      <c r="CE88" s="4" t="s">
        <v>153</v>
      </c>
      <c r="CF88" s="4" t="s">
        <v>153</v>
      </c>
      <c r="CG88" s="4" t="s">
        <v>153</v>
      </c>
      <c r="CH88" s="5"/>
      <c r="CI88" t="s">
        <v>153</v>
      </c>
      <c r="CJ88" s="4"/>
      <c r="CK88" t="s">
        <v>153</v>
      </c>
      <c r="CL88" t="s">
        <v>153</v>
      </c>
      <c r="CM88" t="s">
        <v>153</v>
      </c>
      <c r="CN88" t="s">
        <v>153</v>
      </c>
      <c r="CO88" s="5"/>
      <c r="CP88" s="4" t="s">
        <v>153</v>
      </c>
      <c r="CQ88" s="4" t="s">
        <v>153</v>
      </c>
      <c r="CR88" t="s">
        <v>153</v>
      </c>
      <c r="CS88" t="s">
        <v>153</v>
      </c>
      <c r="CT88" t="s">
        <v>153</v>
      </c>
      <c r="CU88" t="s">
        <v>153</v>
      </c>
      <c r="CV88" t="s">
        <v>153</v>
      </c>
      <c r="CW88" t="s">
        <v>153</v>
      </c>
      <c r="CX88" t="s">
        <v>153</v>
      </c>
      <c r="CY88" t="s">
        <v>153</v>
      </c>
      <c r="CZ88" t="s">
        <v>153</v>
      </c>
      <c r="DA88" t="s">
        <v>153</v>
      </c>
      <c r="DB88" t="s">
        <v>153</v>
      </c>
      <c r="DC88" t="s">
        <v>153</v>
      </c>
      <c r="DD88" t="s">
        <v>153</v>
      </c>
      <c r="DE88" t="s">
        <v>153</v>
      </c>
      <c r="DF88" t="s">
        <v>153</v>
      </c>
      <c r="DG88" t="s">
        <v>153</v>
      </c>
      <c r="DI88" t="s">
        <v>153</v>
      </c>
      <c r="DJ88" t="s">
        <v>153</v>
      </c>
      <c r="DK88" t="s">
        <v>153</v>
      </c>
      <c r="DL88" t="s">
        <v>153</v>
      </c>
      <c r="DN88" t="s">
        <v>153</v>
      </c>
      <c r="DO88" t="s">
        <v>153</v>
      </c>
      <c r="DP88" t="s">
        <v>153</v>
      </c>
      <c r="DQ88" t="s">
        <v>153</v>
      </c>
      <c r="DR88" t="s">
        <v>153</v>
      </c>
      <c r="DS88" t="s">
        <v>153</v>
      </c>
      <c r="DT88" t="s">
        <v>153</v>
      </c>
      <c r="DU88" t="s">
        <v>153</v>
      </c>
      <c r="DV88" t="s">
        <v>153</v>
      </c>
      <c r="DW88" t="s">
        <v>153</v>
      </c>
      <c r="DX88" s="2"/>
      <c r="DY88" t="s">
        <v>153</v>
      </c>
      <c r="DZ88" t="s">
        <v>153</v>
      </c>
      <c r="EA88" t="s">
        <v>153</v>
      </c>
      <c r="EB88" t="s">
        <v>153</v>
      </c>
      <c r="EC88" t="s">
        <v>153</v>
      </c>
      <c r="ED88" t="s">
        <v>153</v>
      </c>
      <c r="EE88" t="s">
        <v>153</v>
      </c>
      <c r="EF88" t="s">
        <v>153</v>
      </c>
      <c r="EH88" t="s">
        <v>153</v>
      </c>
      <c r="EI88" t="s">
        <v>153</v>
      </c>
      <c r="EJ88" t="s">
        <v>153</v>
      </c>
      <c r="EK88" t="s">
        <v>153</v>
      </c>
      <c r="EM88" t="s">
        <v>153</v>
      </c>
      <c r="EN88" t="s">
        <v>153</v>
      </c>
      <c r="EP88" s="4" t="s">
        <v>153</v>
      </c>
      <c r="EQ88" s="4" t="s">
        <v>153</v>
      </c>
      <c r="ER88" s="4" t="s">
        <v>191</v>
      </c>
      <c r="ES88" s="4" t="s">
        <v>153</v>
      </c>
      <c r="ET88" t="s">
        <v>153</v>
      </c>
      <c r="EU88" t="s">
        <v>1374</v>
      </c>
      <c r="EV88" t="s">
        <v>1375</v>
      </c>
      <c r="EW88">
        <v>1132951733</v>
      </c>
      <c r="EX88" t="s">
        <v>1376</v>
      </c>
    </row>
    <row r="89" spans="1:154" x14ac:dyDescent="0.25">
      <c r="A89" s="3">
        <v>45156.401388888888</v>
      </c>
      <c r="B89" s="4" t="s">
        <v>1050</v>
      </c>
      <c r="C89" s="4" t="s">
        <v>1363</v>
      </c>
      <c r="D89" s="4" t="s">
        <v>1364</v>
      </c>
      <c r="E89" s="4" t="s">
        <v>1365</v>
      </c>
      <c r="F89" s="4" t="s">
        <v>1366</v>
      </c>
      <c r="G89" s="4" t="s">
        <v>252</v>
      </c>
      <c r="H89" s="4" t="s">
        <v>793</v>
      </c>
      <c r="I89" s="4" t="s">
        <v>153</v>
      </c>
      <c r="J89" s="4" t="s">
        <v>1382</v>
      </c>
      <c r="K89" s="5"/>
      <c r="L89" s="4" t="s">
        <v>153</v>
      </c>
      <c r="M89" s="4" t="s">
        <v>153</v>
      </c>
      <c r="N89" s="4" t="s">
        <v>153</v>
      </c>
      <c r="O89" s="4" t="s">
        <v>153</v>
      </c>
      <c r="P89" s="4" t="s">
        <v>153</v>
      </c>
      <c r="Q89" s="4" t="s">
        <v>153</v>
      </c>
      <c r="R89" s="4" t="s">
        <v>153</v>
      </c>
      <c r="S89" s="4" t="s">
        <v>153</v>
      </c>
      <c r="T89" s="4" t="s">
        <v>153</v>
      </c>
      <c r="U89" s="4" t="s">
        <v>153</v>
      </c>
      <c r="V89" s="4" t="s">
        <v>153</v>
      </c>
      <c r="W89" s="4" t="s">
        <v>153</v>
      </c>
      <c r="X89" s="4" t="s">
        <v>153</v>
      </c>
      <c r="Y89" s="4" t="s">
        <v>153</v>
      </c>
      <c r="Z89" s="4" t="s">
        <v>153</v>
      </c>
      <c r="AA89" s="4" t="s">
        <v>153</v>
      </c>
      <c r="AB89" s="4" t="s">
        <v>153</v>
      </c>
      <c r="AC89" s="4" t="s">
        <v>153</v>
      </c>
      <c r="AD89" s="4" t="s">
        <v>153</v>
      </c>
      <c r="AE89" s="4" t="s">
        <v>153</v>
      </c>
      <c r="AF89" s="4" t="s">
        <v>153</v>
      </c>
      <c r="AG89" s="4" t="s">
        <v>153</v>
      </c>
      <c r="AH89" s="4" t="s">
        <v>153</v>
      </c>
      <c r="AI89" s="5"/>
      <c r="AJ89" t="s">
        <v>153</v>
      </c>
      <c r="AK89" s="4"/>
      <c r="AL89" t="s">
        <v>153</v>
      </c>
      <c r="AM89" t="s">
        <v>153</v>
      </c>
      <c r="AO89" t="s">
        <v>153</v>
      </c>
      <c r="AP89" s="4"/>
      <c r="AQ89" t="s">
        <v>153</v>
      </c>
      <c r="AR89" s="5">
        <v>45074</v>
      </c>
      <c r="AS89">
        <v>1</v>
      </c>
      <c r="AT89" s="4" t="s">
        <v>484</v>
      </c>
      <c r="AU89" s="4" t="s">
        <v>1383</v>
      </c>
      <c r="AV89" s="4" t="s">
        <v>256</v>
      </c>
      <c r="AW89" t="s">
        <v>153</v>
      </c>
      <c r="AX89" t="s">
        <v>153</v>
      </c>
      <c r="AY89" t="s">
        <v>1384</v>
      </c>
      <c r="AZ89" t="s">
        <v>1385</v>
      </c>
      <c r="BA89" t="s">
        <v>153</v>
      </c>
      <c r="BB89" t="s">
        <v>153</v>
      </c>
      <c r="BC89" t="s">
        <v>153</v>
      </c>
      <c r="BD89" s="4" t="s">
        <v>1386</v>
      </c>
      <c r="BE89" s="4" t="s">
        <v>1381</v>
      </c>
      <c r="BF89" t="s">
        <v>242</v>
      </c>
      <c r="BG89" s="4" t="s">
        <v>927</v>
      </c>
      <c r="BH89" t="s">
        <v>153</v>
      </c>
      <c r="BI89" s="4" t="s">
        <v>153</v>
      </c>
      <c r="BJ89" t="s">
        <v>153</v>
      </c>
      <c r="BK89" s="4" t="s">
        <v>153</v>
      </c>
      <c r="BL89" t="s">
        <v>153</v>
      </c>
      <c r="BM89" t="s">
        <v>153</v>
      </c>
      <c r="BN89" s="4" t="s">
        <v>153</v>
      </c>
      <c r="BO89" s="4" t="s">
        <v>153</v>
      </c>
      <c r="BP89" s="4" t="s">
        <v>153</v>
      </c>
      <c r="BQ89" s="4" t="s">
        <v>153</v>
      </c>
      <c r="BR89" s="4" t="s">
        <v>153</v>
      </c>
      <c r="BS89" s="4" t="s">
        <v>153</v>
      </c>
      <c r="BT89" s="4" t="s">
        <v>153</v>
      </c>
      <c r="BU89" s="4" t="s">
        <v>153</v>
      </c>
      <c r="BV89" s="4"/>
      <c r="BW89" s="4" t="s">
        <v>153</v>
      </c>
      <c r="BX89" s="4" t="s">
        <v>153</v>
      </c>
      <c r="BY89" s="4" t="s">
        <v>153</v>
      </c>
      <c r="BZ89" s="4" t="s">
        <v>153</v>
      </c>
      <c r="CA89" s="4" t="s">
        <v>153</v>
      </c>
      <c r="CB89" s="4"/>
      <c r="CC89" s="4" t="s">
        <v>153</v>
      </c>
      <c r="CD89" t="s">
        <v>153</v>
      </c>
      <c r="CE89" s="4" t="s">
        <v>153</v>
      </c>
      <c r="CF89" s="4" t="s">
        <v>153</v>
      </c>
      <c r="CG89" s="4" t="s">
        <v>153</v>
      </c>
      <c r="CH89" s="5"/>
      <c r="CI89" t="s">
        <v>153</v>
      </c>
      <c r="CJ89" s="4"/>
      <c r="CK89" t="s">
        <v>153</v>
      </c>
      <c r="CL89" t="s">
        <v>153</v>
      </c>
      <c r="CM89" t="s">
        <v>153</v>
      </c>
      <c r="CN89" t="s">
        <v>153</v>
      </c>
      <c r="CO89" s="5"/>
      <c r="CP89" s="4" t="s">
        <v>153</v>
      </c>
      <c r="CQ89" s="4" t="s">
        <v>153</v>
      </c>
      <c r="CR89" t="s">
        <v>153</v>
      </c>
      <c r="CS89" t="s">
        <v>153</v>
      </c>
      <c r="CT89" t="s">
        <v>153</v>
      </c>
      <c r="CU89" t="s">
        <v>153</v>
      </c>
      <c r="CV89" t="s">
        <v>153</v>
      </c>
      <c r="CW89" t="s">
        <v>153</v>
      </c>
      <c r="CX89" t="s">
        <v>153</v>
      </c>
      <c r="CY89" t="s">
        <v>153</v>
      </c>
      <c r="CZ89" t="s">
        <v>153</v>
      </c>
      <c r="DA89" t="s">
        <v>153</v>
      </c>
      <c r="DB89" t="s">
        <v>153</v>
      </c>
      <c r="DC89" t="s">
        <v>153</v>
      </c>
      <c r="DD89" t="s">
        <v>153</v>
      </c>
      <c r="DE89" t="s">
        <v>153</v>
      </c>
      <c r="DF89" t="s">
        <v>153</v>
      </c>
      <c r="DG89" t="s">
        <v>153</v>
      </c>
      <c r="DI89" t="s">
        <v>153</v>
      </c>
      <c r="DJ89" t="s">
        <v>153</v>
      </c>
      <c r="DK89" t="s">
        <v>153</v>
      </c>
      <c r="DL89" t="s">
        <v>153</v>
      </c>
      <c r="DN89" t="s">
        <v>153</v>
      </c>
      <c r="DO89" t="s">
        <v>153</v>
      </c>
      <c r="DP89" t="s">
        <v>153</v>
      </c>
      <c r="DQ89" t="s">
        <v>153</v>
      </c>
      <c r="DR89" t="s">
        <v>153</v>
      </c>
      <c r="DS89" t="s">
        <v>153</v>
      </c>
      <c r="DT89" t="s">
        <v>153</v>
      </c>
      <c r="DU89" t="s">
        <v>153</v>
      </c>
      <c r="DV89" t="s">
        <v>153</v>
      </c>
      <c r="DW89" t="s">
        <v>153</v>
      </c>
      <c r="DX89" s="2"/>
      <c r="DY89" t="s">
        <v>153</v>
      </c>
      <c r="DZ89" t="s">
        <v>153</v>
      </c>
      <c r="EA89" t="s">
        <v>153</v>
      </c>
      <c r="EB89" t="s">
        <v>153</v>
      </c>
      <c r="EC89" t="s">
        <v>153</v>
      </c>
      <c r="ED89" t="s">
        <v>153</v>
      </c>
      <c r="EE89" t="s">
        <v>153</v>
      </c>
      <c r="EF89" t="s">
        <v>153</v>
      </c>
      <c r="EH89" t="s">
        <v>153</v>
      </c>
      <c r="EI89" t="s">
        <v>153</v>
      </c>
      <c r="EJ89" t="s">
        <v>153</v>
      </c>
      <c r="EK89" t="s">
        <v>153</v>
      </c>
      <c r="EM89" t="s">
        <v>153</v>
      </c>
      <c r="EN89" t="s">
        <v>153</v>
      </c>
      <c r="EP89" s="4" t="s">
        <v>153</v>
      </c>
      <c r="EQ89" s="4" t="s">
        <v>153</v>
      </c>
      <c r="ER89" s="4" t="s">
        <v>176</v>
      </c>
      <c r="ES89" s="4" t="s">
        <v>153</v>
      </c>
      <c r="ET89" t="s">
        <v>1387</v>
      </c>
      <c r="EU89" t="s">
        <v>1374</v>
      </c>
      <c r="EV89" t="s">
        <v>1375</v>
      </c>
      <c r="EW89">
        <v>1132957042</v>
      </c>
      <c r="EX89" t="s">
        <v>1376</v>
      </c>
    </row>
    <row r="90" spans="1:154" x14ac:dyDescent="0.25">
      <c r="A90" s="3">
        <v>45166.632361111115</v>
      </c>
      <c r="B90" s="4" t="s">
        <v>1050</v>
      </c>
      <c r="C90" s="4" t="s">
        <v>1388</v>
      </c>
      <c r="D90" s="4" t="s">
        <v>1389</v>
      </c>
      <c r="E90" s="4" t="s">
        <v>1390</v>
      </c>
      <c r="F90" s="4" t="s">
        <v>1391</v>
      </c>
      <c r="G90" s="4" t="s">
        <v>1392</v>
      </c>
      <c r="H90" s="4" t="s">
        <v>1393</v>
      </c>
      <c r="I90" s="4" t="s">
        <v>153</v>
      </c>
      <c r="J90" s="4" t="s">
        <v>1394</v>
      </c>
      <c r="K90" s="5"/>
      <c r="L90" s="4" t="s">
        <v>153</v>
      </c>
      <c r="M90" s="4" t="s">
        <v>153</v>
      </c>
      <c r="N90" s="4" t="s">
        <v>153</v>
      </c>
      <c r="O90" s="4" t="s">
        <v>153</v>
      </c>
      <c r="P90" s="4" t="s">
        <v>153</v>
      </c>
      <c r="Q90" s="4" t="s">
        <v>153</v>
      </c>
      <c r="R90" s="4" t="s">
        <v>153</v>
      </c>
      <c r="S90" s="4" t="s">
        <v>153</v>
      </c>
      <c r="T90" s="4" t="s">
        <v>153</v>
      </c>
      <c r="U90" s="4" t="s">
        <v>153</v>
      </c>
      <c r="V90" s="4" t="s">
        <v>153</v>
      </c>
      <c r="W90" s="4" t="s">
        <v>153</v>
      </c>
      <c r="X90" s="4" t="s">
        <v>153</v>
      </c>
      <c r="Y90" s="4" t="s">
        <v>153</v>
      </c>
      <c r="Z90" s="4" t="s">
        <v>153</v>
      </c>
      <c r="AA90" s="4" t="s">
        <v>153</v>
      </c>
      <c r="AB90" s="4" t="s">
        <v>153</v>
      </c>
      <c r="AC90" s="4" t="s">
        <v>153</v>
      </c>
      <c r="AD90" s="4" t="s">
        <v>153</v>
      </c>
      <c r="AE90" s="4" t="s">
        <v>153</v>
      </c>
      <c r="AF90" s="4" t="s">
        <v>153</v>
      </c>
      <c r="AG90" s="4" t="s">
        <v>153</v>
      </c>
      <c r="AH90" s="4" t="s">
        <v>153</v>
      </c>
      <c r="AI90" s="5"/>
      <c r="AJ90" t="s">
        <v>153</v>
      </c>
      <c r="AK90" s="4"/>
      <c r="AL90" t="s">
        <v>153</v>
      </c>
      <c r="AM90" t="s">
        <v>153</v>
      </c>
      <c r="AO90" t="s">
        <v>153</v>
      </c>
      <c r="AP90" s="4"/>
      <c r="AQ90" t="s">
        <v>153</v>
      </c>
      <c r="AR90" s="5"/>
      <c r="AT90" s="4" t="s">
        <v>153</v>
      </c>
      <c r="AU90" s="4" t="s">
        <v>153</v>
      </c>
      <c r="AV90" s="4" t="s">
        <v>153</v>
      </c>
      <c r="AW90" t="s">
        <v>153</v>
      </c>
      <c r="AX90" t="s">
        <v>153</v>
      </c>
      <c r="AY90" t="s">
        <v>153</v>
      </c>
      <c r="AZ90" t="s">
        <v>153</v>
      </c>
      <c r="BA90" t="s">
        <v>153</v>
      </c>
      <c r="BB90" t="s">
        <v>153</v>
      </c>
      <c r="BC90" t="s">
        <v>153</v>
      </c>
      <c r="BD90" s="4" t="s">
        <v>153</v>
      </c>
      <c r="BE90" s="4" t="s">
        <v>153</v>
      </c>
      <c r="BF90" t="s">
        <v>153</v>
      </c>
      <c r="BG90" s="4" t="s">
        <v>153</v>
      </c>
      <c r="BH90" t="s">
        <v>153</v>
      </c>
      <c r="BI90" s="4" t="s">
        <v>153</v>
      </c>
      <c r="BJ90" t="s">
        <v>153</v>
      </c>
      <c r="BK90" s="4" t="s">
        <v>153</v>
      </c>
      <c r="BL90" t="s">
        <v>153</v>
      </c>
      <c r="BM90" t="s">
        <v>153</v>
      </c>
      <c r="BN90" s="4" t="s">
        <v>153</v>
      </c>
      <c r="BO90" s="4" t="s">
        <v>153</v>
      </c>
      <c r="BP90" s="4" t="s">
        <v>153</v>
      </c>
      <c r="BQ90" s="4" t="s">
        <v>153</v>
      </c>
      <c r="BR90" s="4" t="s">
        <v>153</v>
      </c>
      <c r="BS90" s="4" t="s">
        <v>153</v>
      </c>
      <c r="BT90" s="4" t="s">
        <v>153</v>
      </c>
      <c r="BU90" s="4" t="s">
        <v>153</v>
      </c>
      <c r="BV90" s="4"/>
      <c r="BW90" s="4" t="s">
        <v>153</v>
      </c>
      <c r="BX90" s="4" t="s">
        <v>153</v>
      </c>
      <c r="BY90" s="4" t="s">
        <v>153</v>
      </c>
      <c r="BZ90" s="4" t="s">
        <v>153</v>
      </c>
      <c r="CA90" s="4" t="s">
        <v>153</v>
      </c>
      <c r="CB90" s="4"/>
      <c r="CC90" s="4" t="s">
        <v>153</v>
      </c>
      <c r="CD90" t="s">
        <v>153</v>
      </c>
      <c r="CE90" s="4" t="s">
        <v>153</v>
      </c>
      <c r="CF90" s="4" t="s">
        <v>153</v>
      </c>
      <c r="CG90" s="4" t="s">
        <v>153</v>
      </c>
      <c r="CH90" s="5"/>
      <c r="CI90" t="s">
        <v>153</v>
      </c>
      <c r="CJ90" s="4"/>
      <c r="CK90" t="s">
        <v>153</v>
      </c>
      <c r="CL90" t="s">
        <v>153</v>
      </c>
      <c r="CM90" t="s">
        <v>153</v>
      </c>
      <c r="CN90" t="s">
        <v>153</v>
      </c>
      <c r="CO90" s="5"/>
      <c r="CP90" s="4" t="s">
        <v>153</v>
      </c>
      <c r="CQ90" s="4" t="s">
        <v>153</v>
      </c>
      <c r="CR90" t="s">
        <v>153</v>
      </c>
      <c r="CS90" t="s">
        <v>153</v>
      </c>
      <c r="CT90" t="s">
        <v>153</v>
      </c>
      <c r="CU90" t="s">
        <v>153</v>
      </c>
      <c r="CV90" t="s">
        <v>153</v>
      </c>
      <c r="CW90" t="s">
        <v>153</v>
      </c>
      <c r="CX90" t="s">
        <v>153</v>
      </c>
      <c r="CY90" t="s">
        <v>153</v>
      </c>
      <c r="CZ90" t="s">
        <v>153</v>
      </c>
      <c r="DA90" t="s">
        <v>153</v>
      </c>
      <c r="DB90" t="s">
        <v>153</v>
      </c>
      <c r="DC90" t="s">
        <v>153</v>
      </c>
      <c r="DD90" t="s">
        <v>153</v>
      </c>
      <c r="DE90" t="s">
        <v>153</v>
      </c>
      <c r="DF90" t="s">
        <v>153</v>
      </c>
      <c r="DG90" t="s">
        <v>153</v>
      </c>
      <c r="DI90" t="s">
        <v>153</v>
      </c>
      <c r="DJ90" t="s">
        <v>153</v>
      </c>
      <c r="DK90" t="s">
        <v>153</v>
      </c>
      <c r="DL90" t="s">
        <v>153</v>
      </c>
      <c r="DN90" t="s">
        <v>153</v>
      </c>
      <c r="DO90" t="s">
        <v>153</v>
      </c>
      <c r="DP90" t="s">
        <v>153</v>
      </c>
      <c r="DQ90" t="s">
        <v>153</v>
      </c>
      <c r="DR90" t="s">
        <v>153</v>
      </c>
      <c r="DS90" t="s">
        <v>153</v>
      </c>
      <c r="DT90" t="s">
        <v>153</v>
      </c>
      <c r="DU90" t="s">
        <v>153</v>
      </c>
      <c r="DV90" t="s">
        <v>1395</v>
      </c>
      <c r="DW90" t="s">
        <v>153</v>
      </c>
      <c r="DX90" s="2">
        <v>45166</v>
      </c>
      <c r="DY90" t="s">
        <v>1396</v>
      </c>
      <c r="DZ90" t="s">
        <v>1397</v>
      </c>
      <c r="EA90" t="s">
        <v>1398</v>
      </c>
      <c r="EB90" t="s">
        <v>1399</v>
      </c>
      <c r="EC90" t="s">
        <v>1400</v>
      </c>
      <c r="ED90" t="s">
        <v>153</v>
      </c>
      <c r="EE90" t="s">
        <v>1401</v>
      </c>
      <c r="EF90" t="s">
        <v>754</v>
      </c>
      <c r="EG90">
        <v>14611</v>
      </c>
      <c r="EH90" t="s">
        <v>153</v>
      </c>
      <c r="EI90" t="s">
        <v>153</v>
      </c>
      <c r="EJ90" t="s">
        <v>153</v>
      </c>
      <c r="EK90" t="s">
        <v>153</v>
      </c>
      <c r="EM90" t="s">
        <v>1402</v>
      </c>
      <c r="EN90" t="s">
        <v>1403</v>
      </c>
      <c r="EO90">
        <v>800168005</v>
      </c>
      <c r="EP90" s="4" t="s">
        <v>153</v>
      </c>
      <c r="EQ90" s="4" t="s">
        <v>153</v>
      </c>
      <c r="ER90" s="4" t="s">
        <v>191</v>
      </c>
      <c r="ES90" s="4" t="s">
        <v>153</v>
      </c>
      <c r="ET90" t="s">
        <v>1404</v>
      </c>
      <c r="EU90" t="s">
        <v>1405</v>
      </c>
      <c r="EV90" t="s">
        <v>1406</v>
      </c>
      <c r="EW90">
        <v>1136208581</v>
      </c>
      <c r="EX90" t="s">
        <v>1407</v>
      </c>
    </row>
    <row r="91" spans="1:154" x14ac:dyDescent="0.25">
      <c r="A91" s="3">
        <v>45168.526400462964</v>
      </c>
      <c r="B91" s="4" t="s">
        <v>1050</v>
      </c>
      <c r="C91" s="4" t="s">
        <v>549</v>
      </c>
      <c r="D91" s="4" t="s">
        <v>550</v>
      </c>
      <c r="E91" s="4" t="s">
        <v>551</v>
      </c>
      <c r="F91" s="4" t="s">
        <v>552</v>
      </c>
      <c r="G91" s="4" t="s">
        <v>185</v>
      </c>
      <c r="H91" s="4" t="s">
        <v>553</v>
      </c>
      <c r="I91" s="4" t="s">
        <v>153</v>
      </c>
      <c r="J91" s="4" t="s">
        <v>153</v>
      </c>
      <c r="K91" s="5"/>
      <c r="L91" s="4" t="s">
        <v>153</v>
      </c>
      <c r="M91" s="4" t="s">
        <v>1408</v>
      </c>
      <c r="N91" s="4" t="s">
        <v>1408</v>
      </c>
      <c r="O91" s="4" t="s">
        <v>1297</v>
      </c>
      <c r="P91" s="4" t="s">
        <v>1298</v>
      </c>
      <c r="Q91" s="4" t="s">
        <v>294</v>
      </c>
      <c r="R91" s="4" t="s">
        <v>191</v>
      </c>
      <c r="S91" s="4" t="s">
        <v>1409</v>
      </c>
      <c r="T91" s="4" t="s">
        <v>153</v>
      </c>
      <c r="U91" s="4" t="s">
        <v>1410</v>
      </c>
      <c r="V91" s="4" t="s">
        <v>153</v>
      </c>
      <c r="W91" s="4" t="s">
        <v>1411</v>
      </c>
      <c r="X91" s="4" t="s">
        <v>1302</v>
      </c>
      <c r="Y91" s="4" t="s">
        <v>1412</v>
      </c>
      <c r="Z91" s="4" t="s">
        <v>197</v>
      </c>
      <c r="AA91" s="4" t="s">
        <v>1413</v>
      </c>
      <c r="AB91" s="4" t="s">
        <v>153</v>
      </c>
      <c r="AC91" s="4" t="s">
        <v>1411</v>
      </c>
      <c r="AD91" s="4" t="s">
        <v>1302</v>
      </c>
      <c r="AE91" s="4" t="s">
        <v>1412</v>
      </c>
      <c r="AF91" s="4" t="s">
        <v>1414</v>
      </c>
      <c r="AG91" s="4" t="s">
        <v>1307</v>
      </c>
      <c r="AH91" s="4" t="s">
        <v>203</v>
      </c>
      <c r="AI91" s="5">
        <v>45109</v>
      </c>
      <c r="AJ91" t="s">
        <v>1415</v>
      </c>
      <c r="AK91" s="4">
        <v>2</v>
      </c>
      <c r="AL91" t="s">
        <v>153</v>
      </c>
      <c r="AM91" t="s">
        <v>153</v>
      </c>
      <c r="AO91" t="s">
        <v>153</v>
      </c>
      <c r="AP91" s="4"/>
      <c r="AQ91" t="s">
        <v>153</v>
      </c>
      <c r="AR91" s="5"/>
      <c r="AT91" s="4" t="s">
        <v>153</v>
      </c>
      <c r="AU91" s="4" t="s">
        <v>153</v>
      </c>
      <c r="AV91" s="4" t="s">
        <v>153</v>
      </c>
      <c r="AW91" t="s">
        <v>153</v>
      </c>
      <c r="AX91" t="s">
        <v>153</v>
      </c>
      <c r="AY91" t="s">
        <v>153</v>
      </c>
      <c r="AZ91" t="s">
        <v>153</v>
      </c>
      <c r="BA91" t="s">
        <v>153</v>
      </c>
      <c r="BB91" t="s">
        <v>153</v>
      </c>
      <c r="BC91" t="s">
        <v>153</v>
      </c>
      <c r="BD91" s="4" t="s">
        <v>153</v>
      </c>
      <c r="BE91" s="4" t="s">
        <v>153</v>
      </c>
      <c r="BF91" t="s">
        <v>153</v>
      </c>
      <c r="BG91" s="4" t="s">
        <v>153</v>
      </c>
      <c r="BH91" t="s">
        <v>153</v>
      </c>
      <c r="BI91" s="4" t="s">
        <v>153</v>
      </c>
      <c r="BJ91" t="s">
        <v>153</v>
      </c>
      <c r="BK91" s="4" t="s">
        <v>153</v>
      </c>
      <c r="BL91" t="s">
        <v>153</v>
      </c>
      <c r="BM91" t="s">
        <v>153</v>
      </c>
      <c r="BN91" s="4" t="s">
        <v>153</v>
      </c>
      <c r="BO91" s="4" t="s">
        <v>153</v>
      </c>
      <c r="BP91" s="4" t="s">
        <v>153</v>
      </c>
      <c r="BQ91" s="4" t="s">
        <v>153</v>
      </c>
      <c r="BR91" s="4" t="s">
        <v>153</v>
      </c>
      <c r="BS91" s="4" t="s">
        <v>153</v>
      </c>
      <c r="BT91" s="4" t="s">
        <v>153</v>
      </c>
      <c r="BU91" s="4" t="s">
        <v>153</v>
      </c>
      <c r="BV91" s="4"/>
      <c r="BW91" s="4" t="s">
        <v>153</v>
      </c>
      <c r="BX91" s="4" t="s">
        <v>153</v>
      </c>
      <c r="BY91" s="4" t="s">
        <v>153</v>
      </c>
      <c r="BZ91" s="4" t="s">
        <v>153</v>
      </c>
      <c r="CA91" s="4" t="s">
        <v>153</v>
      </c>
      <c r="CB91" s="4"/>
      <c r="CC91" s="4" t="s">
        <v>153</v>
      </c>
      <c r="CD91" t="s">
        <v>153</v>
      </c>
      <c r="CE91" s="4" t="s">
        <v>153</v>
      </c>
      <c r="CF91" s="4" t="s">
        <v>153</v>
      </c>
      <c r="CG91" s="4" t="s">
        <v>153</v>
      </c>
      <c r="CH91" s="5"/>
      <c r="CI91" t="s">
        <v>153</v>
      </c>
      <c r="CJ91" s="4"/>
      <c r="CK91" t="s">
        <v>153</v>
      </c>
      <c r="CL91" t="s">
        <v>153</v>
      </c>
      <c r="CM91" t="s">
        <v>153</v>
      </c>
      <c r="CN91" t="s">
        <v>153</v>
      </c>
      <c r="CO91" s="5"/>
      <c r="CP91" s="4" t="s">
        <v>153</v>
      </c>
      <c r="CQ91" s="4" t="s">
        <v>153</v>
      </c>
      <c r="CR91" t="s">
        <v>153</v>
      </c>
      <c r="CS91" t="s">
        <v>153</v>
      </c>
      <c r="CT91" t="s">
        <v>153</v>
      </c>
      <c r="CU91" t="s">
        <v>153</v>
      </c>
      <c r="CV91" t="s">
        <v>153</v>
      </c>
      <c r="CW91" t="s">
        <v>153</v>
      </c>
      <c r="CX91" t="s">
        <v>153</v>
      </c>
      <c r="CY91" t="s">
        <v>153</v>
      </c>
      <c r="CZ91" t="s">
        <v>153</v>
      </c>
      <c r="DA91" t="s">
        <v>153</v>
      </c>
      <c r="DB91" t="s">
        <v>153</v>
      </c>
      <c r="DC91" t="s">
        <v>153</v>
      </c>
      <c r="DD91" t="s">
        <v>153</v>
      </c>
      <c r="DE91" t="s">
        <v>153</v>
      </c>
      <c r="DF91" t="s">
        <v>153</v>
      </c>
      <c r="DG91" t="s">
        <v>153</v>
      </c>
      <c r="DI91" t="s">
        <v>153</v>
      </c>
      <c r="DJ91" t="s">
        <v>153</v>
      </c>
      <c r="DK91" t="s">
        <v>153</v>
      </c>
      <c r="DL91" t="s">
        <v>153</v>
      </c>
      <c r="DN91" t="s">
        <v>153</v>
      </c>
      <c r="DO91" t="s">
        <v>153</v>
      </c>
      <c r="DP91" t="s">
        <v>153</v>
      </c>
      <c r="DQ91" t="s">
        <v>153</v>
      </c>
      <c r="DR91" t="s">
        <v>153</v>
      </c>
      <c r="DS91" t="s">
        <v>153</v>
      </c>
      <c r="DT91" t="s">
        <v>153</v>
      </c>
      <c r="DU91" t="s">
        <v>153</v>
      </c>
      <c r="DV91" t="s">
        <v>153</v>
      </c>
      <c r="DW91" t="s">
        <v>153</v>
      </c>
      <c r="DX91" s="2"/>
      <c r="DY91" t="s">
        <v>153</v>
      </c>
      <c r="DZ91" t="s">
        <v>153</v>
      </c>
      <c r="EA91" t="s">
        <v>153</v>
      </c>
      <c r="EB91" t="s">
        <v>153</v>
      </c>
      <c r="EC91" t="s">
        <v>153</v>
      </c>
      <c r="ED91" t="s">
        <v>153</v>
      </c>
      <c r="EE91" t="s">
        <v>153</v>
      </c>
      <c r="EF91" t="s">
        <v>153</v>
      </c>
      <c r="EH91" t="s">
        <v>153</v>
      </c>
      <c r="EI91" t="s">
        <v>153</v>
      </c>
      <c r="EJ91" t="s">
        <v>153</v>
      </c>
      <c r="EK91" t="s">
        <v>153</v>
      </c>
      <c r="EM91" t="s">
        <v>153</v>
      </c>
      <c r="EN91" t="s">
        <v>153</v>
      </c>
      <c r="EP91" s="4" t="s">
        <v>243</v>
      </c>
      <c r="EQ91" s="4" t="s">
        <v>356</v>
      </c>
      <c r="ER91" s="4" t="s">
        <v>191</v>
      </c>
      <c r="ES91" s="4" t="s">
        <v>153</v>
      </c>
      <c r="ET91" t="s">
        <v>153</v>
      </c>
      <c r="EU91" t="s">
        <v>1374</v>
      </c>
      <c r="EV91" t="s">
        <v>560</v>
      </c>
      <c r="EW91">
        <v>1136959821</v>
      </c>
      <c r="EX91" t="s">
        <v>561</v>
      </c>
    </row>
    <row r="92" spans="1:154" x14ac:dyDescent="0.25">
      <c r="A92" s="3">
        <v>45187.589201388888</v>
      </c>
      <c r="B92" s="4" t="s">
        <v>1050</v>
      </c>
      <c r="C92" s="4" t="s">
        <v>892</v>
      </c>
      <c r="D92" s="4" t="s">
        <v>893</v>
      </c>
      <c r="E92" s="4" t="s">
        <v>894</v>
      </c>
      <c r="F92" s="4" t="s">
        <v>895</v>
      </c>
      <c r="G92" s="4" t="s">
        <v>185</v>
      </c>
      <c r="H92" s="4" t="s">
        <v>542</v>
      </c>
      <c r="I92" s="4" t="s">
        <v>153</v>
      </c>
      <c r="J92" s="4" t="s">
        <v>153</v>
      </c>
      <c r="K92" s="5"/>
      <c r="L92" s="4" t="s">
        <v>153</v>
      </c>
      <c r="M92" s="4" t="s">
        <v>1416</v>
      </c>
      <c r="N92" s="4" t="s">
        <v>153</v>
      </c>
      <c r="O92" s="4" t="s">
        <v>1417</v>
      </c>
      <c r="P92" s="4" t="s">
        <v>1418</v>
      </c>
      <c r="Q92" s="4" t="s">
        <v>294</v>
      </c>
      <c r="R92" s="4" t="s">
        <v>205</v>
      </c>
      <c r="S92" s="4" t="s">
        <v>153</v>
      </c>
      <c r="T92" s="4" t="s">
        <v>153</v>
      </c>
      <c r="U92" s="4" t="s">
        <v>1419</v>
      </c>
      <c r="V92" s="4" t="s">
        <v>153</v>
      </c>
      <c r="W92" s="4" t="s">
        <v>1420</v>
      </c>
      <c r="X92" s="4" t="s">
        <v>1421</v>
      </c>
      <c r="Y92" s="4" t="s">
        <v>153</v>
      </c>
      <c r="Z92" s="4" t="s">
        <v>237</v>
      </c>
      <c r="AA92" s="4" t="s">
        <v>1419</v>
      </c>
      <c r="AB92" s="4" t="s">
        <v>153</v>
      </c>
      <c r="AC92" s="4" t="s">
        <v>1420</v>
      </c>
      <c r="AD92" s="4" t="s">
        <v>1421</v>
      </c>
      <c r="AE92" s="4" t="s">
        <v>1422</v>
      </c>
      <c r="AF92" s="4" t="s">
        <v>1423</v>
      </c>
      <c r="AG92" s="4" t="s">
        <v>1424</v>
      </c>
      <c r="AH92" s="4" t="s">
        <v>1425</v>
      </c>
      <c r="AI92" s="5">
        <v>45109</v>
      </c>
      <c r="AJ92" t="s">
        <v>153</v>
      </c>
      <c r="AK92" s="4">
        <v>1</v>
      </c>
      <c r="AL92" t="s">
        <v>1426</v>
      </c>
      <c r="AM92" t="s">
        <v>153</v>
      </c>
      <c r="AO92" t="s">
        <v>153</v>
      </c>
      <c r="AP92" s="4"/>
      <c r="AQ92" t="s">
        <v>153</v>
      </c>
      <c r="AR92" s="5"/>
      <c r="AT92" s="4" t="s">
        <v>153</v>
      </c>
      <c r="AU92" s="4" t="s">
        <v>153</v>
      </c>
      <c r="AV92" s="4" t="s">
        <v>153</v>
      </c>
      <c r="AW92" t="s">
        <v>153</v>
      </c>
      <c r="AX92" t="s">
        <v>153</v>
      </c>
      <c r="AY92" t="s">
        <v>153</v>
      </c>
      <c r="AZ92" t="s">
        <v>153</v>
      </c>
      <c r="BA92" t="s">
        <v>153</v>
      </c>
      <c r="BB92" t="s">
        <v>153</v>
      </c>
      <c r="BC92" t="s">
        <v>153</v>
      </c>
      <c r="BD92" s="4" t="s">
        <v>153</v>
      </c>
      <c r="BE92" s="4" t="s">
        <v>153</v>
      </c>
      <c r="BF92" t="s">
        <v>153</v>
      </c>
      <c r="BG92" s="4" t="s">
        <v>153</v>
      </c>
      <c r="BH92" t="s">
        <v>153</v>
      </c>
      <c r="BI92" s="4" t="s">
        <v>153</v>
      </c>
      <c r="BJ92" t="s">
        <v>153</v>
      </c>
      <c r="BK92" s="4" t="s">
        <v>153</v>
      </c>
      <c r="BL92" t="s">
        <v>153</v>
      </c>
      <c r="BM92" t="s">
        <v>153</v>
      </c>
      <c r="BN92" s="4" t="s">
        <v>153</v>
      </c>
      <c r="BO92" s="4" t="s">
        <v>153</v>
      </c>
      <c r="BP92" s="4" t="s">
        <v>153</v>
      </c>
      <c r="BQ92" s="4" t="s">
        <v>153</v>
      </c>
      <c r="BR92" s="4" t="s">
        <v>153</v>
      </c>
      <c r="BS92" s="4" t="s">
        <v>153</v>
      </c>
      <c r="BT92" s="4" t="s">
        <v>153</v>
      </c>
      <c r="BU92" s="4" t="s">
        <v>153</v>
      </c>
      <c r="BV92" s="4"/>
      <c r="BW92" s="4" t="s">
        <v>153</v>
      </c>
      <c r="BX92" s="4" t="s">
        <v>153</v>
      </c>
      <c r="BY92" s="4" t="s">
        <v>153</v>
      </c>
      <c r="BZ92" s="4" t="s">
        <v>153</v>
      </c>
      <c r="CA92" s="4" t="s">
        <v>153</v>
      </c>
      <c r="CB92" s="4"/>
      <c r="CC92" s="4" t="s">
        <v>153</v>
      </c>
      <c r="CD92" t="s">
        <v>153</v>
      </c>
      <c r="CE92" s="4" t="s">
        <v>153</v>
      </c>
      <c r="CF92" s="4" t="s">
        <v>153</v>
      </c>
      <c r="CG92" s="4" t="s">
        <v>153</v>
      </c>
      <c r="CH92" s="5"/>
      <c r="CI92" t="s">
        <v>153</v>
      </c>
      <c r="CJ92" s="4"/>
      <c r="CK92" t="s">
        <v>153</v>
      </c>
      <c r="CL92" t="s">
        <v>153</v>
      </c>
      <c r="CM92" t="s">
        <v>153</v>
      </c>
      <c r="CN92" t="s">
        <v>153</v>
      </c>
      <c r="CO92" s="5"/>
      <c r="CP92" s="4" t="s">
        <v>153</v>
      </c>
      <c r="CQ92" s="4" t="s">
        <v>153</v>
      </c>
      <c r="CR92" t="s">
        <v>153</v>
      </c>
      <c r="CS92" t="s">
        <v>153</v>
      </c>
      <c r="CT92" t="s">
        <v>153</v>
      </c>
      <c r="CU92" t="s">
        <v>153</v>
      </c>
      <c r="CV92" t="s">
        <v>153</v>
      </c>
      <c r="CW92" t="s">
        <v>153</v>
      </c>
      <c r="CX92" t="s">
        <v>153</v>
      </c>
      <c r="CY92" t="s">
        <v>153</v>
      </c>
      <c r="CZ92" t="s">
        <v>153</v>
      </c>
      <c r="DA92" t="s">
        <v>153</v>
      </c>
      <c r="DB92" t="s">
        <v>153</v>
      </c>
      <c r="DC92" t="s">
        <v>153</v>
      </c>
      <c r="DD92" t="s">
        <v>153</v>
      </c>
      <c r="DE92" t="s">
        <v>153</v>
      </c>
      <c r="DF92" t="s">
        <v>153</v>
      </c>
      <c r="DG92" t="s">
        <v>153</v>
      </c>
      <c r="DI92" t="s">
        <v>153</v>
      </c>
      <c r="DJ92" t="s">
        <v>153</v>
      </c>
      <c r="DK92" t="s">
        <v>153</v>
      </c>
      <c r="DL92" t="s">
        <v>153</v>
      </c>
      <c r="DN92" t="s">
        <v>153</v>
      </c>
      <c r="DO92" t="s">
        <v>153</v>
      </c>
      <c r="DP92" t="s">
        <v>153</v>
      </c>
      <c r="DQ92" t="s">
        <v>153</v>
      </c>
      <c r="DR92" t="s">
        <v>153</v>
      </c>
      <c r="DS92" t="s">
        <v>153</v>
      </c>
      <c r="DT92" t="s">
        <v>153</v>
      </c>
      <c r="DU92" t="s">
        <v>153</v>
      </c>
      <c r="DV92" t="s">
        <v>153</v>
      </c>
      <c r="DW92" t="s">
        <v>153</v>
      </c>
      <c r="DX92" s="2"/>
      <c r="DY92" t="s">
        <v>153</v>
      </c>
      <c r="DZ92" t="s">
        <v>153</v>
      </c>
      <c r="EA92" t="s">
        <v>153</v>
      </c>
      <c r="EB92" t="s">
        <v>153</v>
      </c>
      <c r="EC92" t="s">
        <v>153</v>
      </c>
      <c r="ED92" t="s">
        <v>153</v>
      </c>
      <c r="EE92" t="s">
        <v>153</v>
      </c>
      <c r="EF92" t="s">
        <v>153</v>
      </c>
      <c r="EH92" t="s">
        <v>153</v>
      </c>
      <c r="EI92" t="s">
        <v>153</v>
      </c>
      <c r="EJ92" t="s">
        <v>153</v>
      </c>
      <c r="EK92" t="s">
        <v>153</v>
      </c>
      <c r="EM92" t="s">
        <v>153</v>
      </c>
      <c r="EN92" t="s">
        <v>153</v>
      </c>
      <c r="EP92" s="4" t="s">
        <v>153</v>
      </c>
      <c r="EQ92" s="4" t="s">
        <v>153</v>
      </c>
      <c r="ER92" s="4" t="s">
        <v>205</v>
      </c>
      <c r="ES92" s="4" t="s">
        <v>153</v>
      </c>
      <c r="ET92" t="s">
        <v>153</v>
      </c>
      <c r="EU92" t="s">
        <v>821</v>
      </c>
      <c r="EV92" t="s">
        <v>909</v>
      </c>
      <c r="EW92">
        <v>1143303600</v>
      </c>
      <c r="EX92" t="s">
        <v>1093</v>
      </c>
    </row>
    <row r="93" spans="1:154" x14ac:dyDescent="0.25">
      <c r="A93" s="3">
        <v>45187.59716435185</v>
      </c>
      <c r="B93" s="4" t="s">
        <v>1050</v>
      </c>
      <c r="C93" s="4" t="s">
        <v>892</v>
      </c>
      <c r="D93" s="4" t="s">
        <v>893</v>
      </c>
      <c r="E93" s="4" t="s">
        <v>894</v>
      </c>
      <c r="F93" s="4" t="s">
        <v>895</v>
      </c>
      <c r="G93" s="4" t="s">
        <v>185</v>
      </c>
      <c r="H93" s="4" t="s">
        <v>542</v>
      </c>
      <c r="I93" s="4" t="s">
        <v>153</v>
      </c>
      <c r="J93" s="4" t="s">
        <v>153</v>
      </c>
      <c r="K93" s="5"/>
      <c r="L93" s="4" t="s">
        <v>153</v>
      </c>
      <c r="M93" s="4" t="s">
        <v>1427</v>
      </c>
      <c r="N93" s="4" t="s">
        <v>153</v>
      </c>
      <c r="O93" s="4" t="s">
        <v>1428</v>
      </c>
      <c r="P93" s="4" t="s">
        <v>1429</v>
      </c>
      <c r="Q93" s="4" t="s">
        <v>294</v>
      </c>
      <c r="R93" s="4" t="s">
        <v>191</v>
      </c>
      <c r="S93" s="4" t="s">
        <v>1430</v>
      </c>
      <c r="T93" s="4" t="s">
        <v>153</v>
      </c>
      <c r="U93" s="4" t="s">
        <v>1431</v>
      </c>
      <c r="V93" s="4" t="s">
        <v>153</v>
      </c>
      <c r="W93" s="4" t="s">
        <v>1432</v>
      </c>
      <c r="X93" s="4" t="s">
        <v>1074</v>
      </c>
      <c r="Y93" s="4" t="s">
        <v>1433</v>
      </c>
      <c r="Z93" s="4" t="s">
        <v>237</v>
      </c>
      <c r="AA93" s="4" t="s">
        <v>1431</v>
      </c>
      <c r="AB93" s="4" t="s">
        <v>153</v>
      </c>
      <c r="AC93" s="4" t="s">
        <v>1432</v>
      </c>
      <c r="AD93" s="4" t="s">
        <v>1074</v>
      </c>
      <c r="AE93" s="4" t="s">
        <v>1433</v>
      </c>
      <c r="AF93" s="4" t="s">
        <v>1434</v>
      </c>
      <c r="AG93" s="4" t="s">
        <v>1435</v>
      </c>
      <c r="AH93" s="4" t="s">
        <v>153</v>
      </c>
      <c r="AI93" s="5">
        <v>44906</v>
      </c>
      <c r="AJ93" t="s">
        <v>1436</v>
      </c>
      <c r="AK93" s="4"/>
      <c r="AL93" t="s">
        <v>153</v>
      </c>
      <c r="AM93" t="s">
        <v>153</v>
      </c>
      <c r="AO93" t="s">
        <v>153</v>
      </c>
      <c r="AP93" s="4"/>
      <c r="AQ93" t="s">
        <v>153</v>
      </c>
      <c r="AR93" s="5"/>
      <c r="AT93" s="4" t="s">
        <v>153</v>
      </c>
      <c r="AU93" s="4" t="s">
        <v>153</v>
      </c>
      <c r="AV93" s="4" t="s">
        <v>153</v>
      </c>
      <c r="AW93" t="s">
        <v>153</v>
      </c>
      <c r="AX93" t="s">
        <v>153</v>
      </c>
      <c r="AY93" t="s">
        <v>153</v>
      </c>
      <c r="AZ93" t="s">
        <v>153</v>
      </c>
      <c r="BA93" t="s">
        <v>153</v>
      </c>
      <c r="BB93" t="s">
        <v>153</v>
      </c>
      <c r="BC93" t="s">
        <v>153</v>
      </c>
      <c r="BD93" s="4" t="s">
        <v>153</v>
      </c>
      <c r="BE93" s="4" t="s">
        <v>153</v>
      </c>
      <c r="BF93" t="s">
        <v>153</v>
      </c>
      <c r="BG93" s="4" t="s">
        <v>153</v>
      </c>
      <c r="BH93" t="s">
        <v>153</v>
      </c>
      <c r="BI93" s="4" t="s">
        <v>153</v>
      </c>
      <c r="BJ93" t="s">
        <v>153</v>
      </c>
      <c r="BK93" s="4" t="s">
        <v>153</v>
      </c>
      <c r="BL93" t="s">
        <v>153</v>
      </c>
      <c r="BM93" t="s">
        <v>153</v>
      </c>
      <c r="BN93" s="4" t="s">
        <v>153</v>
      </c>
      <c r="BO93" s="4" t="s">
        <v>153</v>
      </c>
      <c r="BP93" s="4" t="s">
        <v>153</v>
      </c>
      <c r="BQ93" s="4" t="s">
        <v>153</v>
      </c>
      <c r="BR93" s="4" t="s">
        <v>153</v>
      </c>
      <c r="BS93" s="4" t="s">
        <v>153</v>
      </c>
      <c r="BT93" s="4" t="s">
        <v>153</v>
      </c>
      <c r="BU93" s="4" t="s">
        <v>153</v>
      </c>
      <c r="BV93" s="4"/>
      <c r="BW93" s="4" t="s">
        <v>153</v>
      </c>
      <c r="BX93" s="4" t="s">
        <v>153</v>
      </c>
      <c r="BY93" s="4" t="s">
        <v>153</v>
      </c>
      <c r="BZ93" s="4" t="s">
        <v>153</v>
      </c>
      <c r="CA93" s="4" t="s">
        <v>153</v>
      </c>
      <c r="CB93" s="4"/>
      <c r="CC93" s="4" t="s">
        <v>153</v>
      </c>
      <c r="CD93" t="s">
        <v>153</v>
      </c>
      <c r="CE93" s="4" t="s">
        <v>153</v>
      </c>
      <c r="CF93" s="4" t="s">
        <v>153</v>
      </c>
      <c r="CG93" s="4" t="s">
        <v>153</v>
      </c>
      <c r="CH93" s="5"/>
      <c r="CI93" t="s">
        <v>153</v>
      </c>
      <c r="CJ93" s="4"/>
      <c r="CK93" t="s">
        <v>153</v>
      </c>
      <c r="CL93" t="s">
        <v>153</v>
      </c>
      <c r="CM93" t="s">
        <v>153</v>
      </c>
      <c r="CN93" t="s">
        <v>153</v>
      </c>
      <c r="CO93" s="5"/>
      <c r="CP93" s="4" t="s">
        <v>153</v>
      </c>
      <c r="CQ93" s="4" t="s">
        <v>153</v>
      </c>
      <c r="CR93" t="s">
        <v>153</v>
      </c>
      <c r="CS93" t="s">
        <v>153</v>
      </c>
      <c r="CT93" t="s">
        <v>153</v>
      </c>
      <c r="CU93" t="s">
        <v>153</v>
      </c>
      <c r="CV93" t="s">
        <v>153</v>
      </c>
      <c r="CW93" t="s">
        <v>153</v>
      </c>
      <c r="CX93" t="s">
        <v>153</v>
      </c>
      <c r="CY93" t="s">
        <v>153</v>
      </c>
      <c r="CZ93" t="s">
        <v>153</v>
      </c>
      <c r="DA93" t="s">
        <v>153</v>
      </c>
      <c r="DB93" t="s">
        <v>153</v>
      </c>
      <c r="DC93" t="s">
        <v>153</v>
      </c>
      <c r="DD93" t="s">
        <v>153</v>
      </c>
      <c r="DE93" t="s">
        <v>153</v>
      </c>
      <c r="DF93" t="s">
        <v>153</v>
      </c>
      <c r="DG93" t="s">
        <v>153</v>
      </c>
      <c r="DI93" t="s">
        <v>153</v>
      </c>
      <c r="DJ93" t="s">
        <v>153</v>
      </c>
      <c r="DK93" t="s">
        <v>153</v>
      </c>
      <c r="DL93" t="s">
        <v>153</v>
      </c>
      <c r="DN93" t="s">
        <v>153</v>
      </c>
      <c r="DO93" t="s">
        <v>153</v>
      </c>
      <c r="DP93" t="s">
        <v>153</v>
      </c>
      <c r="DQ93" t="s">
        <v>153</v>
      </c>
      <c r="DR93" t="s">
        <v>153</v>
      </c>
      <c r="DS93" t="s">
        <v>153</v>
      </c>
      <c r="DT93" t="s">
        <v>153</v>
      </c>
      <c r="DU93" t="s">
        <v>153</v>
      </c>
      <c r="DV93" t="s">
        <v>153</v>
      </c>
      <c r="DW93" t="s">
        <v>153</v>
      </c>
      <c r="DX93" s="2"/>
      <c r="DY93" t="s">
        <v>153</v>
      </c>
      <c r="DZ93" t="s">
        <v>153</v>
      </c>
      <c r="EA93" t="s">
        <v>153</v>
      </c>
      <c r="EB93" t="s">
        <v>153</v>
      </c>
      <c r="EC93" t="s">
        <v>153</v>
      </c>
      <c r="ED93" t="s">
        <v>153</v>
      </c>
      <c r="EE93" t="s">
        <v>153</v>
      </c>
      <c r="EF93" t="s">
        <v>153</v>
      </c>
      <c r="EH93" t="s">
        <v>153</v>
      </c>
      <c r="EI93" t="s">
        <v>153</v>
      </c>
      <c r="EJ93" t="s">
        <v>153</v>
      </c>
      <c r="EK93" t="s">
        <v>153</v>
      </c>
      <c r="EM93" t="s">
        <v>153</v>
      </c>
      <c r="EN93" t="s">
        <v>153</v>
      </c>
      <c r="EP93" s="4" t="s">
        <v>242</v>
      </c>
      <c r="EQ93" s="4" t="s">
        <v>153</v>
      </c>
      <c r="ER93" s="4" t="s">
        <v>205</v>
      </c>
      <c r="ES93" s="4" t="s">
        <v>153</v>
      </c>
      <c r="ET93" t="s">
        <v>153</v>
      </c>
      <c r="EU93" t="s">
        <v>821</v>
      </c>
      <c r="EV93" t="s">
        <v>909</v>
      </c>
      <c r="EW93">
        <v>1143308952</v>
      </c>
      <c r="EX93" t="s">
        <v>1093</v>
      </c>
    </row>
    <row r="94" spans="1:154" x14ac:dyDescent="0.25">
      <c r="A94" s="3">
        <v>45187.628761574073</v>
      </c>
      <c r="B94" s="4" t="s">
        <v>1050</v>
      </c>
      <c r="C94" s="4" t="s">
        <v>1437</v>
      </c>
      <c r="D94" s="4" t="s">
        <v>893</v>
      </c>
      <c r="E94" s="4" t="s">
        <v>894</v>
      </c>
      <c r="F94" s="4" t="s">
        <v>895</v>
      </c>
      <c r="G94" s="4" t="s">
        <v>185</v>
      </c>
      <c r="H94" s="4" t="s">
        <v>542</v>
      </c>
      <c r="I94" s="4" t="s">
        <v>153</v>
      </c>
      <c r="J94" s="4" t="s">
        <v>153</v>
      </c>
      <c r="K94" s="5"/>
      <c r="L94" s="4" t="s">
        <v>153</v>
      </c>
      <c r="M94" s="4" t="s">
        <v>1438</v>
      </c>
      <c r="N94" s="4" t="s">
        <v>1439</v>
      </c>
      <c r="O94" s="4" t="s">
        <v>1440</v>
      </c>
      <c r="P94" s="4" t="s">
        <v>1441</v>
      </c>
      <c r="Q94" s="4" t="s">
        <v>294</v>
      </c>
      <c r="R94" s="4" t="s">
        <v>191</v>
      </c>
      <c r="S94" s="4" t="s">
        <v>1442</v>
      </c>
      <c r="T94" s="4" t="s">
        <v>153</v>
      </c>
      <c r="U94" s="4" t="s">
        <v>1443</v>
      </c>
      <c r="V94" s="4" t="s">
        <v>153</v>
      </c>
      <c r="W94" s="4" t="s">
        <v>1444</v>
      </c>
      <c r="X94" s="4" t="s">
        <v>722</v>
      </c>
      <c r="Y94" s="4" t="s">
        <v>1445</v>
      </c>
      <c r="Z94" s="4" t="s">
        <v>237</v>
      </c>
      <c r="AA94" s="4" t="s">
        <v>1443</v>
      </c>
      <c r="AB94" s="4" t="s">
        <v>153</v>
      </c>
      <c r="AC94" s="4" t="s">
        <v>1444</v>
      </c>
      <c r="AD94" s="4" t="s">
        <v>722</v>
      </c>
      <c r="AE94" s="4" t="s">
        <v>1445</v>
      </c>
      <c r="AF94" s="4" t="s">
        <v>1446</v>
      </c>
      <c r="AG94" s="4" t="s">
        <v>1447</v>
      </c>
      <c r="AH94" s="4" t="s">
        <v>1448</v>
      </c>
      <c r="AI94" s="5">
        <v>45054</v>
      </c>
      <c r="AJ94" t="s">
        <v>153</v>
      </c>
      <c r="AK94" s="4">
        <v>2</v>
      </c>
      <c r="AL94" t="s">
        <v>153</v>
      </c>
      <c r="AM94" t="s">
        <v>153</v>
      </c>
      <c r="AO94" t="s">
        <v>153</v>
      </c>
      <c r="AP94" s="4"/>
      <c r="AQ94" t="s">
        <v>153</v>
      </c>
      <c r="AR94" s="5"/>
      <c r="AT94" s="4" t="s">
        <v>153</v>
      </c>
      <c r="AU94" s="4" t="s">
        <v>153</v>
      </c>
      <c r="AV94" s="4" t="s">
        <v>153</v>
      </c>
      <c r="AW94" t="s">
        <v>153</v>
      </c>
      <c r="AX94" t="s">
        <v>153</v>
      </c>
      <c r="AY94" t="s">
        <v>153</v>
      </c>
      <c r="AZ94" t="s">
        <v>153</v>
      </c>
      <c r="BA94" t="s">
        <v>153</v>
      </c>
      <c r="BB94" t="s">
        <v>153</v>
      </c>
      <c r="BC94" t="s">
        <v>153</v>
      </c>
      <c r="BD94" s="4" t="s">
        <v>153</v>
      </c>
      <c r="BE94" s="4" t="s">
        <v>153</v>
      </c>
      <c r="BF94" t="s">
        <v>153</v>
      </c>
      <c r="BG94" s="4" t="s">
        <v>153</v>
      </c>
      <c r="BH94" t="s">
        <v>153</v>
      </c>
      <c r="BI94" s="4" t="s">
        <v>153</v>
      </c>
      <c r="BJ94" t="s">
        <v>153</v>
      </c>
      <c r="BK94" s="4" t="s">
        <v>153</v>
      </c>
      <c r="BL94" t="s">
        <v>153</v>
      </c>
      <c r="BM94" t="s">
        <v>153</v>
      </c>
      <c r="BN94" s="4" t="s">
        <v>153</v>
      </c>
      <c r="BO94" s="4" t="s">
        <v>153</v>
      </c>
      <c r="BP94" s="4" t="s">
        <v>153</v>
      </c>
      <c r="BQ94" s="4" t="s">
        <v>153</v>
      </c>
      <c r="BR94" s="4" t="s">
        <v>153</v>
      </c>
      <c r="BS94" s="4" t="s">
        <v>153</v>
      </c>
      <c r="BT94" s="4" t="s">
        <v>153</v>
      </c>
      <c r="BU94" s="4" t="s">
        <v>153</v>
      </c>
      <c r="BV94" s="4"/>
      <c r="BW94" s="4" t="s">
        <v>153</v>
      </c>
      <c r="BX94" s="4" t="s">
        <v>153</v>
      </c>
      <c r="BY94" s="4" t="s">
        <v>153</v>
      </c>
      <c r="BZ94" s="4" t="s">
        <v>153</v>
      </c>
      <c r="CA94" s="4" t="s">
        <v>153</v>
      </c>
      <c r="CB94" s="4"/>
      <c r="CC94" s="4" t="s">
        <v>153</v>
      </c>
      <c r="CD94" t="s">
        <v>153</v>
      </c>
      <c r="CE94" s="4" t="s">
        <v>153</v>
      </c>
      <c r="CF94" s="4" t="s">
        <v>153</v>
      </c>
      <c r="CG94" s="4" t="s">
        <v>153</v>
      </c>
      <c r="CH94" s="5"/>
      <c r="CI94" t="s">
        <v>153</v>
      </c>
      <c r="CJ94" s="4"/>
      <c r="CK94" t="s">
        <v>153</v>
      </c>
      <c r="CL94" t="s">
        <v>153</v>
      </c>
      <c r="CM94" t="s">
        <v>153</v>
      </c>
      <c r="CN94" t="s">
        <v>153</v>
      </c>
      <c r="CO94" s="5"/>
      <c r="CP94" s="4" t="s">
        <v>153</v>
      </c>
      <c r="CQ94" s="4" t="s">
        <v>153</v>
      </c>
      <c r="CR94" t="s">
        <v>153</v>
      </c>
      <c r="CS94" t="s">
        <v>153</v>
      </c>
      <c r="CT94" t="s">
        <v>153</v>
      </c>
      <c r="CU94" t="s">
        <v>153</v>
      </c>
      <c r="CV94" t="s">
        <v>153</v>
      </c>
      <c r="CW94" t="s">
        <v>153</v>
      </c>
      <c r="CX94" t="s">
        <v>153</v>
      </c>
      <c r="CY94" t="s">
        <v>153</v>
      </c>
      <c r="CZ94" t="s">
        <v>153</v>
      </c>
      <c r="DA94" t="s">
        <v>153</v>
      </c>
      <c r="DB94" t="s">
        <v>153</v>
      </c>
      <c r="DC94" t="s">
        <v>153</v>
      </c>
      <c r="DD94" t="s">
        <v>153</v>
      </c>
      <c r="DE94" t="s">
        <v>153</v>
      </c>
      <c r="DF94" t="s">
        <v>153</v>
      </c>
      <c r="DG94" t="s">
        <v>153</v>
      </c>
      <c r="DI94" t="s">
        <v>153</v>
      </c>
      <c r="DJ94" t="s">
        <v>153</v>
      </c>
      <c r="DK94" t="s">
        <v>153</v>
      </c>
      <c r="DL94" t="s">
        <v>153</v>
      </c>
      <c r="DN94" t="s">
        <v>153</v>
      </c>
      <c r="DO94" t="s">
        <v>153</v>
      </c>
      <c r="DP94" t="s">
        <v>153</v>
      </c>
      <c r="DQ94" t="s">
        <v>153</v>
      </c>
      <c r="DR94" t="s">
        <v>153</v>
      </c>
      <c r="DS94" t="s">
        <v>153</v>
      </c>
      <c r="DT94" t="s">
        <v>153</v>
      </c>
      <c r="DU94" t="s">
        <v>153</v>
      </c>
      <c r="DV94" t="s">
        <v>153</v>
      </c>
      <c r="DW94" t="s">
        <v>153</v>
      </c>
      <c r="DX94" s="2"/>
      <c r="DY94" t="s">
        <v>153</v>
      </c>
      <c r="DZ94" t="s">
        <v>153</v>
      </c>
      <c r="EA94" t="s">
        <v>153</v>
      </c>
      <c r="EB94" t="s">
        <v>153</v>
      </c>
      <c r="EC94" t="s">
        <v>153</v>
      </c>
      <c r="ED94" t="s">
        <v>153</v>
      </c>
      <c r="EE94" t="s">
        <v>153</v>
      </c>
      <c r="EF94" t="s">
        <v>153</v>
      </c>
      <c r="EH94" t="s">
        <v>153</v>
      </c>
      <c r="EI94" t="s">
        <v>153</v>
      </c>
      <c r="EJ94" t="s">
        <v>153</v>
      </c>
      <c r="EK94" t="s">
        <v>153</v>
      </c>
      <c r="EM94" t="s">
        <v>153</v>
      </c>
      <c r="EN94" t="s">
        <v>153</v>
      </c>
      <c r="EP94" s="4" t="s">
        <v>242</v>
      </c>
      <c r="EQ94" s="4" t="s">
        <v>153</v>
      </c>
      <c r="ER94" s="4" t="s">
        <v>191</v>
      </c>
      <c r="ES94" s="4" t="s">
        <v>153</v>
      </c>
      <c r="ET94" t="s">
        <v>153</v>
      </c>
      <c r="EU94" t="s">
        <v>821</v>
      </c>
      <c r="EV94" t="s">
        <v>909</v>
      </c>
      <c r="EW94">
        <v>1143329958</v>
      </c>
      <c r="EX94" t="s">
        <v>1093</v>
      </c>
    </row>
    <row r="95" spans="1:154" x14ac:dyDescent="0.25">
      <c r="A95" s="3">
        <v>45189.555254629631</v>
      </c>
      <c r="B95" s="4" t="s">
        <v>1050</v>
      </c>
      <c r="C95" s="4" t="s">
        <v>1449</v>
      </c>
      <c r="D95" s="4" t="s">
        <v>1450</v>
      </c>
      <c r="E95" s="4" t="s">
        <v>1451</v>
      </c>
      <c r="F95" s="4" t="s">
        <v>1452</v>
      </c>
      <c r="G95" s="4" t="s">
        <v>185</v>
      </c>
      <c r="H95" s="4" t="s">
        <v>1011</v>
      </c>
      <c r="I95" s="4" t="s">
        <v>153</v>
      </c>
      <c r="J95" s="4" t="s">
        <v>153</v>
      </c>
      <c r="K95" s="5"/>
      <c r="L95" s="4" t="s">
        <v>153</v>
      </c>
      <c r="M95" s="4" t="s">
        <v>1453</v>
      </c>
      <c r="N95" s="4" t="s">
        <v>1453</v>
      </c>
      <c r="O95" s="4" t="s">
        <v>1454</v>
      </c>
      <c r="P95" s="4" t="s">
        <v>1455</v>
      </c>
      <c r="Q95" s="4" t="s">
        <v>190</v>
      </c>
      <c r="R95" s="4" t="s">
        <v>666</v>
      </c>
      <c r="S95" s="4" t="s">
        <v>153</v>
      </c>
      <c r="T95" s="4" t="s">
        <v>1456</v>
      </c>
      <c r="U95" s="4" t="s">
        <v>1457</v>
      </c>
      <c r="V95" s="4" t="s">
        <v>153</v>
      </c>
      <c r="W95" s="4" t="s">
        <v>1458</v>
      </c>
      <c r="X95" s="4" t="s">
        <v>870</v>
      </c>
      <c r="Y95" s="4" t="s">
        <v>1459</v>
      </c>
      <c r="Z95" s="4" t="s">
        <v>197</v>
      </c>
      <c r="AA95" s="4" t="s">
        <v>1460</v>
      </c>
      <c r="AB95" s="4" t="s">
        <v>153</v>
      </c>
      <c r="AC95" s="4" t="s">
        <v>1461</v>
      </c>
      <c r="AD95" s="4" t="s">
        <v>870</v>
      </c>
      <c r="AE95" s="4" t="s">
        <v>1462</v>
      </c>
      <c r="AF95" s="4" t="s">
        <v>1451</v>
      </c>
      <c r="AG95" s="4" t="s">
        <v>1463</v>
      </c>
      <c r="AH95" s="4" t="s">
        <v>1464</v>
      </c>
      <c r="AI95" s="5">
        <v>45011</v>
      </c>
      <c r="AJ95" t="s">
        <v>1465</v>
      </c>
      <c r="AK95" s="4">
        <v>25</v>
      </c>
      <c r="AL95" t="s">
        <v>153</v>
      </c>
      <c r="AM95" t="s">
        <v>153</v>
      </c>
      <c r="AO95" t="s">
        <v>153</v>
      </c>
      <c r="AP95" s="4"/>
      <c r="AQ95" t="s">
        <v>153</v>
      </c>
      <c r="AR95" s="5"/>
      <c r="AT95" s="4" t="s">
        <v>153</v>
      </c>
      <c r="AU95" s="4" t="s">
        <v>153</v>
      </c>
      <c r="AV95" s="4" t="s">
        <v>153</v>
      </c>
      <c r="AW95" t="s">
        <v>153</v>
      </c>
      <c r="AX95" t="s">
        <v>153</v>
      </c>
      <c r="AY95" t="s">
        <v>153</v>
      </c>
      <c r="AZ95" t="s">
        <v>153</v>
      </c>
      <c r="BA95" t="s">
        <v>153</v>
      </c>
      <c r="BB95" t="s">
        <v>153</v>
      </c>
      <c r="BC95" t="s">
        <v>153</v>
      </c>
      <c r="BD95" s="4" t="s">
        <v>153</v>
      </c>
      <c r="BE95" s="4" t="s">
        <v>153</v>
      </c>
      <c r="BF95" t="s">
        <v>153</v>
      </c>
      <c r="BG95" s="4" t="s">
        <v>153</v>
      </c>
      <c r="BH95" t="s">
        <v>153</v>
      </c>
      <c r="BI95" s="4" t="s">
        <v>153</v>
      </c>
      <c r="BJ95" t="s">
        <v>153</v>
      </c>
      <c r="BK95" s="4" t="s">
        <v>153</v>
      </c>
      <c r="BL95" t="s">
        <v>153</v>
      </c>
      <c r="BM95" t="s">
        <v>153</v>
      </c>
      <c r="BN95" s="4" t="s">
        <v>153</v>
      </c>
      <c r="BO95" s="4" t="s">
        <v>153</v>
      </c>
      <c r="BP95" s="4" t="s">
        <v>153</v>
      </c>
      <c r="BQ95" s="4" t="s">
        <v>153</v>
      </c>
      <c r="BR95" s="4" t="s">
        <v>153</v>
      </c>
      <c r="BS95" s="4" t="s">
        <v>153</v>
      </c>
      <c r="BT95" s="4" t="s">
        <v>153</v>
      </c>
      <c r="BU95" s="4" t="s">
        <v>153</v>
      </c>
      <c r="BV95" s="4"/>
      <c r="BW95" s="4" t="s">
        <v>153</v>
      </c>
      <c r="BX95" s="4" t="s">
        <v>153</v>
      </c>
      <c r="BY95" s="4" t="s">
        <v>153</v>
      </c>
      <c r="BZ95" s="4" t="s">
        <v>153</v>
      </c>
      <c r="CA95" s="4" t="s">
        <v>153</v>
      </c>
      <c r="CB95" s="4"/>
      <c r="CC95" s="4" t="s">
        <v>153</v>
      </c>
      <c r="CD95" t="s">
        <v>153</v>
      </c>
      <c r="CE95" s="4" t="s">
        <v>153</v>
      </c>
      <c r="CF95" s="4" t="s">
        <v>153</v>
      </c>
      <c r="CG95" s="4" t="s">
        <v>153</v>
      </c>
      <c r="CH95" s="5"/>
      <c r="CI95" t="s">
        <v>153</v>
      </c>
      <c r="CJ95" s="4"/>
      <c r="CK95" t="s">
        <v>153</v>
      </c>
      <c r="CL95" t="s">
        <v>153</v>
      </c>
      <c r="CM95" t="s">
        <v>153</v>
      </c>
      <c r="CN95" t="s">
        <v>153</v>
      </c>
      <c r="CO95" s="5"/>
      <c r="CP95" s="4" t="s">
        <v>153</v>
      </c>
      <c r="CQ95" s="4" t="s">
        <v>153</v>
      </c>
      <c r="CR95" t="s">
        <v>153</v>
      </c>
      <c r="CS95" t="s">
        <v>153</v>
      </c>
      <c r="CT95" t="s">
        <v>153</v>
      </c>
      <c r="CU95" t="s">
        <v>153</v>
      </c>
      <c r="CV95" t="s">
        <v>153</v>
      </c>
      <c r="CW95" t="s">
        <v>153</v>
      </c>
      <c r="CX95" t="s">
        <v>153</v>
      </c>
      <c r="CY95" t="s">
        <v>153</v>
      </c>
      <c r="CZ95" t="s">
        <v>153</v>
      </c>
      <c r="DA95" t="s">
        <v>153</v>
      </c>
      <c r="DB95" t="s">
        <v>153</v>
      </c>
      <c r="DC95" t="s">
        <v>153</v>
      </c>
      <c r="DD95" t="s">
        <v>153</v>
      </c>
      <c r="DE95" t="s">
        <v>153</v>
      </c>
      <c r="DF95" t="s">
        <v>153</v>
      </c>
      <c r="DG95" t="s">
        <v>153</v>
      </c>
      <c r="DI95" t="s">
        <v>153</v>
      </c>
      <c r="DJ95" t="s">
        <v>153</v>
      </c>
      <c r="DK95" t="s">
        <v>153</v>
      </c>
      <c r="DL95" t="s">
        <v>153</v>
      </c>
      <c r="DN95" t="s">
        <v>153</v>
      </c>
      <c r="DO95" t="s">
        <v>153</v>
      </c>
      <c r="DP95" t="s">
        <v>153</v>
      </c>
      <c r="DQ95" t="s">
        <v>153</v>
      </c>
      <c r="DR95" t="s">
        <v>153</v>
      </c>
      <c r="DS95" t="s">
        <v>153</v>
      </c>
      <c r="DT95" t="s">
        <v>153</v>
      </c>
      <c r="DU95" t="s">
        <v>153</v>
      </c>
      <c r="DV95" t="s">
        <v>153</v>
      </c>
      <c r="DW95" t="s">
        <v>153</v>
      </c>
      <c r="DX95" s="2"/>
      <c r="DY95" t="s">
        <v>153</v>
      </c>
      <c r="DZ95" t="s">
        <v>153</v>
      </c>
      <c r="EA95" t="s">
        <v>153</v>
      </c>
      <c r="EB95" t="s">
        <v>153</v>
      </c>
      <c r="EC95" t="s">
        <v>153</v>
      </c>
      <c r="ED95" t="s">
        <v>153</v>
      </c>
      <c r="EE95" t="s">
        <v>153</v>
      </c>
      <c r="EF95" t="s">
        <v>153</v>
      </c>
      <c r="EH95" t="s">
        <v>153</v>
      </c>
      <c r="EI95" t="s">
        <v>153</v>
      </c>
      <c r="EJ95" t="s">
        <v>153</v>
      </c>
      <c r="EK95" t="s">
        <v>153</v>
      </c>
      <c r="EM95" t="s">
        <v>153</v>
      </c>
      <c r="EN95" t="s">
        <v>153</v>
      </c>
      <c r="EP95" s="4" t="s">
        <v>153</v>
      </c>
      <c r="EQ95" s="4" t="s">
        <v>153</v>
      </c>
      <c r="ER95" s="4" t="s">
        <v>191</v>
      </c>
      <c r="ES95" s="4" t="s">
        <v>153</v>
      </c>
      <c r="ET95" t="s">
        <v>153</v>
      </c>
      <c r="EU95" t="s">
        <v>1374</v>
      </c>
      <c r="EV95" t="s">
        <v>1466</v>
      </c>
      <c r="EW95">
        <v>1144145516</v>
      </c>
      <c r="EX95" t="s">
        <v>1467</v>
      </c>
    </row>
    <row r="96" spans="1:154" x14ac:dyDescent="0.25">
      <c r="A96" s="3">
        <v>45197.572789351849</v>
      </c>
      <c r="B96" s="4" t="s">
        <v>1050</v>
      </c>
      <c r="C96" s="4" t="s">
        <v>281</v>
      </c>
      <c r="D96" s="4" t="s">
        <v>265</v>
      </c>
      <c r="E96" s="4" t="s">
        <v>1468</v>
      </c>
      <c r="F96" s="4" t="s">
        <v>267</v>
      </c>
      <c r="G96" s="4" t="s">
        <v>185</v>
      </c>
      <c r="H96" s="4" t="s">
        <v>268</v>
      </c>
      <c r="I96" s="4" t="s">
        <v>153</v>
      </c>
      <c r="J96" s="4" t="s">
        <v>153</v>
      </c>
      <c r="K96" s="5"/>
      <c r="L96" s="4" t="s">
        <v>153</v>
      </c>
      <c r="M96" s="4" t="s">
        <v>1469</v>
      </c>
      <c r="N96" s="4" t="s">
        <v>1470</v>
      </c>
      <c r="O96" s="4" t="s">
        <v>1471</v>
      </c>
      <c r="P96" s="4" t="s">
        <v>1472</v>
      </c>
      <c r="Q96" s="4" t="s">
        <v>190</v>
      </c>
      <c r="R96" s="4" t="s">
        <v>308</v>
      </c>
      <c r="S96" s="4" t="s">
        <v>153</v>
      </c>
      <c r="T96" s="4" t="s">
        <v>1473</v>
      </c>
      <c r="U96" s="4" t="s">
        <v>1474</v>
      </c>
      <c r="V96" s="4" t="s">
        <v>153</v>
      </c>
      <c r="W96" s="4" t="s">
        <v>1475</v>
      </c>
      <c r="X96" s="4" t="s">
        <v>429</v>
      </c>
      <c r="Y96" s="4" t="s">
        <v>1476</v>
      </c>
      <c r="Z96" s="4" t="s">
        <v>197</v>
      </c>
      <c r="AA96" s="4" t="s">
        <v>1474</v>
      </c>
      <c r="AB96" s="4" t="s">
        <v>153</v>
      </c>
      <c r="AC96" s="4" t="s">
        <v>1475</v>
      </c>
      <c r="AD96" s="4" t="s">
        <v>429</v>
      </c>
      <c r="AE96" s="4" t="s">
        <v>1476</v>
      </c>
      <c r="AF96" s="4" t="s">
        <v>1477</v>
      </c>
      <c r="AG96" s="4" t="s">
        <v>1478</v>
      </c>
      <c r="AH96" s="4" t="s">
        <v>1479</v>
      </c>
      <c r="AI96" s="5">
        <v>45093</v>
      </c>
      <c r="AJ96" t="s">
        <v>153</v>
      </c>
      <c r="AK96" s="4">
        <v>0</v>
      </c>
      <c r="AL96" t="s">
        <v>153</v>
      </c>
      <c r="AM96" t="s">
        <v>153</v>
      </c>
      <c r="AO96" t="s">
        <v>153</v>
      </c>
      <c r="AP96" s="4"/>
      <c r="AQ96" t="s">
        <v>153</v>
      </c>
      <c r="AR96" s="5"/>
      <c r="AT96" s="4" t="s">
        <v>153</v>
      </c>
      <c r="AU96" s="4" t="s">
        <v>153</v>
      </c>
      <c r="AV96" s="4" t="s">
        <v>153</v>
      </c>
      <c r="AW96" t="s">
        <v>153</v>
      </c>
      <c r="AX96" t="s">
        <v>153</v>
      </c>
      <c r="AY96" t="s">
        <v>153</v>
      </c>
      <c r="AZ96" t="s">
        <v>153</v>
      </c>
      <c r="BA96" t="s">
        <v>153</v>
      </c>
      <c r="BB96" t="s">
        <v>153</v>
      </c>
      <c r="BC96" t="s">
        <v>153</v>
      </c>
      <c r="BD96" s="4" t="s">
        <v>153</v>
      </c>
      <c r="BE96" s="4" t="s">
        <v>153</v>
      </c>
      <c r="BF96" t="s">
        <v>153</v>
      </c>
      <c r="BG96" s="4" t="s">
        <v>153</v>
      </c>
      <c r="BH96" t="s">
        <v>153</v>
      </c>
      <c r="BI96" s="4" t="s">
        <v>153</v>
      </c>
      <c r="BJ96" t="s">
        <v>153</v>
      </c>
      <c r="BK96" s="4" t="s">
        <v>153</v>
      </c>
      <c r="BL96" t="s">
        <v>153</v>
      </c>
      <c r="BM96" t="s">
        <v>153</v>
      </c>
      <c r="BN96" s="4" t="s">
        <v>153</v>
      </c>
      <c r="BO96" s="4" t="s">
        <v>153</v>
      </c>
      <c r="BP96" s="4" t="s">
        <v>153</v>
      </c>
      <c r="BQ96" s="4" t="s">
        <v>153</v>
      </c>
      <c r="BR96" s="4" t="s">
        <v>153</v>
      </c>
      <c r="BS96" s="4" t="s">
        <v>153</v>
      </c>
      <c r="BT96" s="4" t="s">
        <v>153</v>
      </c>
      <c r="BU96" s="4" t="s">
        <v>153</v>
      </c>
      <c r="BV96" s="4"/>
      <c r="BW96" s="4" t="s">
        <v>153</v>
      </c>
      <c r="BX96" s="4" t="s">
        <v>153</v>
      </c>
      <c r="BY96" s="4" t="s">
        <v>153</v>
      </c>
      <c r="BZ96" s="4" t="s">
        <v>153</v>
      </c>
      <c r="CA96" s="4" t="s">
        <v>153</v>
      </c>
      <c r="CB96" s="4"/>
      <c r="CC96" s="4" t="s">
        <v>153</v>
      </c>
      <c r="CD96" t="s">
        <v>153</v>
      </c>
      <c r="CE96" s="4" t="s">
        <v>153</v>
      </c>
      <c r="CF96" s="4" t="s">
        <v>153</v>
      </c>
      <c r="CG96" s="4" t="s">
        <v>153</v>
      </c>
      <c r="CH96" s="5"/>
      <c r="CI96" t="s">
        <v>153</v>
      </c>
      <c r="CJ96" s="4"/>
      <c r="CK96" t="s">
        <v>153</v>
      </c>
      <c r="CL96" t="s">
        <v>153</v>
      </c>
      <c r="CM96" t="s">
        <v>153</v>
      </c>
      <c r="CN96" t="s">
        <v>153</v>
      </c>
      <c r="CO96" s="5"/>
      <c r="CP96" s="4" t="s">
        <v>153</v>
      </c>
      <c r="CQ96" s="4" t="s">
        <v>153</v>
      </c>
      <c r="CR96" t="s">
        <v>153</v>
      </c>
      <c r="CS96" t="s">
        <v>153</v>
      </c>
      <c r="CT96" t="s">
        <v>153</v>
      </c>
      <c r="CU96" t="s">
        <v>153</v>
      </c>
      <c r="CV96" t="s">
        <v>153</v>
      </c>
      <c r="CW96" t="s">
        <v>153</v>
      </c>
      <c r="CX96" t="s">
        <v>153</v>
      </c>
      <c r="CY96" t="s">
        <v>153</v>
      </c>
      <c r="CZ96" t="s">
        <v>153</v>
      </c>
      <c r="DA96" t="s">
        <v>153</v>
      </c>
      <c r="DB96" t="s">
        <v>153</v>
      </c>
      <c r="DC96" t="s">
        <v>153</v>
      </c>
      <c r="DD96" t="s">
        <v>153</v>
      </c>
      <c r="DE96" t="s">
        <v>153</v>
      </c>
      <c r="DF96" t="s">
        <v>153</v>
      </c>
      <c r="DG96" t="s">
        <v>153</v>
      </c>
      <c r="DI96" t="s">
        <v>153</v>
      </c>
      <c r="DJ96" t="s">
        <v>153</v>
      </c>
      <c r="DK96" t="s">
        <v>153</v>
      </c>
      <c r="DL96" t="s">
        <v>153</v>
      </c>
      <c r="DN96" t="s">
        <v>153</v>
      </c>
      <c r="DO96" t="s">
        <v>153</v>
      </c>
      <c r="DP96" t="s">
        <v>153</v>
      </c>
      <c r="DQ96" t="s">
        <v>153</v>
      </c>
      <c r="DR96" t="s">
        <v>153</v>
      </c>
      <c r="DS96" t="s">
        <v>153</v>
      </c>
      <c r="DT96" t="s">
        <v>153</v>
      </c>
      <c r="DU96" t="s">
        <v>153</v>
      </c>
      <c r="DV96" t="s">
        <v>153</v>
      </c>
      <c r="DW96" t="s">
        <v>153</v>
      </c>
      <c r="DX96" s="2"/>
      <c r="DY96" t="s">
        <v>153</v>
      </c>
      <c r="DZ96" t="s">
        <v>153</v>
      </c>
      <c r="EA96" t="s">
        <v>153</v>
      </c>
      <c r="EB96" t="s">
        <v>153</v>
      </c>
      <c r="EC96" t="s">
        <v>153</v>
      </c>
      <c r="ED96" t="s">
        <v>153</v>
      </c>
      <c r="EE96" t="s">
        <v>153</v>
      </c>
      <c r="EF96" t="s">
        <v>153</v>
      </c>
      <c r="EH96" t="s">
        <v>153</v>
      </c>
      <c r="EI96" t="s">
        <v>153</v>
      </c>
      <c r="EJ96" t="s">
        <v>153</v>
      </c>
      <c r="EK96" t="s">
        <v>153</v>
      </c>
      <c r="EM96" t="s">
        <v>153</v>
      </c>
      <c r="EN96" t="s">
        <v>153</v>
      </c>
      <c r="EP96" s="4" t="s">
        <v>153</v>
      </c>
      <c r="EQ96" s="4" t="s">
        <v>153</v>
      </c>
      <c r="ER96" s="4" t="s">
        <v>205</v>
      </c>
      <c r="ES96" s="4" t="s">
        <v>153</v>
      </c>
      <c r="ET96" t="s">
        <v>1480</v>
      </c>
      <c r="EU96" t="s">
        <v>1481</v>
      </c>
      <c r="EV96" t="s">
        <v>1155</v>
      </c>
      <c r="EW96">
        <v>1146939856</v>
      </c>
      <c r="EX96" t="s">
        <v>1156</v>
      </c>
    </row>
    <row r="97" spans="1:154" x14ac:dyDescent="0.25">
      <c r="A97" s="3">
        <v>45210.943449074075</v>
      </c>
      <c r="B97" s="4" t="s">
        <v>1050</v>
      </c>
      <c r="C97" s="4" t="s">
        <v>1482</v>
      </c>
      <c r="D97" s="4" t="s">
        <v>249</v>
      </c>
      <c r="E97" s="4" t="s">
        <v>250</v>
      </c>
      <c r="F97" s="4" t="s">
        <v>251</v>
      </c>
      <c r="G97" s="4" t="s">
        <v>185</v>
      </c>
      <c r="H97" s="4" t="s">
        <v>253</v>
      </c>
      <c r="I97" s="4" t="s">
        <v>153</v>
      </c>
      <c r="J97" s="4" t="s">
        <v>153</v>
      </c>
      <c r="K97" s="5"/>
      <c r="L97" s="4" t="s">
        <v>153</v>
      </c>
      <c r="M97" s="4" t="s">
        <v>1483</v>
      </c>
      <c r="N97" s="4" t="s">
        <v>1483</v>
      </c>
      <c r="O97" s="4" t="s">
        <v>1484</v>
      </c>
      <c r="P97" s="4" t="s">
        <v>1485</v>
      </c>
      <c r="Q97" s="4" t="s">
        <v>1486</v>
      </c>
      <c r="R97" s="4" t="s">
        <v>666</v>
      </c>
      <c r="S97" s="4" t="s">
        <v>153</v>
      </c>
      <c r="T97" s="4" t="s">
        <v>1487</v>
      </c>
      <c r="U97" s="4" t="s">
        <v>1488</v>
      </c>
      <c r="V97" s="4" t="s">
        <v>153</v>
      </c>
      <c r="W97" s="4" t="s">
        <v>1489</v>
      </c>
      <c r="X97" s="4" t="s">
        <v>347</v>
      </c>
      <c r="Y97" s="4" t="s">
        <v>1490</v>
      </c>
      <c r="Z97" s="4" t="s">
        <v>197</v>
      </c>
      <c r="AA97" s="4" t="s">
        <v>1488</v>
      </c>
      <c r="AB97" s="4" t="s">
        <v>153</v>
      </c>
      <c r="AC97" s="4" t="s">
        <v>1489</v>
      </c>
      <c r="AD97" s="4" t="s">
        <v>347</v>
      </c>
      <c r="AE97" s="4" t="s">
        <v>1490</v>
      </c>
      <c r="AF97" s="4" t="s">
        <v>1491</v>
      </c>
      <c r="AG97" s="4" t="s">
        <v>1492</v>
      </c>
      <c r="AH97" s="4" t="s">
        <v>153</v>
      </c>
      <c r="AI97" s="5">
        <v>45060</v>
      </c>
      <c r="AJ97" t="s">
        <v>591</v>
      </c>
      <c r="AK97" s="4">
        <v>-5</v>
      </c>
      <c r="AL97" t="s">
        <v>153</v>
      </c>
      <c r="AM97" t="s">
        <v>153</v>
      </c>
      <c r="AO97" t="s">
        <v>153</v>
      </c>
      <c r="AP97" s="4"/>
      <c r="AQ97" t="s">
        <v>153</v>
      </c>
      <c r="AR97" s="5"/>
      <c r="AT97" s="4" t="s">
        <v>153</v>
      </c>
      <c r="AU97" s="4" t="s">
        <v>153</v>
      </c>
      <c r="AV97" s="4" t="s">
        <v>153</v>
      </c>
      <c r="AW97" t="s">
        <v>153</v>
      </c>
      <c r="AX97" t="s">
        <v>153</v>
      </c>
      <c r="AY97" t="s">
        <v>153</v>
      </c>
      <c r="AZ97" t="s">
        <v>153</v>
      </c>
      <c r="BA97" t="s">
        <v>153</v>
      </c>
      <c r="BB97" t="s">
        <v>153</v>
      </c>
      <c r="BC97" t="s">
        <v>153</v>
      </c>
      <c r="BD97" s="4" t="s">
        <v>153</v>
      </c>
      <c r="BE97" s="4" t="s">
        <v>153</v>
      </c>
      <c r="BF97" t="s">
        <v>153</v>
      </c>
      <c r="BG97" s="4" t="s">
        <v>153</v>
      </c>
      <c r="BH97" t="s">
        <v>153</v>
      </c>
      <c r="BI97" s="4" t="s">
        <v>153</v>
      </c>
      <c r="BJ97" t="s">
        <v>153</v>
      </c>
      <c r="BK97" s="4" t="s">
        <v>153</v>
      </c>
      <c r="BL97" t="s">
        <v>153</v>
      </c>
      <c r="BM97" t="s">
        <v>153</v>
      </c>
      <c r="BN97" s="4" t="s">
        <v>153</v>
      </c>
      <c r="BO97" s="4" t="s">
        <v>153</v>
      </c>
      <c r="BP97" s="4" t="s">
        <v>153</v>
      </c>
      <c r="BQ97" s="4" t="s">
        <v>153</v>
      </c>
      <c r="BR97" s="4" t="s">
        <v>153</v>
      </c>
      <c r="BS97" s="4" t="s">
        <v>153</v>
      </c>
      <c r="BT97" s="4" t="s">
        <v>153</v>
      </c>
      <c r="BU97" s="4" t="s">
        <v>153</v>
      </c>
      <c r="BV97" s="4"/>
      <c r="BW97" s="4" t="s">
        <v>153</v>
      </c>
      <c r="BX97" s="4" t="s">
        <v>153</v>
      </c>
      <c r="BY97" s="4" t="s">
        <v>153</v>
      </c>
      <c r="BZ97" s="4" t="s">
        <v>153</v>
      </c>
      <c r="CA97" s="4" t="s">
        <v>153</v>
      </c>
      <c r="CB97" s="4"/>
      <c r="CC97" s="4" t="s">
        <v>153</v>
      </c>
      <c r="CD97" t="s">
        <v>153</v>
      </c>
      <c r="CE97" s="4" t="s">
        <v>153</v>
      </c>
      <c r="CF97" s="4" t="s">
        <v>153</v>
      </c>
      <c r="CG97" s="4" t="s">
        <v>153</v>
      </c>
      <c r="CH97" s="5"/>
      <c r="CI97" t="s">
        <v>153</v>
      </c>
      <c r="CJ97" s="4"/>
      <c r="CK97" t="s">
        <v>153</v>
      </c>
      <c r="CL97" t="s">
        <v>153</v>
      </c>
      <c r="CM97" t="s">
        <v>153</v>
      </c>
      <c r="CN97" t="s">
        <v>153</v>
      </c>
      <c r="CO97" s="5"/>
      <c r="CP97" s="4" t="s">
        <v>153</v>
      </c>
      <c r="CQ97" s="4" t="s">
        <v>153</v>
      </c>
      <c r="CR97" t="s">
        <v>153</v>
      </c>
      <c r="CS97" t="s">
        <v>153</v>
      </c>
      <c r="CT97" t="s">
        <v>153</v>
      </c>
      <c r="CU97" t="s">
        <v>153</v>
      </c>
      <c r="CV97" t="s">
        <v>153</v>
      </c>
      <c r="CW97" t="s">
        <v>153</v>
      </c>
      <c r="CX97" t="s">
        <v>153</v>
      </c>
      <c r="CY97" t="s">
        <v>153</v>
      </c>
      <c r="CZ97" t="s">
        <v>153</v>
      </c>
      <c r="DA97" t="s">
        <v>153</v>
      </c>
      <c r="DB97" t="s">
        <v>153</v>
      </c>
      <c r="DC97" t="s">
        <v>153</v>
      </c>
      <c r="DD97" t="s">
        <v>153</v>
      </c>
      <c r="DE97" t="s">
        <v>153</v>
      </c>
      <c r="DF97" t="s">
        <v>153</v>
      </c>
      <c r="DG97" t="s">
        <v>153</v>
      </c>
      <c r="DI97" t="s">
        <v>153</v>
      </c>
      <c r="DJ97" t="s">
        <v>153</v>
      </c>
      <c r="DK97" t="s">
        <v>153</v>
      </c>
      <c r="DL97" t="s">
        <v>153</v>
      </c>
      <c r="DN97" t="s">
        <v>153</v>
      </c>
      <c r="DO97" t="s">
        <v>153</v>
      </c>
      <c r="DP97" t="s">
        <v>153</v>
      </c>
      <c r="DQ97" t="s">
        <v>153</v>
      </c>
      <c r="DR97" t="s">
        <v>153</v>
      </c>
      <c r="DS97" t="s">
        <v>153</v>
      </c>
      <c r="DT97" t="s">
        <v>153</v>
      </c>
      <c r="DU97" t="s">
        <v>153</v>
      </c>
      <c r="DV97" t="s">
        <v>153</v>
      </c>
      <c r="DW97" t="s">
        <v>153</v>
      </c>
      <c r="DX97" s="2"/>
      <c r="DY97" t="s">
        <v>153</v>
      </c>
      <c r="DZ97" t="s">
        <v>153</v>
      </c>
      <c r="EA97" t="s">
        <v>153</v>
      </c>
      <c r="EB97" t="s">
        <v>153</v>
      </c>
      <c r="EC97" t="s">
        <v>153</v>
      </c>
      <c r="ED97" t="s">
        <v>153</v>
      </c>
      <c r="EE97" t="s">
        <v>153</v>
      </c>
      <c r="EF97" t="s">
        <v>153</v>
      </c>
      <c r="EH97" t="s">
        <v>153</v>
      </c>
      <c r="EI97" t="s">
        <v>153</v>
      </c>
      <c r="EJ97" t="s">
        <v>153</v>
      </c>
      <c r="EK97" t="s">
        <v>153</v>
      </c>
      <c r="EM97" t="s">
        <v>153</v>
      </c>
      <c r="EN97" t="s">
        <v>153</v>
      </c>
      <c r="EP97" s="4" t="s">
        <v>153</v>
      </c>
      <c r="EQ97" s="4" t="s">
        <v>153</v>
      </c>
      <c r="ER97" s="4" t="s">
        <v>243</v>
      </c>
      <c r="ES97" s="4" t="s">
        <v>205</v>
      </c>
      <c r="ET97" t="s">
        <v>1493</v>
      </c>
      <c r="EU97" t="s">
        <v>1494</v>
      </c>
      <c r="EV97" t="s">
        <v>1495</v>
      </c>
      <c r="EW97">
        <v>1151430328</v>
      </c>
      <c r="EX97" t="s">
        <v>1496</v>
      </c>
    </row>
    <row r="98" spans="1:154" x14ac:dyDescent="0.25">
      <c r="A98" s="3">
        <v>45210.959930555553</v>
      </c>
      <c r="B98" s="4" t="s">
        <v>1050</v>
      </c>
      <c r="C98" s="4" t="s">
        <v>248</v>
      </c>
      <c r="D98" s="4" t="s">
        <v>249</v>
      </c>
      <c r="E98" s="4" t="s">
        <v>250</v>
      </c>
      <c r="F98" s="4" t="s">
        <v>251</v>
      </c>
      <c r="G98" s="4" t="s">
        <v>185</v>
      </c>
      <c r="H98" s="4" t="s">
        <v>253</v>
      </c>
      <c r="I98" s="4" t="s">
        <v>153</v>
      </c>
      <c r="J98" s="4" t="s">
        <v>153</v>
      </c>
      <c r="K98" s="5"/>
      <c r="L98" s="4" t="s">
        <v>153</v>
      </c>
      <c r="M98" s="4" t="s">
        <v>1497</v>
      </c>
      <c r="N98" s="4" t="s">
        <v>1498</v>
      </c>
      <c r="O98" s="4" t="s">
        <v>1499</v>
      </c>
      <c r="P98" s="4" t="s">
        <v>1500</v>
      </c>
      <c r="Q98" s="4" t="s">
        <v>190</v>
      </c>
      <c r="R98" s="4" t="s">
        <v>666</v>
      </c>
      <c r="S98" s="4" t="s">
        <v>153</v>
      </c>
      <c r="T98" s="4" t="s">
        <v>1501</v>
      </c>
      <c r="U98" s="4" t="s">
        <v>1502</v>
      </c>
      <c r="V98" s="4" t="s">
        <v>153</v>
      </c>
      <c r="W98" s="4" t="s">
        <v>1503</v>
      </c>
      <c r="X98" s="4" t="s">
        <v>347</v>
      </c>
      <c r="Y98" s="4" t="s">
        <v>1504</v>
      </c>
      <c r="Z98" s="4" t="s">
        <v>197</v>
      </c>
      <c r="AA98" s="4" t="s">
        <v>1502</v>
      </c>
      <c r="AB98" s="4" t="s">
        <v>153</v>
      </c>
      <c r="AC98" s="4" t="s">
        <v>1503</v>
      </c>
      <c r="AD98" s="4" t="s">
        <v>347</v>
      </c>
      <c r="AE98" s="4" t="s">
        <v>1504</v>
      </c>
      <c r="AF98" s="4" t="s">
        <v>1505</v>
      </c>
      <c r="AG98" s="4" t="s">
        <v>1506</v>
      </c>
      <c r="AH98" s="4" t="s">
        <v>153</v>
      </c>
      <c r="AI98" s="5">
        <v>45116</v>
      </c>
      <c r="AJ98" t="s">
        <v>591</v>
      </c>
      <c r="AK98" s="4">
        <v>-5</v>
      </c>
      <c r="AL98" t="s">
        <v>153</v>
      </c>
      <c r="AM98" t="s">
        <v>153</v>
      </c>
      <c r="AO98" t="s">
        <v>153</v>
      </c>
      <c r="AP98" s="4"/>
      <c r="AQ98" t="s">
        <v>153</v>
      </c>
      <c r="AR98" s="5"/>
      <c r="AT98" s="4" t="s">
        <v>153</v>
      </c>
      <c r="AU98" s="4" t="s">
        <v>153</v>
      </c>
      <c r="AV98" s="4" t="s">
        <v>153</v>
      </c>
      <c r="AW98" t="s">
        <v>153</v>
      </c>
      <c r="AX98" t="s">
        <v>153</v>
      </c>
      <c r="AY98" t="s">
        <v>153</v>
      </c>
      <c r="AZ98" t="s">
        <v>153</v>
      </c>
      <c r="BA98" t="s">
        <v>153</v>
      </c>
      <c r="BB98" t="s">
        <v>153</v>
      </c>
      <c r="BC98" t="s">
        <v>153</v>
      </c>
      <c r="BD98" s="4" t="s">
        <v>153</v>
      </c>
      <c r="BE98" s="4" t="s">
        <v>153</v>
      </c>
      <c r="BF98" t="s">
        <v>153</v>
      </c>
      <c r="BG98" s="4" t="s">
        <v>153</v>
      </c>
      <c r="BH98" t="s">
        <v>153</v>
      </c>
      <c r="BI98" s="4" t="s">
        <v>153</v>
      </c>
      <c r="BJ98" t="s">
        <v>153</v>
      </c>
      <c r="BK98" s="4" t="s">
        <v>153</v>
      </c>
      <c r="BL98" t="s">
        <v>153</v>
      </c>
      <c r="BM98" t="s">
        <v>153</v>
      </c>
      <c r="BN98" s="4" t="s">
        <v>153</v>
      </c>
      <c r="BO98" s="4" t="s">
        <v>153</v>
      </c>
      <c r="BP98" s="4" t="s">
        <v>153</v>
      </c>
      <c r="BQ98" s="4" t="s">
        <v>153</v>
      </c>
      <c r="BR98" s="4" t="s">
        <v>153</v>
      </c>
      <c r="BS98" s="4" t="s">
        <v>153</v>
      </c>
      <c r="BT98" s="4" t="s">
        <v>153</v>
      </c>
      <c r="BU98" s="4" t="s">
        <v>153</v>
      </c>
      <c r="BV98" s="4"/>
      <c r="BW98" s="4" t="s">
        <v>153</v>
      </c>
      <c r="BX98" s="4" t="s">
        <v>153</v>
      </c>
      <c r="BY98" s="4" t="s">
        <v>153</v>
      </c>
      <c r="BZ98" s="4" t="s">
        <v>153</v>
      </c>
      <c r="CA98" s="4" t="s">
        <v>153</v>
      </c>
      <c r="CB98" s="4"/>
      <c r="CC98" s="4" t="s">
        <v>153</v>
      </c>
      <c r="CD98" t="s">
        <v>153</v>
      </c>
      <c r="CE98" s="4" t="s">
        <v>153</v>
      </c>
      <c r="CF98" s="4" t="s">
        <v>153</v>
      </c>
      <c r="CG98" s="4" t="s">
        <v>153</v>
      </c>
      <c r="CH98" s="5"/>
      <c r="CI98" t="s">
        <v>153</v>
      </c>
      <c r="CJ98" s="4"/>
      <c r="CK98" t="s">
        <v>153</v>
      </c>
      <c r="CL98" t="s">
        <v>153</v>
      </c>
      <c r="CM98" t="s">
        <v>153</v>
      </c>
      <c r="CN98" t="s">
        <v>153</v>
      </c>
      <c r="CO98" s="5"/>
      <c r="CP98" s="4" t="s">
        <v>153</v>
      </c>
      <c r="CQ98" s="4" t="s">
        <v>153</v>
      </c>
      <c r="CR98" t="s">
        <v>153</v>
      </c>
      <c r="CS98" t="s">
        <v>153</v>
      </c>
      <c r="CT98" t="s">
        <v>153</v>
      </c>
      <c r="CU98" t="s">
        <v>153</v>
      </c>
      <c r="CV98" t="s">
        <v>153</v>
      </c>
      <c r="CW98" t="s">
        <v>153</v>
      </c>
      <c r="CX98" t="s">
        <v>153</v>
      </c>
      <c r="CY98" t="s">
        <v>153</v>
      </c>
      <c r="CZ98" t="s">
        <v>153</v>
      </c>
      <c r="DA98" t="s">
        <v>153</v>
      </c>
      <c r="DB98" t="s">
        <v>153</v>
      </c>
      <c r="DC98" t="s">
        <v>153</v>
      </c>
      <c r="DD98" t="s">
        <v>153</v>
      </c>
      <c r="DE98" t="s">
        <v>153</v>
      </c>
      <c r="DF98" t="s">
        <v>153</v>
      </c>
      <c r="DG98" t="s">
        <v>153</v>
      </c>
      <c r="DI98" t="s">
        <v>153</v>
      </c>
      <c r="DJ98" t="s">
        <v>153</v>
      </c>
      <c r="DK98" t="s">
        <v>153</v>
      </c>
      <c r="DL98" t="s">
        <v>153</v>
      </c>
      <c r="DN98" t="s">
        <v>153</v>
      </c>
      <c r="DO98" t="s">
        <v>153</v>
      </c>
      <c r="DP98" t="s">
        <v>153</v>
      </c>
      <c r="DQ98" t="s">
        <v>153</v>
      </c>
      <c r="DR98" t="s">
        <v>153</v>
      </c>
      <c r="DS98" t="s">
        <v>153</v>
      </c>
      <c r="DT98" t="s">
        <v>153</v>
      </c>
      <c r="DU98" t="s">
        <v>153</v>
      </c>
      <c r="DV98" t="s">
        <v>153</v>
      </c>
      <c r="DW98" t="s">
        <v>153</v>
      </c>
      <c r="DX98" s="2"/>
      <c r="DY98" t="s">
        <v>153</v>
      </c>
      <c r="DZ98" t="s">
        <v>153</v>
      </c>
      <c r="EA98" t="s">
        <v>153</v>
      </c>
      <c r="EB98" t="s">
        <v>153</v>
      </c>
      <c r="EC98" t="s">
        <v>153</v>
      </c>
      <c r="ED98" t="s">
        <v>153</v>
      </c>
      <c r="EE98" t="s">
        <v>153</v>
      </c>
      <c r="EF98" t="s">
        <v>153</v>
      </c>
      <c r="EH98" t="s">
        <v>153</v>
      </c>
      <c r="EI98" t="s">
        <v>153</v>
      </c>
      <c r="EJ98" t="s">
        <v>153</v>
      </c>
      <c r="EK98" t="s">
        <v>153</v>
      </c>
      <c r="EM98" t="s">
        <v>153</v>
      </c>
      <c r="EN98" t="s">
        <v>153</v>
      </c>
      <c r="EP98" s="4" t="s">
        <v>153</v>
      </c>
      <c r="EQ98" s="4" t="s">
        <v>153</v>
      </c>
      <c r="ER98" s="4" t="s">
        <v>243</v>
      </c>
      <c r="ES98" s="4" t="s">
        <v>356</v>
      </c>
      <c r="ET98" t="s">
        <v>1507</v>
      </c>
      <c r="EU98" t="s">
        <v>1494</v>
      </c>
      <c r="EV98" t="s">
        <v>1495</v>
      </c>
      <c r="EW98">
        <v>1151434808</v>
      </c>
      <c r="EX98" t="s">
        <v>1496</v>
      </c>
    </row>
    <row r="99" spans="1:154" x14ac:dyDescent="0.25">
      <c r="A99" s="3">
        <v>45216.65834490741</v>
      </c>
      <c r="B99" s="4" t="s">
        <v>1050</v>
      </c>
      <c r="C99" s="4" t="s">
        <v>1051</v>
      </c>
      <c r="D99" s="4" t="s">
        <v>1052</v>
      </c>
      <c r="E99" s="4" t="s">
        <v>1053</v>
      </c>
      <c r="F99" s="4" t="s">
        <v>1054</v>
      </c>
      <c r="G99" s="4" t="s">
        <v>185</v>
      </c>
      <c r="H99" s="4" t="s">
        <v>1055</v>
      </c>
      <c r="I99" s="4" t="s">
        <v>153</v>
      </c>
      <c r="J99" s="4" t="s">
        <v>153</v>
      </c>
      <c r="K99" s="5"/>
      <c r="L99" s="4" t="s">
        <v>153</v>
      </c>
      <c r="M99" s="4" t="s">
        <v>1508</v>
      </c>
      <c r="N99" s="4" t="s">
        <v>1509</v>
      </c>
      <c r="O99" s="4" t="s">
        <v>1510</v>
      </c>
      <c r="P99" s="4" t="s">
        <v>1511</v>
      </c>
      <c r="Q99" s="4" t="s">
        <v>190</v>
      </c>
      <c r="R99" s="4" t="s">
        <v>191</v>
      </c>
      <c r="S99" s="4" t="s">
        <v>1512</v>
      </c>
      <c r="T99" s="4" t="s">
        <v>1513</v>
      </c>
      <c r="U99" s="4" t="s">
        <v>1514</v>
      </c>
      <c r="V99" s="4" t="s">
        <v>153</v>
      </c>
      <c r="W99" s="4" t="s">
        <v>1515</v>
      </c>
      <c r="X99" s="4" t="s">
        <v>1516</v>
      </c>
      <c r="Y99" s="4" t="s">
        <v>1517</v>
      </c>
      <c r="Z99" s="4" t="s">
        <v>197</v>
      </c>
      <c r="AA99" s="4" t="s">
        <v>1518</v>
      </c>
      <c r="AB99" s="4" t="s">
        <v>153</v>
      </c>
      <c r="AC99" s="4" t="s">
        <v>1519</v>
      </c>
      <c r="AD99" s="4" t="s">
        <v>1516</v>
      </c>
      <c r="AE99" s="4" t="s">
        <v>1520</v>
      </c>
      <c r="AF99" s="4" t="s">
        <v>1521</v>
      </c>
      <c r="AG99" s="4" t="s">
        <v>1522</v>
      </c>
      <c r="AH99" s="4" t="s">
        <v>153</v>
      </c>
      <c r="AI99" s="5">
        <v>44927</v>
      </c>
      <c r="AJ99" t="s">
        <v>1523</v>
      </c>
      <c r="AK99" s="4">
        <v>20</v>
      </c>
      <c r="AL99" t="s">
        <v>1524</v>
      </c>
      <c r="AM99" t="s">
        <v>153</v>
      </c>
      <c r="AO99" t="s">
        <v>153</v>
      </c>
      <c r="AP99" s="4"/>
      <c r="AQ99" t="s">
        <v>153</v>
      </c>
      <c r="AR99" s="5"/>
      <c r="AT99" s="4" t="s">
        <v>153</v>
      </c>
      <c r="AU99" s="4" t="s">
        <v>153</v>
      </c>
      <c r="AV99" s="4" t="s">
        <v>153</v>
      </c>
      <c r="AW99" t="s">
        <v>153</v>
      </c>
      <c r="AX99" t="s">
        <v>153</v>
      </c>
      <c r="AY99" t="s">
        <v>153</v>
      </c>
      <c r="AZ99" t="s">
        <v>153</v>
      </c>
      <c r="BA99" t="s">
        <v>153</v>
      </c>
      <c r="BB99" t="s">
        <v>153</v>
      </c>
      <c r="BC99" t="s">
        <v>153</v>
      </c>
      <c r="BD99" s="4" t="s">
        <v>153</v>
      </c>
      <c r="BE99" s="4" t="s">
        <v>153</v>
      </c>
      <c r="BF99" t="s">
        <v>153</v>
      </c>
      <c r="BG99" s="4" t="s">
        <v>153</v>
      </c>
      <c r="BH99" t="s">
        <v>153</v>
      </c>
      <c r="BI99" s="4" t="s">
        <v>153</v>
      </c>
      <c r="BJ99" t="s">
        <v>153</v>
      </c>
      <c r="BK99" s="4" t="s">
        <v>153</v>
      </c>
      <c r="BL99" t="s">
        <v>153</v>
      </c>
      <c r="BM99" t="s">
        <v>153</v>
      </c>
      <c r="BN99" s="4" t="s">
        <v>153</v>
      </c>
      <c r="BO99" s="4" t="s">
        <v>153</v>
      </c>
      <c r="BP99" s="4" t="s">
        <v>153</v>
      </c>
      <c r="BQ99" s="4" t="s">
        <v>153</v>
      </c>
      <c r="BR99" s="4" t="s">
        <v>153</v>
      </c>
      <c r="BS99" s="4" t="s">
        <v>153</v>
      </c>
      <c r="BT99" s="4" t="s">
        <v>153</v>
      </c>
      <c r="BU99" s="4" t="s">
        <v>153</v>
      </c>
      <c r="BV99" s="4"/>
      <c r="BW99" s="4" t="s">
        <v>153</v>
      </c>
      <c r="BX99" s="4" t="s">
        <v>153</v>
      </c>
      <c r="BY99" s="4" t="s">
        <v>153</v>
      </c>
      <c r="BZ99" s="4" t="s">
        <v>153</v>
      </c>
      <c r="CA99" s="4" t="s">
        <v>153</v>
      </c>
      <c r="CB99" s="4"/>
      <c r="CC99" s="4" t="s">
        <v>153</v>
      </c>
      <c r="CD99" t="s">
        <v>153</v>
      </c>
      <c r="CE99" s="4" t="s">
        <v>153</v>
      </c>
      <c r="CF99" s="4" t="s">
        <v>153</v>
      </c>
      <c r="CG99" s="4" t="s">
        <v>153</v>
      </c>
      <c r="CH99" s="5"/>
      <c r="CI99" t="s">
        <v>153</v>
      </c>
      <c r="CJ99" s="4"/>
      <c r="CK99" t="s">
        <v>153</v>
      </c>
      <c r="CL99" t="s">
        <v>153</v>
      </c>
      <c r="CM99" t="s">
        <v>153</v>
      </c>
      <c r="CN99" t="s">
        <v>153</v>
      </c>
      <c r="CO99" s="5"/>
      <c r="CP99" s="4" t="s">
        <v>153</v>
      </c>
      <c r="CQ99" s="4" t="s">
        <v>153</v>
      </c>
      <c r="CR99" t="s">
        <v>153</v>
      </c>
      <c r="CS99" t="s">
        <v>153</v>
      </c>
      <c r="CT99" t="s">
        <v>153</v>
      </c>
      <c r="CU99" t="s">
        <v>153</v>
      </c>
      <c r="CV99" t="s">
        <v>153</v>
      </c>
      <c r="CW99" t="s">
        <v>153</v>
      </c>
      <c r="CX99" t="s">
        <v>153</v>
      </c>
      <c r="CY99" t="s">
        <v>153</v>
      </c>
      <c r="CZ99" t="s">
        <v>153</v>
      </c>
      <c r="DA99" t="s">
        <v>153</v>
      </c>
      <c r="DB99" t="s">
        <v>153</v>
      </c>
      <c r="DC99" t="s">
        <v>153</v>
      </c>
      <c r="DD99" t="s">
        <v>153</v>
      </c>
      <c r="DE99" t="s">
        <v>153</v>
      </c>
      <c r="DF99" t="s">
        <v>153</v>
      </c>
      <c r="DG99" t="s">
        <v>153</v>
      </c>
      <c r="DI99" t="s">
        <v>153</v>
      </c>
      <c r="DJ99" t="s">
        <v>153</v>
      </c>
      <c r="DK99" t="s">
        <v>153</v>
      </c>
      <c r="DL99" t="s">
        <v>153</v>
      </c>
      <c r="DN99" t="s">
        <v>153</v>
      </c>
      <c r="DO99" t="s">
        <v>153</v>
      </c>
      <c r="DP99" t="s">
        <v>153</v>
      </c>
      <c r="DQ99" t="s">
        <v>153</v>
      </c>
      <c r="DR99" t="s">
        <v>153</v>
      </c>
      <c r="DS99" t="s">
        <v>153</v>
      </c>
      <c r="DT99" t="s">
        <v>153</v>
      </c>
      <c r="DU99" t="s">
        <v>153</v>
      </c>
      <c r="DV99" t="s">
        <v>153</v>
      </c>
      <c r="DW99" t="s">
        <v>153</v>
      </c>
      <c r="DX99" s="2"/>
      <c r="DY99" t="s">
        <v>153</v>
      </c>
      <c r="DZ99" t="s">
        <v>153</v>
      </c>
      <c r="EA99" t="s">
        <v>153</v>
      </c>
      <c r="EB99" t="s">
        <v>153</v>
      </c>
      <c r="EC99" t="s">
        <v>153</v>
      </c>
      <c r="ED99" t="s">
        <v>153</v>
      </c>
      <c r="EE99" t="s">
        <v>153</v>
      </c>
      <c r="EF99" t="s">
        <v>153</v>
      </c>
      <c r="EH99" t="s">
        <v>153</v>
      </c>
      <c r="EI99" t="s">
        <v>153</v>
      </c>
      <c r="EJ99" t="s">
        <v>153</v>
      </c>
      <c r="EK99" t="s">
        <v>153</v>
      </c>
      <c r="EM99" t="s">
        <v>153</v>
      </c>
      <c r="EN99" t="s">
        <v>153</v>
      </c>
      <c r="EP99" s="4" t="s">
        <v>242</v>
      </c>
      <c r="EQ99" s="4" t="s">
        <v>153</v>
      </c>
      <c r="ER99" s="4" t="s">
        <v>191</v>
      </c>
      <c r="ES99" s="4" t="s">
        <v>153</v>
      </c>
      <c r="ET99" t="s">
        <v>153</v>
      </c>
      <c r="EU99" t="s">
        <v>1525</v>
      </c>
      <c r="EV99" t="s">
        <v>1067</v>
      </c>
      <c r="EW99">
        <v>1153333588</v>
      </c>
      <c r="EX99" t="s">
        <v>1068</v>
      </c>
    </row>
    <row r="100" spans="1:154" x14ac:dyDescent="0.25">
      <c r="A100" s="3">
        <v>45222.04011574074</v>
      </c>
      <c r="B100" s="4" t="s">
        <v>1050</v>
      </c>
      <c r="C100" s="4" t="s">
        <v>892</v>
      </c>
      <c r="D100" s="4" t="s">
        <v>893</v>
      </c>
      <c r="E100" s="4" t="s">
        <v>894</v>
      </c>
      <c r="F100" s="4" t="s">
        <v>895</v>
      </c>
      <c r="G100" s="4" t="s">
        <v>185</v>
      </c>
      <c r="H100" s="4" t="s">
        <v>542</v>
      </c>
      <c r="I100" s="4" t="s">
        <v>153</v>
      </c>
      <c r="J100" s="4" t="s">
        <v>153</v>
      </c>
      <c r="K100" s="5"/>
      <c r="L100" s="4" t="s">
        <v>153</v>
      </c>
      <c r="M100" s="4" t="s">
        <v>1526</v>
      </c>
      <c r="N100" s="4" t="s">
        <v>1527</v>
      </c>
      <c r="O100" s="4" t="s">
        <v>1528</v>
      </c>
      <c r="P100" s="4" t="s">
        <v>1529</v>
      </c>
      <c r="Q100" s="4" t="s">
        <v>403</v>
      </c>
      <c r="R100" s="4" t="s">
        <v>153</v>
      </c>
      <c r="S100" s="4" t="s">
        <v>153</v>
      </c>
      <c r="T100" s="4" t="s">
        <v>153</v>
      </c>
      <c r="U100" s="4" t="s">
        <v>1530</v>
      </c>
      <c r="V100" s="4" t="s">
        <v>153</v>
      </c>
      <c r="W100" s="4" t="s">
        <v>1531</v>
      </c>
      <c r="X100" s="4" t="s">
        <v>722</v>
      </c>
      <c r="Y100" s="4" t="s">
        <v>1532</v>
      </c>
      <c r="Z100" s="4" t="s">
        <v>1533</v>
      </c>
      <c r="AA100" s="4" t="s">
        <v>1534</v>
      </c>
      <c r="AB100" s="4" t="s">
        <v>153</v>
      </c>
      <c r="AC100" s="4" t="s">
        <v>1535</v>
      </c>
      <c r="AD100" s="4" t="s">
        <v>722</v>
      </c>
      <c r="AE100" s="4" t="s">
        <v>1536</v>
      </c>
      <c r="AF100" s="4" t="s">
        <v>1537</v>
      </c>
      <c r="AG100" s="4" t="s">
        <v>1538</v>
      </c>
      <c r="AH100" s="4" t="s">
        <v>153</v>
      </c>
      <c r="AI100" s="5">
        <v>45020</v>
      </c>
      <c r="AJ100" t="s">
        <v>153</v>
      </c>
      <c r="AK100" s="4">
        <v>1</v>
      </c>
      <c r="AL100" t="s">
        <v>153</v>
      </c>
      <c r="AM100" t="s">
        <v>414</v>
      </c>
      <c r="AN100">
        <v>13</v>
      </c>
      <c r="AO100" t="s">
        <v>1539</v>
      </c>
      <c r="AP100" s="4">
        <v>923604233</v>
      </c>
      <c r="AQ100" t="s">
        <v>1540</v>
      </c>
      <c r="AR100" s="5"/>
      <c r="AT100" s="4" t="s">
        <v>153</v>
      </c>
      <c r="AU100" s="4" t="s">
        <v>153</v>
      </c>
      <c r="AV100" s="4" t="s">
        <v>153</v>
      </c>
      <c r="AW100" t="s">
        <v>153</v>
      </c>
      <c r="AX100" t="s">
        <v>153</v>
      </c>
      <c r="AY100" t="s">
        <v>153</v>
      </c>
      <c r="AZ100" t="s">
        <v>153</v>
      </c>
      <c r="BA100" t="s">
        <v>153</v>
      </c>
      <c r="BB100" t="s">
        <v>153</v>
      </c>
      <c r="BC100" t="s">
        <v>153</v>
      </c>
      <c r="BD100" s="4" t="s">
        <v>153</v>
      </c>
      <c r="BE100" s="4" t="s">
        <v>153</v>
      </c>
      <c r="BF100" t="s">
        <v>153</v>
      </c>
      <c r="BG100" s="4" t="s">
        <v>153</v>
      </c>
      <c r="BH100" t="s">
        <v>153</v>
      </c>
      <c r="BI100" s="4" t="s">
        <v>153</v>
      </c>
      <c r="BJ100" t="s">
        <v>153</v>
      </c>
      <c r="BK100" s="4" t="s">
        <v>153</v>
      </c>
      <c r="BL100" t="s">
        <v>153</v>
      </c>
      <c r="BM100" t="s">
        <v>153</v>
      </c>
      <c r="BN100" s="4" t="s">
        <v>153</v>
      </c>
      <c r="BO100" s="4" t="s">
        <v>153</v>
      </c>
      <c r="BP100" s="4" t="s">
        <v>153</v>
      </c>
      <c r="BQ100" s="4" t="s">
        <v>153</v>
      </c>
      <c r="BR100" s="4" t="s">
        <v>153</v>
      </c>
      <c r="BS100" s="4" t="s">
        <v>153</v>
      </c>
      <c r="BT100" s="4" t="s">
        <v>153</v>
      </c>
      <c r="BU100" s="4" t="s">
        <v>153</v>
      </c>
      <c r="BV100" s="4"/>
      <c r="BW100" s="4" t="s">
        <v>153</v>
      </c>
      <c r="BX100" s="4" t="s">
        <v>153</v>
      </c>
      <c r="BY100" s="4" t="s">
        <v>153</v>
      </c>
      <c r="BZ100" s="4" t="s">
        <v>153</v>
      </c>
      <c r="CA100" s="4" t="s">
        <v>153</v>
      </c>
      <c r="CB100" s="4"/>
      <c r="CC100" s="4" t="s">
        <v>153</v>
      </c>
      <c r="CD100" t="s">
        <v>153</v>
      </c>
      <c r="CE100" s="4" t="s">
        <v>153</v>
      </c>
      <c r="CF100" s="4" t="s">
        <v>153</v>
      </c>
      <c r="CG100" s="4" t="s">
        <v>153</v>
      </c>
      <c r="CH100" s="5"/>
      <c r="CI100" t="s">
        <v>153</v>
      </c>
      <c r="CJ100" s="4"/>
      <c r="CK100" t="s">
        <v>153</v>
      </c>
      <c r="CL100" t="s">
        <v>153</v>
      </c>
      <c r="CM100" t="s">
        <v>153</v>
      </c>
      <c r="CN100" t="s">
        <v>153</v>
      </c>
      <c r="CO100" s="5"/>
      <c r="CP100" s="4" t="s">
        <v>153</v>
      </c>
      <c r="CQ100" s="4" t="s">
        <v>153</v>
      </c>
      <c r="CR100" t="s">
        <v>153</v>
      </c>
      <c r="CS100" t="s">
        <v>153</v>
      </c>
      <c r="CT100" t="s">
        <v>153</v>
      </c>
      <c r="CU100" t="s">
        <v>153</v>
      </c>
      <c r="CV100" t="s">
        <v>153</v>
      </c>
      <c r="CW100" t="s">
        <v>153</v>
      </c>
      <c r="CX100" t="s">
        <v>153</v>
      </c>
      <c r="CY100" t="s">
        <v>153</v>
      </c>
      <c r="CZ100" t="s">
        <v>153</v>
      </c>
      <c r="DA100" t="s">
        <v>153</v>
      </c>
      <c r="DB100" t="s">
        <v>153</v>
      </c>
      <c r="DC100" t="s">
        <v>153</v>
      </c>
      <c r="DD100" t="s">
        <v>153</v>
      </c>
      <c r="DE100" t="s">
        <v>153</v>
      </c>
      <c r="DF100" t="s">
        <v>153</v>
      </c>
      <c r="DG100" t="s">
        <v>153</v>
      </c>
      <c r="DI100" t="s">
        <v>153</v>
      </c>
      <c r="DJ100" t="s">
        <v>153</v>
      </c>
      <c r="DK100" t="s">
        <v>153</v>
      </c>
      <c r="DL100" t="s">
        <v>153</v>
      </c>
      <c r="DN100" t="s">
        <v>153</v>
      </c>
      <c r="DO100" t="s">
        <v>153</v>
      </c>
      <c r="DP100" t="s">
        <v>153</v>
      </c>
      <c r="DQ100" t="s">
        <v>153</v>
      </c>
      <c r="DR100" t="s">
        <v>153</v>
      </c>
      <c r="DS100" t="s">
        <v>153</v>
      </c>
      <c r="DT100" t="s">
        <v>153</v>
      </c>
      <c r="DU100" t="s">
        <v>153</v>
      </c>
      <c r="DV100" t="s">
        <v>153</v>
      </c>
      <c r="DW100" t="s">
        <v>153</v>
      </c>
      <c r="DX100" s="2"/>
      <c r="DY100" t="s">
        <v>153</v>
      </c>
      <c r="DZ100" t="s">
        <v>153</v>
      </c>
      <c r="EA100" t="s">
        <v>153</v>
      </c>
      <c r="EB100" t="s">
        <v>153</v>
      </c>
      <c r="EC100" t="s">
        <v>153</v>
      </c>
      <c r="ED100" t="s">
        <v>153</v>
      </c>
      <c r="EE100" t="s">
        <v>153</v>
      </c>
      <c r="EF100" t="s">
        <v>153</v>
      </c>
      <c r="EH100" t="s">
        <v>153</v>
      </c>
      <c r="EI100" t="s">
        <v>153</v>
      </c>
      <c r="EJ100" t="s">
        <v>153</v>
      </c>
      <c r="EK100" t="s">
        <v>153</v>
      </c>
      <c r="EM100" t="s">
        <v>153</v>
      </c>
      <c r="EN100" t="s">
        <v>153</v>
      </c>
      <c r="EP100" s="4" t="s">
        <v>153</v>
      </c>
      <c r="EQ100" s="4" t="s">
        <v>153</v>
      </c>
      <c r="ER100" s="4" t="s">
        <v>153</v>
      </c>
      <c r="ES100" s="4" t="s">
        <v>153</v>
      </c>
      <c r="ET100" t="s">
        <v>1541</v>
      </c>
      <c r="EU100" t="s">
        <v>1525</v>
      </c>
      <c r="EV100" t="s">
        <v>909</v>
      </c>
      <c r="EW100">
        <v>1155111282</v>
      </c>
      <c r="EX100" t="s">
        <v>1093</v>
      </c>
    </row>
    <row r="101" spans="1:154" x14ac:dyDescent="0.25">
      <c r="A101" s="3">
        <v>45222.048981481479</v>
      </c>
      <c r="B101" s="4" t="s">
        <v>1050</v>
      </c>
      <c r="C101" s="4" t="s">
        <v>892</v>
      </c>
      <c r="D101" s="4" t="s">
        <v>893</v>
      </c>
      <c r="E101" s="4" t="s">
        <v>894</v>
      </c>
      <c r="F101" s="4" t="s">
        <v>895</v>
      </c>
      <c r="G101" s="4" t="s">
        <v>185</v>
      </c>
      <c r="H101" s="4" t="s">
        <v>542</v>
      </c>
      <c r="I101" s="4" t="s">
        <v>153</v>
      </c>
      <c r="J101" s="4" t="s">
        <v>153</v>
      </c>
      <c r="K101" s="5"/>
      <c r="L101" s="4" t="s">
        <v>153</v>
      </c>
      <c r="M101" s="4" t="s">
        <v>1542</v>
      </c>
      <c r="N101" s="4" t="s">
        <v>153</v>
      </c>
      <c r="O101" s="4" t="s">
        <v>1543</v>
      </c>
      <c r="P101" s="4" t="s">
        <v>1544</v>
      </c>
      <c r="Q101" s="4" t="s">
        <v>190</v>
      </c>
      <c r="R101" s="4" t="s">
        <v>308</v>
      </c>
      <c r="S101" s="4" t="s">
        <v>153</v>
      </c>
      <c r="T101" s="4" t="s">
        <v>1526</v>
      </c>
      <c r="U101" s="4" t="s">
        <v>1545</v>
      </c>
      <c r="V101" s="4" t="s">
        <v>153</v>
      </c>
      <c r="W101" s="4" t="s">
        <v>1546</v>
      </c>
      <c r="X101" s="4" t="s">
        <v>1074</v>
      </c>
      <c r="Y101" s="4" t="s">
        <v>1547</v>
      </c>
      <c r="Z101" s="4" t="s">
        <v>197</v>
      </c>
      <c r="AA101" s="4" t="s">
        <v>1548</v>
      </c>
      <c r="AB101" s="4" t="s">
        <v>153</v>
      </c>
      <c r="AC101" s="4" t="s">
        <v>1549</v>
      </c>
      <c r="AD101" s="4" t="s">
        <v>1074</v>
      </c>
      <c r="AE101" s="4" t="s">
        <v>1550</v>
      </c>
      <c r="AF101" s="4" t="s">
        <v>1551</v>
      </c>
      <c r="AG101" s="4" t="s">
        <v>1552</v>
      </c>
      <c r="AH101" s="4" t="s">
        <v>153</v>
      </c>
      <c r="AI101" s="5">
        <v>45059</v>
      </c>
      <c r="AJ101" t="s">
        <v>153</v>
      </c>
      <c r="AK101" s="4">
        <v>1</v>
      </c>
      <c r="AL101" t="s">
        <v>153</v>
      </c>
      <c r="AM101" t="s">
        <v>153</v>
      </c>
      <c r="AO101" t="s">
        <v>153</v>
      </c>
      <c r="AP101" s="4"/>
      <c r="AQ101" t="s">
        <v>153</v>
      </c>
      <c r="AR101" s="5"/>
      <c r="AT101" s="4" t="s">
        <v>153</v>
      </c>
      <c r="AU101" s="4" t="s">
        <v>153</v>
      </c>
      <c r="AV101" s="4" t="s">
        <v>153</v>
      </c>
      <c r="AW101" t="s">
        <v>153</v>
      </c>
      <c r="AX101" t="s">
        <v>153</v>
      </c>
      <c r="AY101" t="s">
        <v>153</v>
      </c>
      <c r="AZ101" t="s">
        <v>153</v>
      </c>
      <c r="BA101" t="s">
        <v>153</v>
      </c>
      <c r="BB101" t="s">
        <v>153</v>
      </c>
      <c r="BC101" t="s">
        <v>153</v>
      </c>
      <c r="BD101" s="4" t="s">
        <v>153</v>
      </c>
      <c r="BE101" s="4" t="s">
        <v>153</v>
      </c>
      <c r="BF101" t="s">
        <v>153</v>
      </c>
      <c r="BG101" s="4" t="s">
        <v>153</v>
      </c>
      <c r="BH101" t="s">
        <v>153</v>
      </c>
      <c r="BI101" s="4" t="s">
        <v>153</v>
      </c>
      <c r="BJ101" t="s">
        <v>153</v>
      </c>
      <c r="BK101" s="4" t="s">
        <v>153</v>
      </c>
      <c r="BL101" t="s">
        <v>153</v>
      </c>
      <c r="BM101" t="s">
        <v>153</v>
      </c>
      <c r="BN101" s="4" t="s">
        <v>153</v>
      </c>
      <c r="BO101" s="4" t="s">
        <v>153</v>
      </c>
      <c r="BP101" s="4" t="s">
        <v>153</v>
      </c>
      <c r="BQ101" s="4" t="s">
        <v>153</v>
      </c>
      <c r="BR101" s="4" t="s">
        <v>153</v>
      </c>
      <c r="BS101" s="4" t="s">
        <v>153</v>
      </c>
      <c r="BT101" s="4" t="s">
        <v>153</v>
      </c>
      <c r="BU101" s="4" t="s">
        <v>153</v>
      </c>
      <c r="BV101" s="4"/>
      <c r="BW101" s="4" t="s">
        <v>153</v>
      </c>
      <c r="BX101" s="4" t="s">
        <v>153</v>
      </c>
      <c r="BY101" s="4" t="s">
        <v>153</v>
      </c>
      <c r="BZ101" s="4" t="s">
        <v>153</v>
      </c>
      <c r="CA101" s="4" t="s">
        <v>153</v>
      </c>
      <c r="CB101" s="4"/>
      <c r="CC101" s="4" t="s">
        <v>153</v>
      </c>
      <c r="CD101" t="s">
        <v>153</v>
      </c>
      <c r="CE101" s="4" t="s">
        <v>153</v>
      </c>
      <c r="CF101" s="4" t="s">
        <v>153</v>
      </c>
      <c r="CG101" s="4" t="s">
        <v>153</v>
      </c>
      <c r="CH101" s="5"/>
      <c r="CI101" t="s">
        <v>153</v>
      </c>
      <c r="CJ101" s="4"/>
      <c r="CK101" t="s">
        <v>153</v>
      </c>
      <c r="CL101" t="s">
        <v>153</v>
      </c>
      <c r="CM101" t="s">
        <v>153</v>
      </c>
      <c r="CN101" t="s">
        <v>153</v>
      </c>
      <c r="CO101" s="5"/>
      <c r="CP101" s="4" t="s">
        <v>153</v>
      </c>
      <c r="CQ101" s="4" t="s">
        <v>153</v>
      </c>
      <c r="CR101" t="s">
        <v>153</v>
      </c>
      <c r="CS101" t="s">
        <v>153</v>
      </c>
      <c r="CT101" t="s">
        <v>153</v>
      </c>
      <c r="CU101" t="s">
        <v>153</v>
      </c>
      <c r="CV101" t="s">
        <v>153</v>
      </c>
      <c r="CW101" t="s">
        <v>153</v>
      </c>
      <c r="CX101" t="s">
        <v>153</v>
      </c>
      <c r="CY101" t="s">
        <v>153</v>
      </c>
      <c r="CZ101" t="s">
        <v>153</v>
      </c>
      <c r="DA101" t="s">
        <v>153</v>
      </c>
      <c r="DB101" t="s">
        <v>153</v>
      </c>
      <c r="DC101" t="s">
        <v>153</v>
      </c>
      <c r="DD101" t="s">
        <v>153</v>
      </c>
      <c r="DE101" t="s">
        <v>153</v>
      </c>
      <c r="DF101" t="s">
        <v>153</v>
      </c>
      <c r="DG101" t="s">
        <v>153</v>
      </c>
      <c r="DI101" t="s">
        <v>153</v>
      </c>
      <c r="DJ101" t="s">
        <v>153</v>
      </c>
      <c r="DK101" t="s">
        <v>153</v>
      </c>
      <c r="DL101" t="s">
        <v>153</v>
      </c>
      <c r="DN101" t="s">
        <v>153</v>
      </c>
      <c r="DO101" t="s">
        <v>153</v>
      </c>
      <c r="DP101" t="s">
        <v>153</v>
      </c>
      <c r="DQ101" t="s">
        <v>153</v>
      </c>
      <c r="DR101" t="s">
        <v>153</v>
      </c>
      <c r="DS101" t="s">
        <v>153</v>
      </c>
      <c r="DT101" t="s">
        <v>153</v>
      </c>
      <c r="DU101" t="s">
        <v>153</v>
      </c>
      <c r="DV101" t="s">
        <v>153</v>
      </c>
      <c r="DW101" t="s">
        <v>153</v>
      </c>
      <c r="DX101" s="2"/>
      <c r="DY101" t="s">
        <v>153</v>
      </c>
      <c r="DZ101" t="s">
        <v>153</v>
      </c>
      <c r="EA101" t="s">
        <v>153</v>
      </c>
      <c r="EB101" t="s">
        <v>153</v>
      </c>
      <c r="EC101" t="s">
        <v>153</v>
      </c>
      <c r="ED101" t="s">
        <v>153</v>
      </c>
      <c r="EE101" t="s">
        <v>153</v>
      </c>
      <c r="EF101" t="s">
        <v>153</v>
      </c>
      <c r="EH101" t="s">
        <v>153</v>
      </c>
      <c r="EI101" t="s">
        <v>153</v>
      </c>
      <c r="EJ101" t="s">
        <v>153</v>
      </c>
      <c r="EK101" t="s">
        <v>153</v>
      </c>
      <c r="EM101" t="s">
        <v>153</v>
      </c>
      <c r="EN101" t="s">
        <v>153</v>
      </c>
      <c r="EP101" s="4" t="s">
        <v>153</v>
      </c>
      <c r="EQ101" s="4" t="s">
        <v>153</v>
      </c>
      <c r="ER101" s="4" t="s">
        <v>176</v>
      </c>
      <c r="ES101" s="4" t="s">
        <v>153</v>
      </c>
      <c r="ET101" t="s">
        <v>1553</v>
      </c>
      <c r="EU101" t="s">
        <v>1525</v>
      </c>
      <c r="EV101" t="s">
        <v>909</v>
      </c>
      <c r="EW101">
        <v>1155112620</v>
      </c>
      <c r="EX101" t="s">
        <v>1093</v>
      </c>
    </row>
    <row r="102" spans="1:154" x14ac:dyDescent="0.25">
      <c r="A102" s="3">
        <v>45222.060567129629</v>
      </c>
      <c r="B102" s="4" t="s">
        <v>1050</v>
      </c>
      <c r="C102" s="4" t="s">
        <v>892</v>
      </c>
      <c r="D102" s="4" t="s">
        <v>893</v>
      </c>
      <c r="E102" s="4" t="s">
        <v>894</v>
      </c>
      <c r="F102" s="4" t="s">
        <v>895</v>
      </c>
      <c r="G102" s="4" t="s">
        <v>185</v>
      </c>
      <c r="H102" s="4" t="s">
        <v>542</v>
      </c>
      <c r="I102" s="4" t="s">
        <v>153</v>
      </c>
      <c r="J102" s="4" t="s">
        <v>153</v>
      </c>
      <c r="K102" s="5"/>
      <c r="L102" s="4" t="s">
        <v>153</v>
      </c>
      <c r="M102" s="4" t="s">
        <v>1554</v>
      </c>
      <c r="N102" s="4" t="s">
        <v>153</v>
      </c>
      <c r="O102" s="4" t="s">
        <v>419</v>
      </c>
      <c r="P102" s="4" t="s">
        <v>1555</v>
      </c>
      <c r="Q102" s="4" t="s">
        <v>190</v>
      </c>
      <c r="R102" s="4" t="s">
        <v>205</v>
      </c>
      <c r="S102" s="4" t="s">
        <v>153</v>
      </c>
      <c r="T102" s="4" t="s">
        <v>1526</v>
      </c>
      <c r="U102" s="4" t="s">
        <v>1556</v>
      </c>
      <c r="V102" s="4" t="s">
        <v>153</v>
      </c>
      <c r="W102" s="4" t="s">
        <v>1557</v>
      </c>
      <c r="X102" s="4" t="s">
        <v>722</v>
      </c>
      <c r="Y102" s="4" t="s">
        <v>1558</v>
      </c>
      <c r="Z102" s="4" t="s">
        <v>197</v>
      </c>
      <c r="AA102" s="4" t="s">
        <v>1559</v>
      </c>
      <c r="AB102" s="4" t="s">
        <v>153</v>
      </c>
      <c r="AC102" s="4" t="s">
        <v>1557</v>
      </c>
      <c r="AD102" s="4" t="s">
        <v>722</v>
      </c>
      <c r="AE102" s="4" t="s">
        <v>1560</v>
      </c>
      <c r="AF102" s="4" t="s">
        <v>1561</v>
      </c>
      <c r="AG102" s="4" t="s">
        <v>1562</v>
      </c>
      <c r="AH102" s="4" t="s">
        <v>153</v>
      </c>
      <c r="AI102" s="5">
        <v>45078</v>
      </c>
      <c r="AJ102" t="s">
        <v>153</v>
      </c>
      <c r="AK102" s="4">
        <v>1</v>
      </c>
      <c r="AL102" t="s">
        <v>153</v>
      </c>
      <c r="AM102" t="s">
        <v>153</v>
      </c>
      <c r="AO102" t="s">
        <v>153</v>
      </c>
      <c r="AP102" s="4"/>
      <c r="AQ102" t="s">
        <v>153</v>
      </c>
      <c r="AR102" s="5"/>
      <c r="AT102" s="4" t="s">
        <v>153</v>
      </c>
      <c r="AU102" s="4" t="s">
        <v>153</v>
      </c>
      <c r="AV102" s="4" t="s">
        <v>153</v>
      </c>
      <c r="AW102" t="s">
        <v>153</v>
      </c>
      <c r="AX102" t="s">
        <v>153</v>
      </c>
      <c r="AY102" t="s">
        <v>153</v>
      </c>
      <c r="AZ102" t="s">
        <v>153</v>
      </c>
      <c r="BA102" t="s">
        <v>153</v>
      </c>
      <c r="BB102" t="s">
        <v>153</v>
      </c>
      <c r="BC102" t="s">
        <v>153</v>
      </c>
      <c r="BD102" s="4" t="s">
        <v>153</v>
      </c>
      <c r="BE102" s="4" t="s">
        <v>153</v>
      </c>
      <c r="BF102" t="s">
        <v>153</v>
      </c>
      <c r="BG102" s="4" t="s">
        <v>153</v>
      </c>
      <c r="BH102" t="s">
        <v>153</v>
      </c>
      <c r="BI102" s="4" t="s">
        <v>153</v>
      </c>
      <c r="BJ102" t="s">
        <v>153</v>
      </c>
      <c r="BK102" s="4" t="s">
        <v>153</v>
      </c>
      <c r="BL102" t="s">
        <v>153</v>
      </c>
      <c r="BM102" t="s">
        <v>153</v>
      </c>
      <c r="BN102" s="4" t="s">
        <v>153</v>
      </c>
      <c r="BO102" s="4" t="s">
        <v>153</v>
      </c>
      <c r="BP102" s="4" t="s">
        <v>153</v>
      </c>
      <c r="BQ102" s="4" t="s">
        <v>153</v>
      </c>
      <c r="BR102" s="4" t="s">
        <v>153</v>
      </c>
      <c r="BS102" s="4" t="s">
        <v>153</v>
      </c>
      <c r="BT102" s="4" t="s">
        <v>153</v>
      </c>
      <c r="BU102" s="4" t="s">
        <v>153</v>
      </c>
      <c r="BV102" s="4"/>
      <c r="BW102" s="4" t="s">
        <v>153</v>
      </c>
      <c r="BX102" s="4" t="s">
        <v>153</v>
      </c>
      <c r="BY102" s="4" t="s">
        <v>153</v>
      </c>
      <c r="BZ102" s="4" t="s">
        <v>153</v>
      </c>
      <c r="CA102" s="4" t="s">
        <v>153</v>
      </c>
      <c r="CB102" s="4"/>
      <c r="CC102" s="4" t="s">
        <v>153</v>
      </c>
      <c r="CD102" t="s">
        <v>153</v>
      </c>
      <c r="CE102" s="4" t="s">
        <v>153</v>
      </c>
      <c r="CF102" s="4" t="s">
        <v>153</v>
      </c>
      <c r="CG102" s="4" t="s">
        <v>153</v>
      </c>
      <c r="CH102" s="5"/>
      <c r="CI102" t="s">
        <v>153</v>
      </c>
      <c r="CJ102" s="4"/>
      <c r="CK102" t="s">
        <v>153</v>
      </c>
      <c r="CL102" t="s">
        <v>153</v>
      </c>
      <c r="CM102" t="s">
        <v>153</v>
      </c>
      <c r="CN102" t="s">
        <v>153</v>
      </c>
      <c r="CO102" s="5"/>
      <c r="CP102" s="4" t="s">
        <v>153</v>
      </c>
      <c r="CQ102" s="4" t="s">
        <v>153</v>
      </c>
      <c r="CR102" t="s">
        <v>153</v>
      </c>
      <c r="CS102" t="s">
        <v>153</v>
      </c>
      <c r="CT102" t="s">
        <v>153</v>
      </c>
      <c r="CU102" t="s">
        <v>153</v>
      </c>
      <c r="CV102" t="s">
        <v>153</v>
      </c>
      <c r="CW102" t="s">
        <v>153</v>
      </c>
      <c r="CX102" t="s">
        <v>153</v>
      </c>
      <c r="CY102" t="s">
        <v>153</v>
      </c>
      <c r="CZ102" t="s">
        <v>153</v>
      </c>
      <c r="DA102" t="s">
        <v>153</v>
      </c>
      <c r="DB102" t="s">
        <v>153</v>
      </c>
      <c r="DC102" t="s">
        <v>153</v>
      </c>
      <c r="DD102" t="s">
        <v>153</v>
      </c>
      <c r="DE102" t="s">
        <v>153</v>
      </c>
      <c r="DF102" t="s">
        <v>153</v>
      </c>
      <c r="DG102" t="s">
        <v>153</v>
      </c>
      <c r="DI102" t="s">
        <v>153</v>
      </c>
      <c r="DJ102" t="s">
        <v>153</v>
      </c>
      <c r="DK102" t="s">
        <v>153</v>
      </c>
      <c r="DL102" t="s">
        <v>153</v>
      </c>
      <c r="DN102" t="s">
        <v>153</v>
      </c>
      <c r="DO102" t="s">
        <v>153</v>
      </c>
      <c r="DP102" t="s">
        <v>153</v>
      </c>
      <c r="DQ102" t="s">
        <v>153</v>
      </c>
      <c r="DR102" t="s">
        <v>153</v>
      </c>
      <c r="DS102" t="s">
        <v>153</v>
      </c>
      <c r="DT102" t="s">
        <v>153</v>
      </c>
      <c r="DU102" t="s">
        <v>153</v>
      </c>
      <c r="DV102" t="s">
        <v>153</v>
      </c>
      <c r="DW102" t="s">
        <v>153</v>
      </c>
      <c r="DX102" s="2"/>
      <c r="DY102" t="s">
        <v>153</v>
      </c>
      <c r="DZ102" t="s">
        <v>153</v>
      </c>
      <c r="EA102" t="s">
        <v>153</v>
      </c>
      <c r="EB102" t="s">
        <v>153</v>
      </c>
      <c r="EC102" t="s">
        <v>153</v>
      </c>
      <c r="ED102" t="s">
        <v>153</v>
      </c>
      <c r="EE102" t="s">
        <v>153</v>
      </c>
      <c r="EF102" t="s">
        <v>153</v>
      </c>
      <c r="EH102" t="s">
        <v>153</v>
      </c>
      <c r="EI102" t="s">
        <v>153</v>
      </c>
      <c r="EJ102" t="s">
        <v>153</v>
      </c>
      <c r="EK102" t="s">
        <v>153</v>
      </c>
      <c r="EM102" t="s">
        <v>153</v>
      </c>
      <c r="EN102" t="s">
        <v>153</v>
      </c>
      <c r="EP102" s="4" t="s">
        <v>153</v>
      </c>
      <c r="EQ102" s="4" t="s">
        <v>153</v>
      </c>
      <c r="ER102" s="4" t="s">
        <v>176</v>
      </c>
      <c r="ES102" s="4" t="s">
        <v>153</v>
      </c>
      <c r="ET102" t="s">
        <v>1563</v>
      </c>
      <c r="EU102" t="s">
        <v>1525</v>
      </c>
      <c r="EV102" t="s">
        <v>909</v>
      </c>
      <c r="EW102">
        <v>1155114202</v>
      </c>
      <c r="EX102" t="s">
        <v>1093</v>
      </c>
    </row>
    <row r="103" spans="1:154" x14ac:dyDescent="0.25">
      <c r="A103" s="3">
        <v>45222.081030092595</v>
      </c>
      <c r="B103" s="4" t="s">
        <v>1050</v>
      </c>
      <c r="C103" s="4" t="s">
        <v>892</v>
      </c>
      <c r="D103" s="4" t="s">
        <v>893</v>
      </c>
      <c r="E103" s="4" t="s">
        <v>894</v>
      </c>
      <c r="F103" s="4" t="s">
        <v>895</v>
      </c>
      <c r="G103" s="4" t="s">
        <v>185</v>
      </c>
      <c r="H103" s="4" t="s">
        <v>542</v>
      </c>
      <c r="I103" s="4" t="s">
        <v>153</v>
      </c>
      <c r="J103" s="4" t="s">
        <v>153</v>
      </c>
      <c r="K103" s="5"/>
      <c r="L103" s="4" t="s">
        <v>153</v>
      </c>
      <c r="M103" s="4" t="s">
        <v>1564</v>
      </c>
      <c r="N103" s="4" t="s">
        <v>153</v>
      </c>
      <c r="O103" s="4" t="s">
        <v>1565</v>
      </c>
      <c r="P103" s="4" t="s">
        <v>1566</v>
      </c>
      <c r="Q103" s="4" t="s">
        <v>294</v>
      </c>
      <c r="R103" s="4" t="s">
        <v>191</v>
      </c>
      <c r="S103" s="4" t="s">
        <v>153</v>
      </c>
      <c r="T103" s="4" t="s">
        <v>153</v>
      </c>
      <c r="U103" s="4" t="s">
        <v>1567</v>
      </c>
      <c r="V103" s="4" t="s">
        <v>153</v>
      </c>
      <c r="W103" s="4" t="s">
        <v>1568</v>
      </c>
      <c r="X103" s="4" t="s">
        <v>1074</v>
      </c>
      <c r="Y103" s="4" t="s">
        <v>1569</v>
      </c>
      <c r="Z103" s="4" t="s">
        <v>237</v>
      </c>
      <c r="AA103" s="4" t="s">
        <v>1567</v>
      </c>
      <c r="AB103" s="4" t="s">
        <v>153</v>
      </c>
      <c r="AC103" s="4" t="s">
        <v>1568</v>
      </c>
      <c r="AD103" s="4" t="s">
        <v>1074</v>
      </c>
      <c r="AE103" s="4" t="s">
        <v>1569</v>
      </c>
      <c r="AF103" s="4" t="s">
        <v>1570</v>
      </c>
      <c r="AG103" s="4" t="s">
        <v>1571</v>
      </c>
      <c r="AH103" s="4" t="s">
        <v>153</v>
      </c>
      <c r="AI103" s="5">
        <v>45053</v>
      </c>
      <c r="AJ103" t="s">
        <v>153</v>
      </c>
      <c r="AK103" s="4">
        <v>2</v>
      </c>
      <c r="AL103" t="s">
        <v>153</v>
      </c>
      <c r="AM103" t="s">
        <v>153</v>
      </c>
      <c r="AO103" t="s">
        <v>153</v>
      </c>
      <c r="AP103" s="4"/>
      <c r="AQ103" t="s">
        <v>153</v>
      </c>
      <c r="AR103" s="5"/>
      <c r="AT103" s="4" t="s">
        <v>153</v>
      </c>
      <c r="AU103" s="4" t="s">
        <v>153</v>
      </c>
      <c r="AV103" s="4" t="s">
        <v>153</v>
      </c>
      <c r="AW103" t="s">
        <v>153</v>
      </c>
      <c r="AX103" t="s">
        <v>153</v>
      </c>
      <c r="AY103" t="s">
        <v>153</v>
      </c>
      <c r="AZ103" t="s">
        <v>153</v>
      </c>
      <c r="BA103" t="s">
        <v>153</v>
      </c>
      <c r="BB103" t="s">
        <v>153</v>
      </c>
      <c r="BC103" t="s">
        <v>153</v>
      </c>
      <c r="BD103" s="4" t="s">
        <v>153</v>
      </c>
      <c r="BE103" s="4" t="s">
        <v>153</v>
      </c>
      <c r="BF103" t="s">
        <v>153</v>
      </c>
      <c r="BG103" s="4" t="s">
        <v>153</v>
      </c>
      <c r="BH103" t="s">
        <v>153</v>
      </c>
      <c r="BI103" s="4" t="s">
        <v>153</v>
      </c>
      <c r="BJ103" t="s">
        <v>153</v>
      </c>
      <c r="BK103" s="4" t="s">
        <v>153</v>
      </c>
      <c r="BL103" t="s">
        <v>153</v>
      </c>
      <c r="BM103" t="s">
        <v>153</v>
      </c>
      <c r="BN103" s="4" t="s">
        <v>153</v>
      </c>
      <c r="BO103" s="4" t="s">
        <v>153</v>
      </c>
      <c r="BP103" s="4" t="s">
        <v>153</v>
      </c>
      <c r="BQ103" s="4" t="s">
        <v>153</v>
      </c>
      <c r="BR103" s="4" t="s">
        <v>153</v>
      </c>
      <c r="BS103" s="4" t="s">
        <v>153</v>
      </c>
      <c r="BT103" s="4" t="s">
        <v>153</v>
      </c>
      <c r="BU103" s="4" t="s">
        <v>153</v>
      </c>
      <c r="BV103" s="4"/>
      <c r="BW103" s="4" t="s">
        <v>153</v>
      </c>
      <c r="BX103" s="4" t="s">
        <v>153</v>
      </c>
      <c r="BY103" s="4" t="s">
        <v>153</v>
      </c>
      <c r="BZ103" s="4" t="s">
        <v>153</v>
      </c>
      <c r="CA103" s="4" t="s">
        <v>153</v>
      </c>
      <c r="CB103" s="4"/>
      <c r="CC103" s="4" t="s">
        <v>153</v>
      </c>
      <c r="CD103" t="s">
        <v>153</v>
      </c>
      <c r="CE103" s="4" t="s">
        <v>153</v>
      </c>
      <c r="CF103" s="4" t="s">
        <v>153</v>
      </c>
      <c r="CG103" s="4" t="s">
        <v>153</v>
      </c>
      <c r="CH103" s="5"/>
      <c r="CI103" t="s">
        <v>153</v>
      </c>
      <c r="CJ103" s="4"/>
      <c r="CK103" t="s">
        <v>153</v>
      </c>
      <c r="CL103" t="s">
        <v>153</v>
      </c>
      <c r="CM103" t="s">
        <v>153</v>
      </c>
      <c r="CN103" t="s">
        <v>153</v>
      </c>
      <c r="CO103" s="5"/>
      <c r="CP103" s="4" t="s">
        <v>153</v>
      </c>
      <c r="CQ103" s="4" t="s">
        <v>153</v>
      </c>
      <c r="CR103" t="s">
        <v>153</v>
      </c>
      <c r="CS103" t="s">
        <v>153</v>
      </c>
      <c r="CT103" t="s">
        <v>153</v>
      </c>
      <c r="CU103" t="s">
        <v>153</v>
      </c>
      <c r="CV103" t="s">
        <v>153</v>
      </c>
      <c r="CW103" t="s">
        <v>153</v>
      </c>
      <c r="CX103" t="s">
        <v>153</v>
      </c>
      <c r="CY103" t="s">
        <v>153</v>
      </c>
      <c r="CZ103" t="s">
        <v>153</v>
      </c>
      <c r="DA103" t="s">
        <v>153</v>
      </c>
      <c r="DB103" t="s">
        <v>153</v>
      </c>
      <c r="DC103" t="s">
        <v>153</v>
      </c>
      <c r="DD103" t="s">
        <v>153</v>
      </c>
      <c r="DE103" t="s">
        <v>153</v>
      </c>
      <c r="DF103" t="s">
        <v>153</v>
      </c>
      <c r="DG103" t="s">
        <v>153</v>
      </c>
      <c r="DI103" t="s">
        <v>153</v>
      </c>
      <c r="DJ103" t="s">
        <v>153</v>
      </c>
      <c r="DK103" t="s">
        <v>153</v>
      </c>
      <c r="DL103" t="s">
        <v>153</v>
      </c>
      <c r="DN103" t="s">
        <v>153</v>
      </c>
      <c r="DO103" t="s">
        <v>153</v>
      </c>
      <c r="DP103" t="s">
        <v>153</v>
      </c>
      <c r="DQ103" t="s">
        <v>153</v>
      </c>
      <c r="DR103" t="s">
        <v>153</v>
      </c>
      <c r="DS103" t="s">
        <v>153</v>
      </c>
      <c r="DT103" t="s">
        <v>153</v>
      </c>
      <c r="DU103" t="s">
        <v>153</v>
      </c>
      <c r="DV103" t="s">
        <v>153</v>
      </c>
      <c r="DW103" t="s">
        <v>153</v>
      </c>
      <c r="DX103" s="2"/>
      <c r="DY103" t="s">
        <v>153</v>
      </c>
      <c r="DZ103" t="s">
        <v>153</v>
      </c>
      <c r="EA103" t="s">
        <v>153</v>
      </c>
      <c r="EB103" t="s">
        <v>153</v>
      </c>
      <c r="EC103" t="s">
        <v>153</v>
      </c>
      <c r="ED103" t="s">
        <v>153</v>
      </c>
      <c r="EE103" t="s">
        <v>153</v>
      </c>
      <c r="EF103" t="s">
        <v>153</v>
      </c>
      <c r="EH103" t="s">
        <v>153</v>
      </c>
      <c r="EI103" t="s">
        <v>153</v>
      </c>
      <c r="EJ103" t="s">
        <v>153</v>
      </c>
      <c r="EK103" t="s">
        <v>153</v>
      </c>
      <c r="EM103" t="s">
        <v>153</v>
      </c>
      <c r="EN103" t="s">
        <v>153</v>
      </c>
      <c r="EP103" s="4" t="s">
        <v>205</v>
      </c>
      <c r="EQ103" s="4" t="s">
        <v>153</v>
      </c>
      <c r="ER103" s="4" t="s">
        <v>205</v>
      </c>
      <c r="ES103" s="4" t="s">
        <v>153</v>
      </c>
      <c r="ET103" t="s">
        <v>153</v>
      </c>
      <c r="EU103" t="s">
        <v>1525</v>
      </c>
      <c r="EV103" t="s">
        <v>909</v>
      </c>
      <c r="EW103">
        <v>1155116994</v>
      </c>
      <c r="EX103" t="s">
        <v>1093</v>
      </c>
    </row>
    <row r="104" spans="1:154" x14ac:dyDescent="0.25">
      <c r="A104" s="3">
        <v>45223.506620370368</v>
      </c>
      <c r="B104" s="4" t="s">
        <v>1050</v>
      </c>
      <c r="C104" s="4" t="s">
        <v>222</v>
      </c>
      <c r="D104" s="4" t="s">
        <v>223</v>
      </c>
      <c r="E104" s="4" t="s">
        <v>224</v>
      </c>
      <c r="F104" s="4" t="s">
        <v>225</v>
      </c>
      <c r="G104" s="4" t="s">
        <v>185</v>
      </c>
      <c r="H104" s="4" t="s">
        <v>226</v>
      </c>
      <c r="I104" s="4" t="s">
        <v>153</v>
      </c>
      <c r="J104" s="4" t="s">
        <v>153</v>
      </c>
      <c r="K104" s="5"/>
      <c r="L104" s="4" t="s">
        <v>153</v>
      </c>
      <c r="M104" s="4" t="s">
        <v>1572</v>
      </c>
      <c r="N104" s="4" t="s">
        <v>1572</v>
      </c>
      <c r="O104" s="4" t="s">
        <v>562</v>
      </c>
      <c r="P104" s="4" t="s">
        <v>1573</v>
      </c>
      <c r="Q104" s="4" t="s">
        <v>294</v>
      </c>
      <c r="R104" s="4" t="s">
        <v>191</v>
      </c>
      <c r="S104" s="4" t="s">
        <v>153</v>
      </c>
      <c r="T104" s="4" t="s">
        <v>153</v>
      </c>
      <c r="U104" s="4" t="s">
        <v>1574</v>
      </c>
      <c r="V104" s="4" t="s">
        <v>153</v>
      </c>
      <c r="W104" s="4" t="s">
        <v>1575</v>
      </c>
      <c r="X104" s="4" t="s">
        <v>457</v>
      </c>
      <c r="Y104" s="4" t="s">
        <v>1576</v>
      </c>
      <c r="Z104" s="4" t="s">
        <v>237</v>
      </c>
      <c r="AA104" s="4" t="s">
        <v>1574</v>
      </c>
      <c r="AB104" s="4" t="s">
        <v>153</v>
      </c>
      <c r="AC104" s="4" t="s">
        <v>1575</v>
      </c>
      <c r="AD104" s="4" t="s">
        <v>457</v>
      </c>
      <c r="AE104" s="4" t="s">
        <v>1576</v>
      </c>
      <c r="AF104" s="4" t="s">
        <v>1577</v>
      </c>
      <c r="AG104" s="4" t="s">
        <v>1578</v>
      </c>
      <c r="AH104" s="4" t="s">
        <v>1579</v>
      </c>
      <c r="AI104" s="5">
        <v>45074</v>
      </c>
      <c r="AJ104" t="s">
        <v>153</v>
      </c>
      <c r="AK104" s="4"/>
      <c r="AL104" t="s">
        <v>153</v>
      </c>
      <c r="AM104" t="s">
        <v>153</v>
      </c>
      <c r="AO104" t="s">
        <v>153</v>
      </c>
      <c r="AP104" s="4"/>
      <c r="AQ104" t="s">
        <v>153</v>
      </c>
      <c r="AR104" s="5"/>
      <c r="AT104" s="4" t="s">
        <v>153</v>
      </c>
      <c r="AU104" s="4" t="s">
        <v>153</v>
      </c>
      <c r="AV104" s="4" t="s">
        <v>153</v>
      </c>
      <c r="AW104" t="s">
        <v>153</v>
      </c>
      <c r="AX104" t="s">
        <v>153</v>
      </c>
      <c r="AY104" t="s">
        <v>153</v>
      </c>
      <c r="AZ104" t="s">
        <v>153</v>
      </c>
      <c r="BA104" t="s">
        <v>153</v>
      </c>
      <c r="BB104" t="s">
        <v>153</v>
      </c>
      <c r="BC104" t="s">
        <v>153</v>
      </c>
      <c r="BD104" s="4" t="s">
        <v>153</v>
      </c>
      <c r="BE104" s="4" t="s">
        <v>153</v>
      </c>
      <c r="BF104" t="s">
        <v>153</v>
      </c>
      <c r="BG104" s="4" t="s">
        <v>153</v>
      </c>
      <c r="BH104" t="s">
        <v>153</v>
      </c>
      <c r="BI104" s="4" t="s">
        <v>153</v>
      </c>
      <c r="BJ104" t="s">
        <v>153</v>
      </c>
      <c r="BK104" s="4" t="s">
        <v>153</v>
      </c>
      <c r="BL104" t="s">
        <v>153</v>
      </c>
      <c r="BM104" t="s">
        <v>153</v>
      </c>
      <c r="BN104" s="4" t="s">
        <v>153</v>
      </c>
      <c r="BO104" s="4" t="s">
        <v>153</v>
      </c>
      <c r="BP104" s="4" t="s">
        <v>153</v>
      </c>
      <c r="BQ104" s="4" t="s">
        <v>153</v>
      </c>
      <c r="BR104" s="4" t="s">
        <v>153</v>
      </c>
      <c r="BS104" s="4" t="s">
        <v>153</v>
      </c>
      <c r="BT104" s="4" t="s">
        <v>153</v>
      </c>
      <c r="BU104" s="4" t="s">
        <v>153</v>
      </c>
      <c r="BV104" s="4"/>
      <c r="BW104" s="4" t="s">
        <v>153</v>
      </c>
      <c r="BX104" s="4" t="s">
        <v>153</v>
      </c>
      <c r="BY104" s="4" t="s">
        <v>153</v>
      </c>
      <c r="BZ104" s="4" t="s">
        <v>153</v>
      </c>
      <c r="CA104" s="4" t="s">
        <v>153</v>
      </c>
      <c r="CB104" s="4"/>
      <c r="CC104" s="4" t="s">
        <v>153</v>
      </c>
      <c r="CD104" t="s">
        <v>153</v>
      </c>
      <c r="CE104" s="4" t="s">
        <v>153</v>
      </c>
      <c r="CF104" s="4" t="s">
        <v>153</v>
      </c>
      <c r="CG104" s="4" t="s">
        <v>153</v>
      </c>
      <c r="CH104" s="5"/>
      <c r="CI104" t="s">
        <v>153</v>
      </c>
      <c r="CJ104" s="4"/>
      <c r="CK104" t="s">
        <v>153</v>
      </c>
      <c r="CL104" t="s">
        <v>153</v>
      </c>
      <c r="CM104" t="s">
        <v>153</v>
      </c>
      <c r="CN104" t="s">
        <v>153</v>
      </c>
      <c r="CO104" s="5"/>
      <c r="CP104" s="4" t="s">
        <v>153</v>
      </c>
      <c r="CQ104" s="4" t="s">
        <v>153</v>
      </c>
      <c r="CR104" t="s">
        <v>153</v>
      </c>
      <c r="CS104" t="s">
        <v>153</v>
      </c>
      <c r="CT104" t="s">
        <v>153</v>
      </c>
      <c r="CU104" t="s">
        <v>153</v>
      </c>
      <c r="CV104" t="s">
        <v>153</v>
      </c>
      <c r="CW104" t="s">
        <v>153</v>
      </c>
      <c r="CX104" t="s">
        <v>153</v>
      </c>
      <c r="CY104" t="s">
        <v>153</v>
      </c>
      <c r="CZ104" t="s">
        <v>153</v>
      </c>
      <c r="DA104" t="s">
        <v>153</v>
      </c>
      <c r="DB104" t="s">
        <v>153</v>
      </c>
      <c r="DC104" t="s">
        <v>153</v>
      </c>
      <c r="DD104" t="s">
        <v>153</v>
      </c>
      <c r="DE104" t="s">
        <v>153</v>
      </c>
      <c r="DF104" t="s">
        <v>153</v>
      </c>
      <c r="DG104" t="s">
        <v>153</v>
      </c>
      <c r="DI104" t="s">
        <v>153</v>
      </c>
      <c r="DJ104" t="s">
        <v>153</v>
      </c>
      <c r="DK104" t="s">
        <v>153</v>
      </c>
      <c r="DL104" t="s">
        <v>153</v>
      </c>
      <c r="DN104" t="s">
        <v>153</v>
      </c>
      <c r="DO104" t="s">
        <v>153</v>
      </c>
      <c r="DP104" t="s">
        <v>153</v>
      </c>
      <c r="DQ104" t="s">
        <v>153</v>
      </c>
      <c r="DR104" t="s">
        <v>153</v>
      </c>
      <c r="DS104" t="s">
        <v>153</v>
      </c>
      <c r="DT104" t="s">
        <v>153</v>
      </c>
      <c r="DU104" t="s">
        <v>153</v>
      </c>
      <c r="DV104" t="s">
        <v>153</v>
      </c>
      <c r="DW104" t="s">
        <v>153</v>
      </c>
      <c r="DX104" s="2"/>
      <c r="DY104" t="s">
        <v>153</v>
      </c>
      <c r="DZ104" t="s">
        <v>153</v>
      </c>
      <c r="EA104" t="s">
        <v>153</v>
      </c>
      <c r="EB104" t="s">
        <v>153</v>
      </c>
      <c r="EC104" t="s">
        <v>153</v>
      </c>
      <c r="ED104" t="s">
        <v>153</v>
      </c>
      <c r="EE104" t="s">
        <v>153</v>
      </c>
      <c r="EF104" t="s">
        <v>153</v>
      </c>
      <c r="EH104" t="s">
        <v>153</v>
      </c>
      <c r="EI104" t="s">
        <v>153</v>
      </c>
      <c r="EJ104" t="s">
        <v>153</v>
      </c>
      <c r="EK104" t="s">
        <v>153</v>
      </c>
      <c r="EM104" t="s">
        <v>153</v>
      </c>
      <c r="EN104" t="s">
        <v>153</v>
      </c>
      <c r="EP104" s="4" t="s">
        <v>242</v>
      </c>
      <c r="EQ104" s="4" t="s">
        <v>153</v>
      </c>
      <c r="ER104" s="4" t="s">
        <v>191</v>
      </c>
      <c r="ES104" s="4" t="s">
        <v>153</v>
      </c>
      <c r="ET104" t="s">
        <v>153</v>
      </c>
      <c r="EU104" t="s">
        <v>1525</v>
      </c>
      <c r="EV104" t="s">
        <v>246</v>
      </c>
      <c r="EW104">
        <v>1155721974</v>
      </c>
      <c r="EX104" t="s">
        <v>247</v>
      </c>
    </row>
    <row r="105" spans="1:154" x14ac:dyDescent="0.25">
      <c r="A105" s="3">
        <v>45223.510925925926</v>
      </c>
      <c r="B105" s="4" t="s">
        <v>1050</v>
      </c>
      <c r="C105" s="4" t="s">
        <v>222</v>
      </c>
      <c r="D105" s="4" t="s">
        <v>223</v>
      </c>
      <c r="E105" s="4" t="s">
        <v>224</v>
      </c>
      <c r="F105" s="4" t="s">
        <v>225</v>
      </c>
      <c r="G105" s="4" t="s">
        <v>185</v>
      </c>
      <c r="H105" s="4" t="s">
        <v>226</v>
      </c>
      <c r="I105" s="4" t="s">
        <v>153</v>
      </c>
      <c r="J105" s="4" t="s">
        <v>153</v>
      </c>
      <c r="K105" s="5"/>
      <c r="L105" s="4" t="s">
        <v>153</v>
      </c>
      <c r="M105" s="4" t="s">
        <v>1580</v>
      </c>
      <c r="N105" s="4" t="s">
        <v>1580</v>
      </c>
      <c r="O105" s="4" t="s">
        <v>439</v>
      </c>
      <c r="P105" s="4" t="s">
        <v>1581</v>
      </c>
      <c r="Q105" s="4" t="s">
        <v>294</v>
      </c>
      <c r="R105" s="4" t="s">
        <v>205</v>
      </c>
      <c r="S105" s="4" t="s">
        <v>153</v>
      </c>
      <c r="T105" s="4" t="s">
        <v>153</v>
      </c>
      <c r="U105" s="4" t="s">
        <v>1582</v>
      </c>
      <c r="V105" s="4" t="s">
        <v>153</v>
      </c>
      <c r="W105" s="4" t="s">
        <v>1583</v>
      </c>
      <c r="X105" s="4" t="s">
        <v>1584</v>
      </c>
      <c r="Y105" s="4" t="s">
        <v>1585</v>
      </c>
      <c r="Z105" s="4" t="s">
        <v>237</v>
      </c>
      <c r="AA105" s="4" t="s">
        <v>1582</v>
      </c>
      <c r="AB105" s="4" t="s">
        <v>153</v>
      </c>
      <c r="AC105" s="4" t="s">
        <v>1583</v>
      </c>
      <c r="AD105" s="4" t="s">
        <v>1584</v>
      </c>
      <c r="AE105" s="4" t="s">
        <v>1585</v>
      </c>
      <c r="AF105" s="4" t="s">
        <v>1586</v>
      </c>
      <c r="AG105" s="4" t="s">
        <v>1587</v>
      </c>
      <c r="AH105" s="4" t="s">
        <v>1588</v>
      </c>
      <c r="AI105" s="5">
        <v>45200</v>
      </c>
      <c r="AJ105" t="s">
        <v>591</v>
      </c>
      <c r="AK105" s="4"/>
      <c r="AL105" t="s">
        <v>153</v>
      </c>
      <c r="AM105" t="s">
        <v>153</v>
      </c>
      <c r="AO105" t="s">
        <v>153</v>
      </c>
      <c r="AP105" s="4"/>
      <c r="AQ105" t="s">
        <v>153</v>
      </c>
      <c r="AR105" s="5"/>
      <c r="AT105" s="4" t="s">
        <v>153</v>
      </c>
      <c r="AU105" s="4" t="s">
        <v>153</v>
      </c>
      <c r="AV105" s="4" t="s">
        <v>153</v>
      </c>
      <c r="AW105" t="s">
        <v>153</v>
      </c>
      <c r="AX105" t="s">
        <v>153</v>
      </c>
      <c r="AY105" t="s">
        <v>153</v>
      </c>
      <c r="AZ105" t="s">
        <v>153</v>
      </c>
      <c r="BA105" t="s">
        <v>153</v>
      </c>
      <c r="BB105" t="s">
        <v>153</v>
      </c>
      <c r="BC105" t="s">
        <v>153</v>
      </c>
      <c r="BD105" s="4" t="s">
        <v>153</v>
      </c>
      <c r="BE105" s="4" t="s">
        <v>153</v>
      </c>
      <c r="BF105" t="s">
        <v>153</v>
      </c>
      <c r="BG105" s="4" t="s">
        <v>153</v>
      </c>
      <c r="BH105" t="s">
        <v>153</v>
      </c>
      <c r="BI105" s="4" t="s">
        <v>153</v>
      </c>
      <c r="BJ105" t="s">
        <v>153</v>
      </c>
      <c r="BK105" s="4" t="s">
        <v>153</v>
      </c>
      <c r="BL105" t="s">
        <v>153</v>
      </c>
      <c r="BM105" t="s">
        <v>153</v>
      </c>
      <c r="BN105" s="4" t="s">
        <v>153</v>
      </c>
      <c r="BO105" s="4" t="s">
        <v>153</v>
      </c>
      <c r="BP105" s="4" t="s">
        <v>153</v>
      </c>
      <c r="BQ105" s="4" t="s">
        <v>153</v>
      </c>
      <c r="BR105" s="4" t="s">
        <v>153</v>
      </c>
      <c r="BS105" s="4" t="s">
        <v>153</v>
      </c>
      <c r="BT105" s="4" t="s">
        <v>153</v>
      </c>
      <c r="BU105" s="4" t="s">
        <v>153</v>
      </c>
      <c r="BV105" s="4"/>
      <c r="BW105" s="4" t="s">
        <v>153</v>
      </c>
      <c r="BX105" s="4" t="s">
        <v>153</v>
      </c>
      <c r="BY105" s="4" t="s">
        <v>153</v>
      </c>
      <c r="BZ105" s="4" t="s">
        <v>153</v>
      </c>
      <c r="CA105" s="4" t="s">
        <v>153</v>
      </c>
      <c r="CB105" s="4"/>
      <c r="CC105" s="4" t="s">
        <v>153</v>
      </c>
      <c r="CD105" t="s">
        <v>153</v>
      </c>
      <c r="CE105" s="4" t="s">
        <v>153</v>
      </c>
      <c r="CF105" s="4" t="s">
        <v>153</v>
      </c>
      <c r="CG105" s="4" t="s">
        <v>153</v>
      </c>
      <c r="CH105" s="5"/>
      <c r="CI105" t="s">
        <v>153</v>
      </c>
      <c r="CJ105" s="4"/>
      <c r="CK105" t="s">
        <v>153</v>
      </c>
      <c r="CL105" t="s">
        <v>153</v>
      </c>
      <c r="CM105" t="s">
        <v>153</v>
      </c>
      <c r="CN105" t="s">
        <v>153</v>
      </c>
      <c r="CO105" s="5"/>
      <c r="CP105" s="4" t="s">
        <v>153</v>
      </c>
      <c r="CQ105" s="4" t="s">
        <v>153</v>
      </c>
      <c r="CR105" t="s">
        <v>153</v>
      </c>
      <c r="CS105" t="s">
        <v>153</v>
      </c>
      <c r="CT105" t="s">
        <v>153</v>
      </c>
      <c r="CU105" t="s">
        <v>153</v>
      </c>
      <c r="CV105" t="s">
        <v>153</v>
      </c>
      <c r="CW105" t="s">
        <v>153</v>
      </c>
      <c r="CX105" t="s">
        <v>153</v>
      </c>
      <c r="CY105" t="s">
        <v>153</v>
      </c>
      <c r="CZ105" t="s">
        <v>153</v>
      </c>
      <c r="DA105" t="s">
        <v>153</v>
      </c>
      <c r="DB105" t="s">
        <v>153</v>
      </c>
      <c r="DC105" t="s">
        <v>153</v>
      </c>
      <c r="DD105" t="s">
        <v>153</v>
      </c>
      <c r="DE105" t="s">
        <v>153</v>
      </c>
      <c r="DF105" t="s">
        <v>153</v>
      </c>
      <c r="DG105" t="s">
        <v>153</v>
      </c>
      <c r="DI105" t="s">
        <v>153</v>
      </c>
      <c r="DJ105" t="s">
        <v>153</v>
      </c>
      <c r="DK105" t="s">
        <v>153</v>
      </c>
      <c r="DL105" t="s">
        <v>153</v>
      </c>
      <c r="DN105" t="s">
        <v>153</v>
      </c>
      <c r="DO105" t="s">
        <v>153</v>
      </c>
      <c r="DP105" t="s">
        <v>153</v>
      </c>
      <c r="DQ105" t="s">
        <v>153</v>
      </c>
      <c r="DR105" t="s">
        <v>153</v>
      </c>
      <c r="DS105" t="s">
        <v>153</v>
      </c>
      <c r="DT105" t="s">
        <v>153</v>
      </c>
      <c r="DU105" t="s">
        <v>153</v>
      </c>
      <c r="DV105" t="s">
        <v>153</v>
      </c>
      <c r="DW105" t="s">
        <v>153</v>
      </c>
      <c r="DX105" s="2"/>
      <c r="DY105" t="s">
        <v>153</v>
      </c>
      <c r="DZ105" t="s">
        <v>153</v>
      </c>
      <c r="EA105" t="s">
        <v>153</v>
      </c>
      <c r="EB105" t="s">
        <v>153</v>
      </c>
      <c r="EC105" t="s">
        <v>153</v>
      </c>
      <c r="ED105" t="s">
        <v>153</v>
      </c>
      <c r="EE105" t="s">
        <v>153</v>
      </c>
      <c r="EF105" t="s">
        <v>153</v>
      </c>
      <c r="EH105" t="s">
        <v>153</v>
      </c>
      <c r="EI105" t="s">
        <v>153</v>
      </c>
      <c r="EJ105" t="s">
        <v>153</v>
      </c>
      <c r="EK105" t="s">
        <v>153</v>
      </c>
      <c r="EM105" t="s">
        <v>153</v>
      </c>
      <c r="EN105" t="s">
        <v>153</v>
      </c>
      <c r="EP105" s="4" t="s">
        <v>153</v>
      </c>
      <c r="EQ105" s="4" t="s">
        <v>153</v>
      </c>
      <c r="ER105" s="4" t="s">
        <v>191</v>
      </c>
      <c r="ES105" s="4" t="s">
        <v>153</v>
      </c>
      <c r="ET105" t="s">
        <v>153</v>
      </c>
      <c r="EU105" t="s">
        <v>1525</v>
      </c>
      <c r="EV105" t="s">
        <v>246</v>
      </c>
      <c r="EW105">
        <v>1155724905</v>
      </c>
      <c r="EX105" t="s">
        <v>247</v>
      </c>
    </row>
    <row r="106" spans="1:154" x14ac:dyDescent="0.25">
      <c r="A106" s="3">
        <v>45233.658020833333</v>
      </c>
      <c r="B106" s="4" t="s">
        <v>1050</v>
      </c>
      <c r="C106" s="4" t="s">
        <v>1363</v>
      </c>
      <c r="D106" s="4" t="s">
        <v>1364</v>
      </c>
      <c r="E106" s="4" t="s">
        <v>1365</v>
      </c>
      <c r="F106" s="4" t="s">
        <v>1366</v>
      </c>
      <c r="G106" s="4" t="s">
        <v>252</v>
      </c>
      <c r="H106" s="4" t="s">
        <v>793</v>
      </c>
      <c r="I106" s="4" t="s">
        <v>153</v>
      </c>
      <c r="J106" s="4" t="s">
        <v>1589</v>
      </c>
      <c r="K106" s="5"/>
      <c r="L106" s="4" t="s">
        <v>153</v>
      </c>
      <c r="M106" s="4" t="s">
        <v>153</v>
      </c>
      <c r="N106" s="4" t="s">
        <v>153</v>
      </c>
      <c r="O106" s="4" t="s">
        <v>153</v>
      </c>
      <c r="P106" s="4" t="s">
        <v>153</v>
      </c>
      <c r="Q106" s="4" t="s">
        <v>153</v>
      </c>
      <c r="R106" s="4" t="s">
        <v>153</v>
      </c>
      <c r="S106" s="4" t="s">
        <v>153</v>
      </c>
      <c r="T106" s="4" t="s">
        <v>153</v>
      </c>
      <c r="U106" s="4" t="s">
        <v>153</v>
      </c>
      <c r="V106" s="4" t="s">
        <v>153</v>
      </c>
      <c r="W106" s="4" t="s">
        <v>153</v>
      </c>
      <c r="X106" s="4" t="s">
        <v>153</v>
      </c>
      <c r="Y106" s="4" t="s">
        <v>153</v>
      </c>
      <c r="Z106" s="4" t="s">
        <v>153</v>
      </c>
      <c r="AA106" s="4" t="s">
        <v>153</v>
      </c>
      <c r="AB106" s="4" t="s">
        <v>153</v>
      </c>
      <c r="AC106" s="4" t="s">
        <v>153</v>
      </c>
      <c r="AD106" s="4" t="s">
        <v>153</v>
      </c>
      <c r="AE106" s="4" t="s">
        <v>153</v>
      </c>
      <c r="AF106" s="4" t="s">
        <v>153</v>
      </c>
      <c r="AG106" s="4" t="s">
        <v>153</v>
      </c>
      <c r="AH106" s="4" t="s">
        <v>153</v>
      </c>
      <c r="AI106" s="5"/>
      <c r="AJ106" t="s">
        <v>153</v>
      </c>
      <c r="AK106" s="4"/>
      <c r="AL106" t="s">
        <v>153</v>
      </c>
      <c r="AM106" t="s">
        <v>153</v>
      </c>
      <c r="AO106" t="s">
        <v>153</v>
      </c>
      <c r="AP106" s="4"/>
      <c r="AQ106" t="s">
        <v>153</v>
      </c>
      <c r="AR106" s="5">
        <v>44469</v>
      </c>
      <c r="AS106">
        <v>1</v>
      </c>
      <c r="AT106" s="4" t="s">
        <v>1590</v>
      </c>
      <c r="AU106" s="4" t="s">
        <v>1591</v>
      </c>
      <c r="AV106" s="4" t="s">
        <v>256</v>
      </c>
      <c r="AW106" t="s">
        <v>153</v>
      </c>
      <c r="AX106" t="s">
        <v>153</v>
      </c>
      <c r="AY106" t="s">
        <v>1592</v>
      </c>
      <c r="AZ106" t="s">
        <v>1098</v>
      </c>
      <c r="BA106" t="s">
        <v>153</v>
      </c>
      <c r="BB106" t="s">
        <v>153</v>
      </c>
      <c r="BC106" t="s">
        <v>153</v>
      </c>
      <c r="BD106" s="4" t="s">
        <v>1593</v>
      </c>
      <c r="BE106" s="4" t="s">
        <v>1594</v>
      </c>
      <c r="BF106" t="s">
        <v>243</v>
      </c>
      <c r="BG106" s="4" t="s">
        <v>153</v>
      </c>
      <c r="BH106" t="s">
        <v>153</v>
      </c>
      <c r="BI106" s="4" t="s">
        <v>153</v>
      </c>
      <c r="BJ106" t="s">
        <v>153</v>
      </c>
      <c r="BK106" s="4" t="s">
        <v>153</v>
      </c>
      <c r="BL106" t="s">
        <v>153</v>
      </c>
      <c r="BM106" t="s">
        <v>153</v>
      </c>
      <c r="BN106" s="4" t="s">
        <v>153</v>
      </c>
      <c r="BO106" s="4" t="s">
        <v>153</v>
      </c>
      <c r="BP106" s="4" t="s">
        <v>153</v>
      </c>
      <c r="BQ106" s="4" t="s">
        <v>153</v>
      </c>
      <c r="BR106" s="4" t="s">
        <v>153</v>
      </c>
      <c r="BS106" s="4" t="s">
        <v>153</v>
      </c>
      <c r="BT106" s="4" t="s">
        <v>153</v>
      </c>
      <c r="BU106" s="4" t="s">
        <v>153</v>
      </c>
      <c r="BV106" s="4"/>
      <c r="BW106" s="4" t="s">
        <v>153</v>
      </c>
      <c r="BX106" s="4" t="s">
        <v>153</v>
      </c>
      <c r="BY106" s="4" t="s">
        <v>153</v>
      </c>
      <c r="BZ106" s="4" t="s">
        <v>153</v>
      </c>
      <c r="CA106" s="4" t="s">
        <v>153</v>
      </c>
      <c r="CB106" s="4"/>
      <c r="CC106" s="4" t="s">
        <v>153</v>
      </c>
      <c r="CD106" t="s">
        <v>153</v>
      </c>
      <c r="CE106" s="4" t="s">
        <v>153</v>
      </c>
      <c r="CF106" s="4" t="s">
        <v>153</v>
      </c>
      <c r="CG106" s="4" t="s">
        <v>153</v>
      </c>
      <c r="CH106" s="5"/>
      <c r="CI106" t="s">
        <v>153</v>
      </c>
      <c r="CJ106" s="4"/>
      <c r="CK106" t="s">
        <v>153</v>
      </c>
      <c r="CL106" t="s">
        <v>153</v>
      </c>
      <c r="CM106" t="s">
        <v>153</v>
      </c>
      <c r="CN106" t="s">
        <v>153</v>
      </c>
      <c r="CO106" s="5"/>
      <c r="CP106" s="4" t="s">
        <v>153</v>
      </c>
      <c r="CQ106" s="4" t="s">
        <v>153</v>
      </c>
      <c r="CR106" t="s">
        <v>153</v>
      </c>
      <c r="CS106" t="s">
        <v>153</v>
      </c>
      <c r="CT106" t="s">
        <v>153</v>
      </c>
      <c r="CU106" t="s">
        <v>153</v>
      </c>
      <c r="CV106" t="s">
        <v>153</v>
      </c>
      <c r="CW106" t="s">
        <v>153</v>
      </c>
      <c r="CX106" t="s">
        <v>153</v>
      </c>
      <c r="CY106" t="s">
        <v>153</v>
      </c>
      <c r="CZ106" t="s">
        <v>153</v>
      </c>
      <c r="DA106" t="s">
        <v>153</v>
      </c>
      <c r="DB106" t="s">
        <v>153</v>
      </c>
      <c r="DC106" t="s">
        <v>153</v>
      </c>
      <c r="DD106" t="s">
        <v>153</v>
      </c>
      <c r="DE106" t="s">
        <v>153</v>
      </c>
      <c r="DF106" t="s">
        <v>153</v>
      </c>
      <c r="DG106" t="s">
        <v>153</v>
      </c>
      <c r="DI106" t="s">
        <v>153</v>
      </c>
      <c r="DJ106" t="s">
        <v>153</v>
      </c>
      <c r="DK106" t="s">
        <v>153</v>
      </c>
      <c r="DL106" t="s">
        <v>153</v>
      </c>
      <c r="DN106" t="s">
        <v>153</v>
      </c>
      <c r="DO106" t="s">
        <v>153</v>
      </c>
      <c r="DP106" t="s">
        <v>153</v>
      </c>
      <c r="DQ106" t="s">
        <v>153</v>
      </c>
      <c r="DR106" t="s">
        <v>153</v>
      </c>
      <c r="DS106" t="s">
        <v>153</v>
      </c>
      <c r="DT106" t="s">
        <v>153</v>
      </c>
      <c r="DU106" t="s">
        <v>153</v>
      </c>
      <c r="DV106" t="s">
        <v>153</v>
      </c>
      <c r="DW106" t="s">
        <v>153</v>
      </c>
      <c r="DX106" s="2"/>
      <c r="DY106" t="s">
        <v>153</v>
      </c>
      <c r="DZ106" t="s">
        <v>153</v>
      </c>
      <c r="EA106" t="s">
        <v>153</v>
      </c>
      <c r="EB106" t="s">
        <v>153</v>
      </c>
      <c r="EC106" t="s">
        <v>153</v>
      </c>
      <c r="ED106" t="s">
        <v>153</v>
      </c>
      <c r="EE106" t="s">
        <v>153</v>
      </c>
      <c r="EF106" t="s">
        <v>153</v>
      </c>
      <c r="EH106" t="s">
        <v>153</v>
      </c>
      <c r="EI106" t="s">
        <v>153</v>
      </c>
      <c r="EJ106" t="s">
        <v>153</v>
      </c>
      <c r="EK106" t="s">
        <v>153</v>
      </c>
      <c r="EM106" t="s">
        <v>153</v>
      </c>
      <c r="EN106" t="s">
        <v>153</v>
      </c>
      <c r="EP106" s="4" t="s">
        <v>153</v>
      </c>
      <c r="EQ106" s="4" t="s">
        <v>153</v>
      </c>
      <c r="ER106" s="4" t="s">
        <v>176</v>
      </c>
      <c r="ES106" s="4" t="s">
        <v>153</v>
      </c>
      <c r="ET106" t="s">
        <v>1595</v>
      </c>
      <c r="EU106" t="s">
        <v>1596</v>
      </c>
      <c r="EV106" t="s">
        <v>1375</v>
      </c>
      <c r="EW106">
        <v>1159585056</v>
      </c>
      <c r="EX106" t="s">
        <v>1597</v>
      </c>
    </row>
    <row r="107" spans="1:154" x14ac:dyDescent="0.25">
      <c r="A107" s="3">
        <v>45236.512615740743</v>
      </c>
      <c r="B107" s="4" t="s">
        <v>1050</v>
      </c>
      <c r="C107" s="4" t="s">
        <v>1598</v>
      </c>
      <c r="D107" s="4" t="s">
        <v>1599</v>
      </c>
      <c r="E107" s="4" t="s">
        <v>1600</v>
      </c>
      <c r="F107" s="4" t="s">
        <v>1601</v>
      </c>
      <c r="G107" s="4" t="s">
        <v>185</v>
      </c>
      <c r="H107" s="4" t="s">
        <v>1393</v>
      </c>
      <c r="I107" s="4" t="s">
        <v>153</v>
      </c>
      <c r="J107" s="4" t="s">
        <v>153</v>
      </c>
      <c r="K107" s="5"/>
      <c r="L107" s="4" t="s">
        <v>153</v>
      </c>
      <c r="M107" s="4" t="s">
        <v>1602</v>
      </c>
      <c r="N107" s="4" t="s">
        <v>1603</v>
      </c>
      <c r="O107" s="4" t="s">
        <v>1604</v>
      </c>
      <c r="P107" s="4" t="s">
        <v>1605</v>
      </c>
      <c r="Q107" s="4" t="s">
        <v>190</v>
      </c>
      <c r="R107" s="4" t="s">
        <v>191</v>
      </c>
      <c r="S107" s="4" t="s">
        <v>1606</v>
      </c>
      <c r="T107" s="4" t="s">
        <v>1607</v>
      </c>
      <c r="U107" s="4" t="s">
        <v>1608</v>
      </c>
      <c r="V107" s="4" t="s">
        <v>153</v>
      </c>
      <c r="W107" s="4" t="s">
        <v>1609</v>
      </c>
      <c r="X107" s="4" t="s">
        <v>754</v>
      </c>
      <c r="Y107" s="4" t="s">
        <v>1610</v>
      </c>
      <c r="Z107" s="4" t="s">
        <v>197</v>
      </c>
      <c r="AA107" s="4" t="s">
        <v>1611</v>
      </c>
      <c r="AB107" s="4" t="s">
        <v>153</v>
      </c>
      <c r="AC107" s="4" t="s">
        <v>1609</v>
      </c>
      <c r="AD107" s="4" t="s">
        <v>754</v>
      </c>
      <c r="AE107" s="4" t="s">
        <v>1610</v>
      </c>
      <c r="AF107" s="4" t="s">
        <v>1390</v>
      </c>
      <c r="AG107" s="4" t="s">
        <v>1612</v>
      </c>
      <c r="AH107" s="4" t="s">
        <v>1121</v>
      </c>
      <c r="AI107" s="5">
        <v>45018</v>
      </c>
      <c r="AJ107" t="s">
        <v>1613</v>
      </c>
      <c r="AK107" s="4"/>
      <c r="AL107" t="s">
        <v>153</v>
      </c>
      <c r="AM107" t="s">
        <v>153</v>
      </c>
      <c r="AO107" t="s">
        <v>153</v>
      </c>
      <c r="AP107" s="4"/>
      <c r="AQ107" t="s">
        <v>153</v>
      </c>
      <c r="AR107" s="5"/>
      <c r="AT107" s="4" t="s">
        <v>153</v>
      </c>
      <c r="AU107" s="4" t="s">
        <v>153</v>
      </c>
      <c r="AV107" s="4" t="s">
        <v>153</v>
      </c>
      <c r="AW107" t="s">
        <v>153</v>
      </c>
      <c r="AX107" t="s">
        <v>153</v>
      </c>
      <c r="AY107" t="s">
        <v>153</v>
      </c>
      <c r="AZ107" t="s">
        <v>153</v>
      </c>
      <c r="BA107" t="s">
        <v>153</v>
      </c>
      <c r="BB107" t="s">
        <v>153</v>
      </c>
      <c r="BC107" t="s">
        <v>153</v>
      </c>
      <c r="BD107" s="4" t="s">
        <v>153</v>
      </c>
      <c r="BE107" s="4" t="s">
        <v>153</v>
      </c>
      <c r="BF107" t="s">
        <v>153</v>
      </c>
      <c r="BG107" s="4" t="s">
        <v>153</v>
      </c>
      <c r="BH107" t="s">
        <v>153</v>
      </c>
      <c r="BI107" s="4" t="s">
        <v>153</v>
      </c>
      <c r="BJ107" t="s">
        <v>153</v>
      </c>
      <c r="BK107" s="4" t="s">
        <v>153</v>
      </c>
      <c r="BL107" t="s">
        <v>153</v>
      </c>
      <c r="BM107" t="s">
        <v>153</v>
      </c>
      <c r="BN107" s="4" t="s">
        <v>153</v>
      </c>
      <c r="BO107" s="4" t="s">
        <v>153</v>
      </c>
      <c r="BP107" s="4" t="s">
        <v>153</v>
      </c>
      <c r="BQ107" s="4" t="s">
        <v>153</v>
      </c>
      <c r="BR107" s="4" t="s">
        <v>153</v>
      </c>
      <c r="BS107" s="4" t="s">
        <v>153</v>
      </c>
      <c r="BT107" s="4" t="s">
        <v>153</v>
      </c>
      <c r="BU107" s="4" t="s">
        <v>153</v>
      </c>
      <c r="BV107" s="4"/>
      <c r="BW107" s="4" t="s">
        <v>153</v>
      </c>
      <c r="BX107" s="4" t="s">
        <v>153</v>
      </c>
      <c r="BY107" s="4" t="s">
        <v>153</v>
      </c>
      <c r="BZ107" s="4" t="s">
        <v>153</v>
      </c>
      <c r="CA107" s="4" t="s">
        <v>153</v>
      </c>
      <c r="CB107" s="4"/>
      <c r="CC107" s="4" t="s">
        <v>153</v>
      </c>
      <c r="CD107" t="s">
        <v>153</v>
      </c>
      <c r="CE107" s="4" t="s">
        <v>153</v>
      </c>
      <c r="CF107" s="4" t="s">
        <v>153</v>
      </c>
      <c r="CG107" s="4" t="s">
        <v>153</v>
      </c>
      <c r="CH107" s="5"/>
      <c r="CI107" t="s">
        <v>153</v>
      </c>
      <c r="CJ107" s="4"/>
      <c r="CK107" t="s">
        <v>153</v>
      </c>
      <c r="CL107" t="s">
        <v>153</v>
      </c>
      <c r="CM107" t="s">
        <v>153</v>
      </c>
      <c r="CN107" t="s">
        <v>153</v>
      </c>
      <c r="CO107" s="5"/>
      <c r="CP107" s="4" t="s">
        <v>153</v>
      </c>
      <c r="CQ107" s="4" t="s">
        <v>153</v>
      </c>
      <c r="CR107" t="s">
        <v>153</v>
      </c>
      <c r="CS107" t="s">
        <v>153</v>
      </c>
      <c r="CT107" t="s">
        <v>153</v>
      </c>
      <c r="CU107" t="s">
        <v>153</v>
      </c>
      <c r="CV107" t="s">
        <v>153</v>
      </c>
      <c r="CW107" t="s">
        <v>153</v>
      </c>
      <c r="CX107" t="s">
        <v>153</v>
      </c>
      <c r="CY107" t="s">
        <v>153</v>
      </c>
      <c r="CZ107" t="s">
        <v>153</v>
      </c>
      <c r="DA107" t="s">
        <v>153</v>
      </c>
      <c r="DB107" t="s">
        <v>153</v>
      </c>
      <c r="DC107" t="s">
        <v>153</v>
      </c>
      <c r="DD107" t="s">
        <v>153</v>
      </c>
      <c r="DE107" t="s">
        <v>153</v>
      </c>
      <c r="DF107" t="s">
        <v>153</v>
      </c>
      <c r="DG107" t="s">
        <v>153</v>
      </c>
      <c r="DI107" t="s">
        <v>153</v>
      </c>
      <c r="DJ107" t="s">
        <v>153</v>
      </c>
      <c r="DK107" t="s">
        <v>153</v>
      </c>
      <c r="DL107" t="s">
        <v>153</v>
      </c>
      <c r="DN107" t="s">
        <v>153</v>
      </c>
      <c r="DO107" t="s">
        <v>153</v>
      </c>
      <c r="DP107" t="s">
        <v>153</v>
      </c>
      <c r="DQ107" t="s">
        <v>153</v>
      </c>
      <c r="DR107" t="s">
        <v>153</v>
      </c>
      <c r="DS107" t="s">
        <v>153</v>
      </c>
      <c r="DT107" t="s">
        <v>153</v>
      </c>
      <c r="DU107" t="s">
        <v>153</v>
      </c>
      <c r="DV107" t="s">
        <v>153</v>
      </c>
      <c r="DW107" t="s">
        <v>153</v>
      </c>
      <c r="DX107" s="2"/>
      <c r="DY107" t="s">
        <v>153</v>
      </c>
      <c r="DZ107" t="s">
        <v>153</v>
      </c>
      <c r="EA107" t="s">
        <v>153</v>
      </c>
      <c r="EB107" t="s">
        <v>153</v>
      </c>
      <c r="EC107" t="s">
        <v>153</v>
      </c>
      <c r="ED107" t="s">
        <v>153</v>
      </c>
      <c r="EE107" t="s">
        <v>153</v>
      </c>
      <c r="EF107" t="s">
        <v>153</v>
      </c>
      <c r="EH107" t="s">
        <v>153</v>
      </c>
      <c r="EI107" t="s">
        <v>153</v>
      </c>
      <c r="EJ107" t="s">
        <v>153</v>
      </c>
      <c r="EK107" t="s">
        <v>153</v>
      </c>
      <c r="EM107" t="s">
        <v>153</v>
      </c>
      <c r="EN107" t="s">
        <v>153</v>
      </c>
      <c r="EP107" s="4" t="s">
        <v>243</v>
      </c>
      <c r="EQ107" s="4" t="s">
        <v>842</v>
      </c>
      <c r="ER107" s="4" t="s">
        <v>191</v>
      </c>
      <c r="ES107" s="4" t="s">
        <v>153</v>
      </c>
      <c r="ET107" t="s">
        <v>153</v>
      </c>
      <c r="EU107" t="s">
        <v>1614</v>
      </c>
      <c r="EV107" t="s">
        <v>1615</v>
      </c>
      <c r="EW107">
        <v>1160375684</v>
      </c>
      <c r="EX107" t="s">
        <v>1616</v>
      </c>
    </row>
    <row r="108" spans="1:154" x14ac:dyDescent="0.25">
      <c r="A108" s="3">
        <v>45236.678796296299</v>
      </c>
      <c r="B108" s="4" t="s">
        <v>1050</v>
      </c>
      <c r="C108" s="4" t="s">
        <v>1617</v>
      </c>
      <c r="D108" s="4" t="s">
        <v>1618</v>
      </c>
      <c r="E108" s="4" t="s">
        <v>1619</v>
      </c>
      <c r="F108" s="4" t="s">
        <v>1620</v>
      </c>
      <c r="G108" s="4" t="s">
        <v>423</v>
      </c>
      <c r="H108" s="4" t="s">
        <v>1032</v>
      </c>
      <c r="I108" s="4" t="s">
        <v>153</v>
      </c>
      <c r="J108" s="4" t="s">
        <v>1621</v>
      </c>
      <c r="K108" s="5"/>
      <c r="L108" s="4" t="s">
        <v>153</v>
      </c>
      <c r="M108" s="4" t="s">
        <v>153</v>
      </c>
      <c r="N108" s="4" t="s">
        <v>153</v>
      </c>
      <c r="O108" s="4" t="s">
        <v>153</v>
      </c>
      <c r="P108" s="4" t="s">
        <v>153</v>
      </c>
      <c r="Q108" s="4" t="s">
        <v>153</v>
      </c>
      <c r="R108" s="4" t="s">
        <v>153</v>
      </c>
      <c r="S108" s="4" t="s">
        <v>153</v>
      </c>
      <c r="T108" s="4" t="s">
        <v>153</v>
      </c>
      <c r="U108" s="4" t="s">
        <v>153</v>
      </c>
      <c r="V108" s="4" t="s">
        <v>153</v>
      </c>
      <c r="W108" s="4" t="s">
        <v>153</v>
      </c>
      <c r="X108" s="4" t="s">
        <v>153</v>
      </c>
      <c r="Y108" s="4" t="s">
        <v>153</v>
      </c>
      <c r="Z108" s="4" t="s">
        <v>153</v>
      </c>
      <c r="AA108" s="4" t="s">
        <v>153</v>
      </c>
      <c r="AB108" s="4" t="s">
        <v>153</v>
      </c>
      <c r="AC108" s="4" t="s">
        <v>153</v>
      </c>
      <c r="AD108" s="4" t="s">
        <v>153</v>
      </c>
      <c r="AE108" s="4" t="s">
        <v>153</v>
      </c>
      <c r="AF108" s="4" t="s">
        <v>153</v>
      </c>
      <c r="AG108" s="4" t="s">
        <v>153</v>
      </c>
      <c r="AH108" s="4" t="s">
        <v>153</v>
      </c>
      <c r="AI108" s="5"/>
      <c r="AJ108" t="s">
        <v>153</v>
      </c>
      <c r="AK108" s="4"/>
      <c r="AL108" t="s">
        <v>153</v>
      </c>
      <c r="AM108" t="s">
        <v>153</v>
      </c>
      <c r="AO108" t="s">
        <v>153</v>
      </c>
      <c r="AP108" s="4"/>
      <c r="AQ108" t="s">
        <v>153</v>
      </c>
      <c r="AR108" s="5"/>
      <c r="AT108" s="4" t="s">
        <v>153</v>
      </c>
      <c r="AU108" s="4" t="s">
        <v>153</v>
      </c>
      <c r="AV108" s="4" t="s">
        <v>153</v>
      </c>
      <c r="AW108" t="s">
        <v>153</v>
      </c>
      <c r="AX108" t="s">
        <v>153</v>
      </c>
      <c r="AY108" t="s">
        <v>153</v>
      </c>
      <c r="AZ108" t="s">
        <v>153</v>
      </c>
      <c r="BA108" t="s">
        <v>153</v>
      </c>
      <c r="BB108" t="s">
        <v>153</v>
      </c>
      <c r="BC108" t="s">
        <v>153</v>
      </c>
      <c r="BD108" s="4" t="s">
        <v>153</v>
      </c>
      <c r="BE108" s="4" t="s">
        <v>153</v>
      </c>
      <c r="BF108" t="s">
        <v>153</v>
      </c>
      <c r="BG108" s="4" t="s">
        <v>153</v>
      </c>
      <c r="BH108" t="s">
        <v>153</v>
      </c>
      <c r="BI108" s="4" t="s">
        <v>1622</v>
      </c>
      <c r="BJ108" t="s">
        <v>153</v>
      </c>
      <c r="BK108" s="4" t="s">
        <v>153</v>
      </c>
      <c r="BL108" t="s">
        <v>1623</v>
      </c>
      <c r="BM108" t="s">
        <v>1618</v>
      </c>
      <c r="BN108" s="4" t="s">
        <v>403</v>
      </c>
      <c r="BO108" s="4" t="s">
        <v>191</v>
      </c>
      <c r="BP108" s="4" t="s">
        <v>1624</v>
      </c>
      <c r="BQ108" s="4" t="s">
        <v>153</v>
      </c>
      <c r="BR108" s="4" t="s">
        <v>1625</v>
      </c>
      <c r="BS108" s="4" t="s">
        <v>153</v>
      </c>
      <c r="BT108" s="4" t="s">
        <v>1458</v>
      </c>
      <c r="BU108" s="4" t="s">
        <v>870</v>
      </c>
      <c r="BV108" s="4">
        <v>97123</v>
      </c>
      <c r="BW108" s="4" t="s">
        <v>430</v>
      </c>
      <c r="BX108" s="4" t="s">
        <v>1626</v>
      </c>
      <c r="BY108" s="4" t="s">
        <v>153</v>
      </c>
      <c r="BZ108" s="4" t="s">
        <v>1458</v>
      </c>
      <c r="CA108" s="4" t="s">
        <v>870</v>
      </c>
      <c r="CB108" s="4">
        <v>97123</v>
      </c>
      <c r="CC108" s="4" t="s">
        <v>430</v>
      </c>
      <c r="CD108" t="s">
        <v>1020</v>
      </c>
      <c r="CE108" s="4" t="s">
        <v>1627</v>
      </c>
      <c r="CF108" s="4" t="s">
        <v>1628</v>
      </c>
      <c r="CG108" s="4" t="s">
        <v>1629</v>
      </c>
      <c r="CH108" s="5">
        <v>45081</v>
      </c>
      <c r="CI108" t="s">
        <v>445</v>
      </c>
      <c r="CJ108" s="4">
        <v>2</v>
      </c>
      <c r="CK108" t="s">
        <v>433</v>
      </c>
      <c r="CL108" t="s">
        <v>153</v>
      </c>
      <c r="CM108" t="s">
        <v>153</v>
      </c>
      <c r="CN108" t="s">
        <v>153</v>
      </c>
      <c r="CO108" s="5"/>
      <c r="CP108" s="4" t="s">
        <v>153</v>
      </c>
      <c r="CQ108" s="4" t="s">
        <v>153</v>
      </c>
      <c r="CR108" t="s">
        <v>153</v>
      </c>
      <c r="CS108" t="s">
        <v>153</v>
      </c>
      <c r="CT108" t="s">
        <v>153</v>
      </c>
      <c r="CU108" t="s">
        <v>153</v>
      </c>
      <c r="CV108" t="s">
        <v>153</v>
      </c>
      <c r="CW108" t="s">
        <v>153</v>
      </c>
      <c r="CX108" t="s">
        <v>153</v>
      </c>
      <c r="CY108" t="s">
        <v>153</v>
      </c>
      <c r="CZ108" t="s">
        <v>153</v>
      </c>
      <c r="DA108" t="s">
        <v>153</v>
      </c>
      <c r="DB108" t="s">
        <v>153</v>
      </c>
      <c r="DC108" t="s">
        <v>153</v>
      </c>
      <c r="DD108" t="s">
        <v>153</v>
      </c>
      <c r="DE108" t="s">
        <v>153</v>
      </c>
      <c r="DF108" t="s">
        <v>153</v>
      </c>
      <c r="DG108" t="s">
        <v>153</v>
      </c>
      <c r="DI108" t="s">
        <v>153</v>
      </c>
      <c r="DJ108" t="s">
        <v>153</v>
      </c>
      <c r="DK108" t="s">
        <v>153</v>
      </c>
      <c r="DL108" t="s">
        <v>153</v>
      </c>
      <c r="DN108" t="s">
        <v>153</v>
      </c>
      <c r="DO108" t="s">
        <v>153</v>
      </c>
      <c r="DP108" t="s">
        <v>153</v>
      </c>
      <c r="DQ108" t="s">
        <v>153</v>
      </c>
      <c r="DR108" t="s">
        <v>153</v>
      </c>
      <c r="DS108" t="s">
        <v>153</v>
      </c>
      <c r="DT108" t="s">
        <v>153</v>
      </c>
      <c r="DU108" t="s">
        <v>153</v>
      </c>
      <c r="DV108" t="s">
        <v>153</v>
      </c>
      <c r="DW108" t="s">
        <v>153</v>
      </c>
      <c r="DX108" s="2"/>
      <c r="DY108" t="s">
        <v>153</v>
      </c>
      <c r="DZ108" t="s">
        <v>153</v>
      </c>
      <c r="EA108" t="s">
        <v>153</v>
      </c>
      <c r="EB108" t="s">
        <v>153</v>
      </c>
      <c r="EC108" t="s">
        <v>153</v>
      </c>
      <c r="ED108" t="s">
        <v>153</v>
      </c>
      <c r="EE108" t="s">
        <v>153</v>
      </c>
      <c r="EF108" t="s">
        <v>153</v>
      </c>
      <c r="EH108" t="s">
        <v>153</v>
      </c>
      <c r="EI108" t="s">
        <v>153</v>
      </c>
      <c r="EJ108" t="s">
        <v>153</v>
      </c>
      <c r="EK108" t="s">
        <v>153</v>
      </c>
      <c r="EM108" t="s">
        <v>153</v>
      </c>
      <c r="EN108" t="s">
        <v>153</v>
      </c>
      <c r="EP108" s="4" t="s">
        <v>153</v>
      </c>
      <c r="EQ108" s="4" t="s">
        <v>153</v>
      </c>
      <c r="ER108" s="4" t="s">
        <v>191</v>
      </c>
      <c r="ES108" s="4" t="s">
        <v>153</v>
      </c>
      <c r="ET108" t="s">
        <v>153</v>
      </c>
      <c r="EU108" t="s">
        <v>1596</v>
      </c>
      <c r="EV108" t="s">
        <v>1630</v>
      </c>
      <c r="EW108">
        <v>1160492987</v>
      </c>
      <c r="EX108" t="s">
        <v>1631</v>
      </c>
    </row>
    <row r="109" spans="1:154" x14ac:dyDescent="0.25">
      <c r="A109" s="3">
        <v>45238.645937499998</v>
      </c>
      <c r="B109" s="4" t="s">
        <v>1050</v>
      </c>
      <c r="C109" s="4" t="s">
        <v>892</v>
      </c>
      <c r="D109" s="4" t="s">
        <v>893</v>
      </c>
      <c r="E109" s="4" t="s">
        <v>894</v>
      </c>
      <c r="F109" s="4" t="s">
        <v>895</v>
      </c>
      <c r="G109" s="4" t="s">
        <v>185</v>
      </c>
      <c r="H109" s="4" t="s">
        <v>542</v>
      </c>
      <c r="I109" s="4" t="s">
        <v>153</v>
      </c>
      <c r="J109" s="4" t="s">
        <v>153</v>
      </c>
      <c r="K109" s="5"/>
      <c r="L109" s="4" t="s">
        <v>153</v>
      </c>
      <c r="M109" s="4" t="s">
        <v>1632</v>
      </c>
      <c r="N109" s="4" t="s">
        <v>153</v>
      </c>
      <c r="O109" s="4" t="s">
        <v>1633</v>
      </c>
      <c r="P109" s="4" t="s">
        <v>1634</v>
      </c>
      <c r="Q109" s="4" t="s">
        <v>294</v>
      </c>
      <c r="R109" s="4" t="s">
        <v>191</v>
      </c>
      <c r="S109" s="4" t="s">
        <v>1635</v>
      </c>
      <c r="T109" s="4" t="s">
        <v>153</v>
      </c>
      <c r="U109" s="4" t="s">
        <v>1636</v>
      </c>
      <c r="V109" s="4" t="s">
        <v>153</v>
      </c>
      <c r="W109" s="4" t="s">
        <v>1637</v>
      </c>
      <c r="X109" s="4" t="s">
        <v>1638</v>
      </c>
      <c r="Y109" s="4" t="s">
        <v>1639</v>
      </c>
      <c r="Z109" s="4" t="s">
        <v>153</v>
      </c>
      <c r="AA109" s="4" t="s">
        <v>1640</v>
      </c>
      <c r="AB109" s="4" t="s">
        <v>153</v>
      </c>
      <c r="AC109" s="4" t="s">
        <v>1641</v>
      </c>
      <c r="AD109" s="4" t="s">
        <v>1638</v>
      </c>
      <c r="AE109" s="4" t="s">
        <v>1642</v>
      </c>
      <c r="AF109" s="4" t="s">
        <v>1643</v>
      </c>
      <c r="AG109" s="4" t="s">
        <v>1644</v>
      </c>
      <c r="AH109" s="4" t="s">
        <v>153</v>
      </c>
      <c r="AI109" s="5">
        <v>44927</v>
      </c>
      <c r="AJ109" t="s">
        <v>153</v>
      </c>
      <c r="AK109" s="4"/>
      <c r="AL109" t="s">
        <v>153</v>
      </c>
      <c r="AM109" t="s">
        <v>153</v>
      </c>
      <c r="AO109" t="s">
        <v>153</v>
      </c>
      <c r="AP109" s="4"/>
      <c r="AQ109" t="s">
        <v>153</v>
      </c>
      <c r="AR109" s="5"/>
      <c r="AT109" s="4" t="s">
        <v>153</v>
      </c>
      <c r="AU109" s="4" t="s">
        <v>153</v>
      </c>
      <c r="AV109" s="4" t="s">
        <v>153</v>
      </c>
      <c r="AW109" t="s">
        <v>153</v>
      </c>
      <c r="AX109" t="s">
        <v>153</v>
      </c>
      <c r="AY109" t="s">
        <v>153</v>
      </c>
      <c r="AZ109" t="s">
        <v>153</v>
      </c>
      <c r="BA109" t="s">
        <v>153</v>
      </c>
      <c r="BB109" t="s">
        <v>153</v>
      </c>
      <c r="BC109" t="s">
        <v>153</v>
      </c>
      <c r="BD109" s="4" t="s">
        <v>153</v>
      </c>
      <c r="BE109" s="4" t="s">
        <v>153</v>
      </c>
      <c r="BF109" t="s">
        <v>153</v>
      </c>
      <c r="BG109" s="4" t="s">
        <v>153</v>
      </c>
      <c r="BH109" t="s">
        <v>153</v>
      </c>
      <c r="BI109" s="4" t="s">
        <v>153</v>
      </c>
      <c r="BJ109" t="s">
        <v>153</v>
      </c>
      <c r="BK109" s="4" t="s">
        <v>153</v>
      </c>
      <c r="BL109" t="s">
        <v>153</v>
      </c>
      <c r="BM109" t="s">
        <v>153</v>
      </c>
      <c r="BN109" s="4" t="s">
        <v>153</v>
      </c>
      <c r="BO109" s="4" t="s">
        <v>153</v>
      </c>
      <c r="BP109" s="4" t="s">
        <v>153</v>
      </c>
      <c r="BQ109" s="4" t="s">
        <v>153</v>
      </c>
      <c r="BR109" s="4" t="s">
        <v>153</v>
      </c>
      <c r="BS109" s="4" t="s">
        <v>153</v>
      </c>
      <c r="BT109" s="4" t="s">
        <v>153</v>
      </c>
      <c r="BU109" s="4" t="s">
        <v>153</v>
      </c>
      <c r="BV109" s="4"/>
      <c r="BW109" s="4" t="s">
        <v>153</v>
      </c>
      <c r="BX109" s="4" t="s">
        <v>153</v>
      </c>
      <c r="BY109" s="4" t="s">
        <v>153</v>
      </c>
      <c r="BZ109" s="4" t="s">
        <v>153</v>
      </c>
      <c r="CA109" s="4" t="s">
        <v>153</v>
      </c>
      <c r="CB109" s="4"/>
      <c r="CC109" s="4" t="s">
        <v>153</v>
      </c>
      <c r="CD109" t="s">
        <v>153</v>
      </c>
      <c r="CE109" s="4" t="s">
        <v>153</v>
      </c>
      <c r="CF109" s="4" t="s">
        <v>153</v>
      </c>
      <c r="CG109" s="4" t="s">
        <v>153</v>
      </c>
      <c r="CH109" s="5"/>
      <c r="CI109" t="s">
        <v>153</v>
      </c>
      <c r="CJ109" s="4"/>
      <c r="CK109" t="s">
        <v>153</v>
      </c>
      <c r="CL109" t="s">
        <v>153</v>
      </c>
      <c r="CM109" t="s">
        <v>153</v>
      </c>
      <c r="CN109" t="s">
        <v>153</v>
      </c>
      <c r="CO109" s="5"/>
      <c r="CP109" s="4" t="s">
        <v>153</v>
      </c>
      <c r="CQ109" s="4" t="s">
        <v>153</v>
      </c>
      <c r="CR109" t="s">
        <v>153</v>
      </c>
      <c r="CS109" t="s">
        <v>153</v>
      </c>
      <c r="CT109" t="s">
        <v>153</v>
      </c>
      <c r="CU109" t="s">
        <v>153</v>
      </c>
      <c r="CV109" t="s">
        <v>153</v>
      </c>
      <c r="CW109" t="s">
        <v>153</v>
      </c>
      <c r="CX109" t="s">
        <v>153</v>
      </c>
      <c r="CY109" t="s">
        <v>153</v>
      </c>
      <c r="CZ109" t="s">
        <v>153</v>
      </c>
      <c r="DA109" t="s">
        <v>153</v>
      </c>
      <c r="DB109" t="s">
        <v>153</v>
      </c>
      <c r="DC109" t="s">
        <v>153</v>
      </c>
      <c r="DD109" t="s">
        <v>153</v>
      </c>
      <c r="DE109" t="s">
        <v>153</v>
      </c>
      <c r="DF109" t="s">
        <v>153</v>
      </c>
      <c r="DG109" t="s">
        <v>153</v>
      </c>
      <c r="DI109" t="s">
        <v>153</v>
      </c>
      <c r="DJ109" t="s">
        <v>153</v>
      </c>
      <c r="DK109" t="s">
        <v>153</v>
      </c>
      <c r="DL109" t="s">
        <v>153</v>
      </c>
      <c r="DN109" t="s">
        <v>153</v>
      </c>
      <c r="DO109" t="s">
        <v>153</v>
      </c>
      <c r="DP109" t="s">
        <v>153</v>
      </c>
      <c r="DQ109" t="s">
        <v>153</v>
      </c>
      <c r="DR109" t="s">
        <v>153</v>
      </c>
      <c r="DS109" t="s">
        <v>153</v>
      </c>
      <c r="DT109" t="s">
        <v>153</v>
      </c>
      <c r="DU109" t="s">
        <v>153</v>
      </c>
      <c r="DV109" t="s">
        <v>153</v>
      </c>
      <c r="DW109" t="s">
        <v>153</v>
      </c>
      <c r="DX109" s="2"/>
      <c r="DY109" t="s">
        <v>153</v>
      </c>
      <c r="DZ109" t="s">
        <v>153</v>
      </c>
      <c r="EA109" t="s">
        <v>153</v>
      </c>
      <c r="EB109" t="s">
        <v>153</v>
      </c>
      <c r="EC109" t="s">
        <v>153</v>
      </c>
      <c r="ED109" t="s">
        <v>153</v>
      </c>
      <c r="EE109" t="s">
        <v>153</v>
      </c>
      <c r="EF109" t="s">
        <v>153</v>
      </c>
      <c r="EH109" t="s">
        <v>153</v>
      </c>
      <c r="EI109" t="s">
        <v>153</v>
      </c>
      <c r="EJ109" t="s">
        <v>153</v>
      </c>
      <c r="EK109" t="s">
        <v>153</v>
      </c>
      <c r="EM109" t="s">
        <v>153</v>
      </c>
      <c r="EN109" t="s">
        <v>153</v>
      </c>
      <c r="EP109" s="4" t="s">
        <v>243</v>
      </c>
      <c r="EQ109" s="4" t="s">
        <v>244</v>
      </c>
      <c r="ER109" s="4" t="s">
        <v>191</v>
      </c>
      <c r="ES109" s="4" t="s">
        <v>153</v>
      </c>
      <c r="ET109" t="s">
        <v>153</v>
      </c>
      <c r="EU109" t="s">
        <v>1525</v>
      </c>
      <c r="EV109" t="s">
        <v>909</v>
      </c>
      <c r="EW109">
        <v>1161428221</v>
      </c>
      <c r="EX109" t="s">
        <v>1093</v>
      </c>
    </row>
    <row r="110" spans="1:154" x14ac:dyDescent="0.25">
      <c r="A110" s="3">
        <v>45238.649039351854</v>
      </c>
      <c r="B110" s="4" t="s">
        <v>1050</v>
      </c>
      <c r="C110" s="4" t="s">
        <v>892</v>
      </c>
      <c r="D110" s="4" t="s">
        <v>893</v>
      </c>
      <c r="E110" s="4" t="s">
        <v>894</v>
      </c>
      <c r="F110" s="4" t="s">
        <v>895</v>
      </c>
      <c r="G110" s="4" t="s">
        <v>185</v>
      </c>
      <c r="H110" s="4" t="s">
        <v>542</v>
      </c>
      <c r="I110" s="4" t="s">
        <v>153</v>
      </c>
      <c r="J110" s="4" t="s">
        <v>153</v>
      </c>
      <c r="K110" s="5"/>
      <c r="L110" s="4" t="s">
        <v>153</v>
      </c>
      <c r="M110" s="4" t="s">
        <v>1645</v>
      </c>
      <c r="N110" s="4" t="s">
        <v>153</v>
      </c>
      <c r="O110" s="4" t="s">
        <v>1646</v>
      </c>
      <c r="P110" s="4" t="s">
        <v>1634</v>
      </c>
      <c r="Q110" s="4" t="s">
        <v>294</v>
      </c>
      <c r="R110" s="4" t="s">
        <v>191</v>
      </c>
      <c r="S110" s="4" t="s">
        <v>1647</v>
      </c>
      <c r="T110" s="4" t="s">
        <v>153</v>
      </c>
      <c r="U110" s="4" t="s">
        <v>1648</v>
      </c>
      <c r="V110" s="4" t="s">
        <v>153</v>
      </c>
      <c r="W110" s="4" t="s">
        <v>1641</v>
      </c>
      <c r="X110" s="4" t="s">
        <v>1638</v>
      </c>
      <c r="Y110" s="4" t="s">
        <v>1642</v>
      </c>
      <c r="Z110" s="4" t="s">
        <v>153</v>
      </c>
      <c r="AA110" s="4" t="s">
        <v>1649</v>
      </c>
      <c r="AB110" s="4" t="s">
        <v>153</v>
      </c>
      <c r="AC110" s="4" t="s">
        <v>1641</v>
      </c>
      <c r="AD110" s="4" t="s">
        <v>1638</v>
      </c>
      <c r="AE110" s="4" t="s">
        <v>1642</v>
      </c>
      <c r="AF110" s="4" t="s">
        <v>1650</v>
      </c>
      <c r="AG110" s="4" t="s">
        <v>1644</v>
      </c>
      <c r="AH110" s="4" t="s">
        <v>153</v>
      </c>
      <c r="AI110" s="5">
        <v>44927</v>
      </c>
      <c r="AJ110" t="s">
        <v>153</v>
      </c>
      <c r="AK110" s="4">
        <v>1</v>
      </c>
      <c r="AL110" t="s">
        <v>153</v>
      </c>
      <c r="AM110" t="s">
        <v>153</v>
      </c>
      <c r="AO110" t="s">
        <v>153</v>
      </c>
      <c r="AP110" s="4"/>
      <c r="AQ110" t="s">
        <v>153</v>
      </c>
      <c r="AR110" s="5"/>
      <c r="AT110" s="4" t="s">
        <v>153</v>
      </c>
      <c r="AU110" s="4" t="s">
        <v>153</v>
      </c>
      <c r="AV110" s="4" t="s">
        <v>153</v>
      </c>
      <c r="AW110" t="s">
        <v>153</v>
      </c>
      <c r="AX110" t="s">
        <v>153</v>
      </c>
      <c r="AY110" t="s">
        <v>153</v>
      </c>
      <c r="AZ110" t="s">
        <v>153</v>
      </c>
      <c r="BA110" t="s">
        <v>153</v>
      </c>
      <c r="BB110" t="s">
        <v>153</v>
      </c>
      <c r="BC110" t="s">
        <v>153</v>
      </c>
      <c r="BD110" s="4" t="s">
        <v>153</v>
      </c>
      <c r="BE110" s="4" t="s">
        <v>153</v>
      </c>
      <c r="BF110" t="s">
        <v>153</v>
      </c>
      <c r="BG110" s="4" t="s">
        <v>153</v>
      </c>
      <c r="BH110" t="s">
        <v>153</v>
      </c>
      <c r="BI110" s="4" t="s">
        <v>153</v>
      </c>
      <c r="BJ110" t="s">
        <v>153</v>
      </c>
      <c r="BK110" s="4" t="s">
        <v>153</v>
      </c>
      <c r="BL110" t="s">
        <v>153</v>
      </c>
      <c r="BM110" t="s">
        <v>153</v>
      </c>
      <c r="BN110" s="4" t="s">
        <v>153</v>
      </c>
      <c r="BO110" s="4" t="s">
        <v>153</v>
      </c>
      <c r="BP110" s="4" t="s">
        <v>153</v>
      </c>
      <c r="BQ110" s="4" t="s">
        <v>153</v>
      </c>
      <c r="BR110" s="4" t="s">
        <v>153</v>
      </c>
      <c r="BS110" s="4" t="s">
        <v>153</v>
      </c>
      <c r="BT110" s="4" t="s">
        <v>153</v>
      </c>
      <c r="BU110" s="4" t="s">
        <v>153</v>
      </c>
      <c r="BV110" s="4"/>
      <c r="BW110" s="4" t="s">
        <v>153</v>
      </c>
      <c r="BX110" s="4" t="s">
        <v>153</v>
      </c>
      <c r="BY110" s="4" t="s">
        <v>153</v>
      </c>
      <c r="BZ110" s="4" t="s">
        <v>153</v>
      </c>
      <c r="CA110" s="4" t="s">
        <v>153</v>
      </c>
      <c r="CB110" s="4"/>
      <c r="CC110" s="4" t="s">
        <v>153</v>
      </c>
      <c r="CD110" t="s">
        <v>153</v>
      </c>
      <c r="CE110" s="4" t="s">
        <v>153</v>
      </c>
      <c r="CF110" s="4" t="s">
        <v>153</v>
      </c>
      <c r="CG110" s="4" t="s">
        <v>153</v>
      </c>
      <c r="CH110" s="5"/>
      <c r="CI110" t="s">
        <v>153</v>
      </c>
      <c r="CJ110" s="4"/>
      <c r="CK110" t="s">
        <v>153</v>
      </c>
      <c r="CL110" t="s">
        <v>153</v>
      </c>
      <c r="CM110" t="s">
        <v>153</v>
      </c>
      <c r="CN110" t="s">
        <v>153</v>
      </c>
      <c r="CO110" s="5"/>
      <c r="CP110" s="4" t="s">
        <v>153</v>
      </c>
      <c r="CQ110" s="4" t="s">
        <v>153</v>
      </c>
      <c r="CR110" t="s">
        <v>153</v>
      </c>
      <c r="CS110" t="s">
        <v>153</v>
      </c>
      <c r="CT110" t="s">
        <v>153</v>
      </c>
      <c r="CU110" t="s">
        <v>153</v>
      </c>
      <c r="CV110" t="s">
        <v>153</v>
      </c>
      <c r="CW110" t="s">
        <v>153</v>
      </c>
      <c r="CX110" t="s">
        <v>153</v>
      </c>
      <c r="CY110" t="s">
        <v>153</v>
      </c>
      <c r="CZ110" t="s">
        <v>153</v>
      </c>
      <c r="DA110" t="s">
        <v>153</v>
      </c>
      <c r="DB110" t="s">
        <v>153</v>
      </c>
      <c r="DC110" t="s">
        <v>153</v>
      </c>
      <c r="DD110" t="s">
        <v>153</v>
      </c>
      <c r="DE110" t="s">
        <v>153</v>
      </c>
      <c r="DF110" t="s">
        <v>153</v>
      </c>
      <c r="DG110" t="s">
        <v>153</v>
      </c>
      <c r="DI110" t="s">
        <v>153</v>
      </c>
      <c r="DJ110" t="s">
        <v>153</v>
      </c>
      <c r="DK110" t="s">
        <v>153</v>
      </c>
      <c r="DL110" t="s">
        <v>153</v>
      </c>
      <c r="DN110" t="s">
        <v>153</v>
      </c>
      <c r="DO110" t="s">
        <v>153</v>
      </c>
      <c r="DP110" t="s">
        <v>153</v>
      </c>
      <c r="DQ110" t="s">
        <v>153</v>
      </c>
      <c r="DR110" t="s">
        <v>153</v>
      </c>
      <c r="DS110" t="s">
        <v>153</v>
      </c>
      <c r="DT110" t="s">
        <v>153</v>
      </c>
      <c r="DU110" t="s">
        <v>153</v>
      </c>
      <c r="DV110" t="s">
        <v>153</v>
      </c>
      <c r="DW110" t="s">
        <v>153</v>
      </c>
      <c r="DX110" s="2"/>
      <c r="DY110" t="s">
        <v>153</v>
      </c>
      <c r="DZ110" t="s">
        <v>153</v>
      </c>
      <c r="EA110" t="s">
        <v>153</v>
      </c>
      <c r="EB110" t="s">
        <v>153</v>
      </c>
      <c r="EC110" t="s">
        <v>153</v>
      </c>
      <c r="ED110" t="s">
        <v>153</v>
      </c>
      <c r="EE110" t="s">
        <v>153</v>
      </c>
      <c r="EF110" t="s">
        <v>153</v>
      </c>
      <c r="EH110" t="s">
        <v>153</v>
      </c>
      <c r="EI110" t="s">
        <v>153</v>
      </c>
      <c r="EJ110" t="s">
        <v>153</v>
      </c>
      <c r="EK110" t="s">
        <v>153</v>
      </c>
      <c r="EM110" t="s">
        <v>153</v>
      </c>
      <c r="EN110" t="s">
        <v>153</v>
      </c>
      <c r="EP110" s="4" t="s">
        <v>243</v>
      </c>
      <c r="EQ110" s="4" t="s">
        <v>244</v>
      </c>
      <c r="ER110" s="4" t="s">
        <v>205</v>
      </c>
      <c r="ES110" s="4" t="s">
        <v>153</v>
      </c>
      <c r="ET110" t="s">
        <v>153</v>
      </c>
      <c r="EU110" t="s">
        <v>1525</v>
      </c>
      <c r="EV110" t="s">
        <v>909</v>
      </c>
      <c r="EW110">
        <v>1161430414</v>
      </c>
      <c r="EX110" t="s">
        <v>1093</v>
      </c>
    </row>
    <row r="111" spans="1:154" x14ac:dyDescent="0.25">
      <c r="A111" s="3">
        <v>45250.738310185188</v>
      </c>
      <c r="B111" s="4" t="s">
        <v>1050</v>
      </c>
      <c r="C111" s="4" t="s">
        <v>502</v>
      </c>
      <c r="D111" s="4" t="s">
        <v>503</v>
      </c>
      <c r="E111" s="4" t="s">
        <v>504</v>
      </c>
      <c r="F111" s="4" t="s">
        <v>505</v>
      </c>
      <c r="G111" s="4" t="s">
        <v>185</v>
      </c>
      <c r="H111" s="4" t="s">
        <v>506</v>
      </c>
      <c r="I111" s="4" t="s">
        <v>153</v>
      </c>
      <c r="J111" s="4" t="s">
        <v>153</v>
      </c>
      <c r="K111" s="5"/>
      <c r="L111" s="4" t="s">
        <v>153</v>
      </c>
      <c r="M111" s="4" t="s">
        <v>1651</v>
      </c>
      <c r="N111" s="4" t="s">
        <v>1652</v>
      </c>
      <c r="O111" s="4" t="s">
        <v>1653</v>
      </c>
      <c r="P111" s="4" t="s">
        <v>1654</v>
      </c>
      <c r="Q111" s="4" t="s">
        <v>294</v>
      </c>
      <c r="R111" s="4" t="s">
        <v>191</v>
      </c>
      <c r="S111" s="4" t="s">
        <v>1655</v>
      </c>
      <c r="T111" s="4" t="s">
        <v>153</v>
      </c>
      <c r="U111" s="4" t="s">
        <v>1656</v>
      </c>
      <c r="V111" s="4" t="s">
        <v>1657</v>
      </c>
      <c r="W111" s="4" t="s">
        <v>1658</v>
      </c>
      <c r="X111" s="4" t="s">
        <v>297</v>
      </c>
      <c r="Y111" s="4" t="s">
        <v>1659</v>
      </c>
      <c r="Z111" s="4" t="s">
        <v>237</v>
      </c>
      <c r="AA111" s="4" t="s">
        <v>1656</v>
      </c>
      <c r="AB111" s="4" t="s">
        <v>153</v>
      </c>
      <c r="AC111" s="4" t="s">
        <v>1658</v>
      </c>
      <c r="AD111" s="4" t="s">
        <v>297</v>
      </c>
      <c r="AE111" s="4" t="s">
        <v>1659</v>
      </c>
      <c r="AF111" s="4" t="s">
        <v>1660</v>
      </c>
      <c r="AG111" s="4" t="s">
        <v>1661</v>
      </c>
      <c r="AH111" s="4" t="s">
        <v>1662</v>
      </c>
      <c r="AI111" s="5">
        <v>45168</v>
      </c>
      <c r="AJ111" t="s">
        <v>1663</v>
      </c>
      <c r="AK111" s="4">
        <v>10</v>
      </c>
      <c r="AL111" t="s">
        <v>153</v>
      </c>
      <c r="AM111" t="s">
        <v>153</v>
      </c>
      <c r="AO111" t="s">
        <v>153</v>
      </c>
      <c r="AP111" s="4"/>
      <c r="AQ111" t="s">
        <v>153</v>
      </c>
      <c r="AR111" s="5"/>
      <c r="AT111" s="4" t="s">
        <v>153</v>
      </c>
      <c r="AU111" s="4" t="s">
        <v>153</v>
      </c>
      <c r="AV111" s="4" t="s">
        <v>153</v>
      </c>
      <c r="AW111" t="s">
        <v>153</v>
      </c>
      <c r="AX111" t="s">
        <v>153</v>
      </c>
      <c r="AY111" t="s">
        <v>153</v>
      </c>
      <c r="AZ111" t="s">
        <v>153</v>
      </c>
      <c r="BA111" t="s">
        <v>153</v>
      </c>
      <c r="BB111" t="s">
        <v>153</v>
      </c>
      <c r="BC111" t="s">
        <v>153</v>
      </c>
      <c r="BD111" s="4" t="s">
        <v>153</v>
      </c>
      <c r="BE111" s="4" t="s">
        <v>153</v>
      </c>
      <c r="BF111" t="s">
        <v>153</v>
      </c>
      <c r="BG111" s="4" t="s">
        <v>153</v>
      </c>
      <c r="BH111" t="s">
        <v>153</v>
      </c>
      <c r="BI111" s="4" t="s">
        <v>153</v>
      </c>
      <c r="BJ111" t="s">
        <v>153</v>
      </c>
      <c r="BK111" s="4" t="s">
        <v>153</v>
      </c>
      <c r="BL111" t="s">
        <v>153</v>
      </c>
      <c r="BM111" t="s">
        <v>153</v>
      </c>
      <c r="BN111" s="4" t="s">
        <v>153</v>
      </c>
      <c r="BO111" s="4" t="s">
        <v>153</v>
      </c>
      <c r="BP111" s="4" t="s">
        <v>153</v>
      </c>
      <c r="BQ111" s="4" t="s">
        <v>153</v>
      </c>
      <c r="BR111" s="4" t="s">
        <v>153</v>
      </c>
      <c r="BS111" s="4" t="s">
        <v>153</v>
      </c>
      <c r="BT111" s="4" t="s">
        <v>153</v>
      </c>
      <c r="BU111" s="4" t="s">
        <v>153</v>
      </c>
      <c r="BV111" s="4"/>
      <c r="BW111" s="4" t="s">
        <v>153</v>
      </c>
      <c r="BX111" s="4" t="s">
        <v>153</v>
      </c>
      <c r="BY111" s="4" t="s">
        <v>153</v>
      </c>
      <c r="BZ111" s="4" t="s">
        <v>153</v>
      </c>
      <c r="CA111" s="4" t="s">
        <v>153</v>
      </c>
      <c r="CB111" s="4"/>
      <c r="CC111" s="4" t="s">
        <v>153</v>
      </c>
      <c r="CD111" t="s">
        <v>153</v>
      </c>
      <c r="CE111" s="4" t="s">
        <v>153</v>
      </c>
      <c r="CF111" s="4" t="s">
        <v>153</v>
      </c>
      <c r="CG111" s="4" t="s">
        <v>153</v>
      </c>
      <c r="CH111" s="5"/>
      <c r="CI111" t="s">
        <v>153</v>
      </c>
      <c r="CJ111" s="4"/>
      <c r="CK111" t="s">
        <v>153</v>
      </c>
      <c r="CL111" t="s">
        <v>153</v>
      </c>
      <c r="CM111" t="s">
        <v>153</v>
      </c>
      <c r="CN111" t="s">
        <v>153</v>
      </c>
      <c r="CO111" s="5"/>
      <c r="CP111" s="4" t="s">
        <v>153</v>
      </c>
      <c r="CQ111" s="4" t="s">
        <v>153</v>
      </c>
      <c r="CR111" t="s">
        <v>153</v>
      </c>
      <c r="CS111" t="s">
        <v>153</v>
      </c>
      <c r="CT111" t="s">
        <v>153</v>
      </c>
      <c r="CU111" t="s">
        <v>153</v>
      </c>
      <c r="CV111" t="s">
        <v>153</v>
      </c>
      <c r="CW111" t="s">
        <v>153</v>
      </c>
      <c r="CX111" t="s">
        <v>153</v>
      </c>
      <c r="CY111" t="s">
        <v>153</v>
      </c>
      <c r="CZ111" t="s">
        <v>153</v>
      </c>
      <c r="DA111" t="s">
        <v>153</v>
      </c>
      <c r="DB111" t="s">
        <v>153</v>
      </c>
      <c r="DC111" t="s">
        <v>153</v>
      </c>
      <c r="DD111" t="s">
        <v>153</v>
      </c>
      <c r="DE111" t="s">
        <v>153</v>
      </c>
      <c r="DF111" t="s">
        <v>153</v>
      </c>
      <c r="DG111" t="s">
        <v>153</v>
      </c>
      <c r="DI111" t="s">
        <v>153</v>
      </c>
      <c r="DJ111" t="s">
        <v>153</v>
      </c>
      <c r="DK111" t="s">
        <v>153</v>
      </c>
      <c r="DL111" t="s">
        <v>153</v>
      </c>
      <c r="DN111" t="s">
        <v>153</v>
      </c>
      <c r="DO111" t="s">
        <v>153</v>
      </c>
      <c r="DP111" t="s">
        <v>153</v>
      </c>
      <c r="DQ111" t="s">
        <v>153</v>
      </c>
      <c r="DR111" t="s">
        <v>153</v>
      </c>
      <c r="DS111" t="s">
        <v>153</v>
      </c>
      <c r="DT111" t="s">
        <v>153</v>
      </c>
      <c r="DU111" t="s">
        <v>153</v>
      </c>
      <c r="DV111" t="s">
        <v>153</v>
      </c>
      <c r="DW111" t="s">
        <v>153</v>
      </c>
      <c r="DX111" s="2"/>
      <c r="DY111" t="s">
        <v>153</v>
      </c>
      <c r="DZ111" t="s">
        <v>153</v>
      </c>
      <c r="EA111" t="s">
        <v>153</v>
      </c>
      <c r="EB111" t="s">
        <v>153</v>
      </c>
      <c r="EC111" t="s">
        <v>153</v>
      </c>
      <c r="ED111" t="s">
        <v>153</v>
      </c>
      <c r="EE111" t="s">
        <v>153</v>
      </c>
      <c r="EF111" t="s">
        <v>153</v>
      </c>
      <c r="EH111" t="s">
        <v>153</v>
      </c>
      <c r="EI111" t="s">
        <v>153</v>
      </c>
      <c r="EJ111" t="s">
        <v>153</v>
      </c>
      <c r="EK111" t="s">
        <v>153</v>
      </c>
      <c r="EM111" t="s">
        <v>153</v>
      </c>
      <c r="EN111" t="s">
        <v>153</v>
      </c>
      <c r="EP111" s="4" t="s">
        <v>242</v>
      </c>
      <c r="EQ111" s="4" t="s">
        <v>153</v>
      </c>
      <c r="ER111" s="4" t="s">
        <v>191</v>
      </c>
      <c r="ES111" s="4" t="s">
        <v>153</v>
      </c>
      <c r="ET111" t="s">
        <v>1664</v>
      </c>
      <c r="EU111" t="s">
        <v>1596</v>
      </c>
      <c r="EV111" t="s">
        <v>519</v>
      </c>
      <c r="EW111">
        <v>1166169002</v>
      </c>
      <c r="EX111" t="s">
        <v>1665</v>
      </c>
    </row>
    <row r="112" spans="1:154" x14ac:dyDescent="0.25">
      <c r="A112" s="3">
        <v>45259.665358796294</v>
      </c>
      <c r="B112" s="4" t="s">
        <v>1050</v>
      </c>
      <c r="C112" s="4" t="s">
        <v>222</v>
      </c>
      <c r="D112" s="4" t="s">
        <v>223</v>
      </c>
      <c r="E112" s="4" t="s">
        <v>224</v>
      </c>
      <c r="F112" s="4" t="s">
        <v>225</v>
      </c>
      <c r="G112" s="4" t="s">
        <v>252</v>
      </c>
      <c r="H112" s="4" t="s">
        <v>226</v>
      </c>
      <c r="I112" s="4" t="s">
        <v>153</v>
      </c>
      <c r="J112" s="4" t="s">
        <v>1666</v>
      </c>
      <c r="K112" s="5"/>
      <c r="L112" s="4" t="s">
        <v>153</v>
      </c>
      <c r="M112" s="4" t="s">
        <v>153</v>
      </c>
      <c r="N112" s="4" t="s">
        <v>153</v>
      </c>
      <c r="O112" s="4" t="s">
        <v>153</v>
      </c>
      <c r="P112" s="4" t="s">
        <v>153</v>
      </c>
      <c r="Q112" s="4" t="s">
        <v>153</v>
      </c>
      <c r="R112" s="4" t="s">
        <v>153</v>
      </c>
      <c r="S112" s="4" t="s">
        <v>153</v>
      </c>
      <c r="T112" s="4" t="s">
        <v>153</v>
      </c>
      <c r="U112" s="4" t="s">
        <v>153</v>
      </c>
      <c r="V112" s="4" t="s">
        <v>153</v>
      </c>
      <c r="W112" s="4" t="s">
        <v>153</v>
      </c>
      <c r="X112" s="4" t="s">
        <v>153</v>
      </c>
      <c r="Y112" s="4" t="s">
        <v>153</v>
      </c>
      <c r="Z112" s="4" t="s">
        <v>153</v>
      </c>
      <c r="AA112" s="4" t="s">
        <v>153</v>
      </c>
      <c r="AB112" s="4" t="s">
        <v>153</v>
      </c>
      <c r="AC112" s="4" t="s">
        <v>153</v>
      </c>
      <c r="AD112" s="4" t="s">
        <v>153</v>
      </c>
      <c r="AE112" s="4" t="s">
        <v>153</v>
      </c>
      <c r="AF112" s="4" t="s">
        <v>153</v>
      </c>
      <c r="AG112" s="4" t="s">
        <v>153</v>
      </c>
      <c r="AH112" s="4" t="s">
        <v>153</v>
      </c>
      <c r="AI112" s="5"/>
      <c r="AJ112" t="s">
        <v>153</v>
      </c>
      <c r="AK112" s="4"/>
      <c r="AL112" t="s">
        <v>153</v>
      </c>
      <c r="AM112" t="s">
        <v>153</v>
      </c>
      <c r="AO112" t="s">
        <v>153</v>
      </c>
      <c r="AP112" s="4"/>
      <c r="AQ112" t="s">
        <v>153</v>
      </c>
      <c r="AR112" s="5">
        <v>45138</v>
      </c>
      <c r="AS112">
        <v>1</v>
      </c>
      <c r="AT112" s="4" t="s">
        <v>1667</v>
      </c>
      <c r="AU112" s="4" t="s">
        <v>1668</v>
      </c>
      <c r="AV112" s="4" t="s">
        <v>256</v>
      </c>
      <c r="AW112" t="s">
        <v>153</v>
      </c>
      <c r="AX112" t="s">
        <v>153</v>
      </c>
      <c r="AY112" t="s">
        <v>153</v>
      </c>
      <c r="AZ112" t="s">
        <v>1098</v>
      </c>
      <c r="BA112" t="s">
        <v>153</v>
      </c>
      <c r="BB112" t="s">
        <v>153</v>
      </c>
      <c r="BC112" t="s">
        <v>153</v>
      </c>
      <c r="BD112" s="4" t="s">
        <v>1669</v>
      </c>
      <c r="BE112" s="4" t="s">
        <v>1670</v>
      </c>
      <c r="BF112" t="s">
        <v>243</v>
      </c>
      <c r="BG112" s="4" t="s">
        <v>153</v>
      </c>
      <c r="BH112" t="s">
        <v>153</v>
      </c>
      <c r="BI112" s="4" t="s">
        <v>153</v>
      </c>
      <c r="BJ112" t="s">
        <v>153</v>
      </c>
      <c r="BK112" s="4" t="s">
        <v>153</v>
      </c>
      <c r="BL112" t="s">
        <v>153</v>
      </c>
      <c r="BM112" t="s">
        <v>153</v>
      </c>
      <c r="BN112" s="4" t="s">
        <v>153</v>
      </c>
      <c r="BO112" s="4" t="s">
        <v>153</v>
      </c>
      <c r="BP112" s="4" t="s">
        <v>153</v>
      </c>
      <c r="BQ112" s="4" t="s">
        <v>153</v>
      </c>
      <c r="BR112" s="4" t="s">
        <v>153</v>
      </c>
      <c r="BS112" s="4" t="s">
        <v>153</v>
      </c>
      <c r="BT112" s="4" t="s">
        <v>153</v>
      </c>
      <c r="BU112" s="4" t="s">
        <v>153</v>
      </c>
      <c r="BV112" s="4"/>
      <c r="BW112" s="4" t="s">
        <v>153</v>
      </c>
      <c r="BX112" s="4" t="s">
        <v>153</v>
      </c>
      <c r="BY112" s="4" t="s">
        <v>153</v>
      </c>
      <c r="BZ112" s="4" t="s">
        <v>153</v>
      </c>
      <c r="CA112" s="4" t="s">
        <v>153</v>
      </c>
      <c r="CB112" s="4"/>
      <c r="CC112" s="4" t="s">
        <v>153</v>
      </c>
      <c r="CD112" t="s">
        <v>153</v>
      </c>
      <c r="CE112" s="4" t="s">
        <v>153</v>
      </c>
      <c r="CF112" s="4" t="s">
        <v>153</v>
      </c>
      <c r="CG112" s="4" t="s">
        <v>153</v>
      </c>
      <c r="CH112" s="5"/>
      <c r="CI112" t="s">
        <v>153</v>
      </c>
      <c r="CJ112" s="4"/>
      <c r="CK112" t="s">
        <v>153</v>
      </c>
      <c r="CL112" t="s">
        <v>153</v>
      </c>
      <c r="CM112" t="s">
        <v>153</v>
      </c>
      <c r="CN112" t="s">
        <v>153</v>
      </c>
      <c r="CO112" s="5"/>
      <c r="CP112" s="4" t="s">
        <v>153</v>
      </c>
      <c r="CQ112" s="4" t="s">
        <v>153</v>
      </c>
      <c r="CR112" t="s">
        <v>153</v>
      </c>
      <c r="CS112" t="s">
        <v>153</v>
      </c>
      <c r="CT112" t="s">
        <v>153</v>
      </c>
      <c r="CU112" t="s">
        <v>153</v>
      </c>
      <c r="CV112" t="s">
        <v>153</v>
      </c>
      <c r="CW112" t="s">
        <v>153</v>
      </c>
      <c r="CX112" t="s">
        <v>153</v>
      </c>
      <c r="CY112" t="s">
        <v>153</v>
      </c>
      <c r="CZ112" t="s">
        <v>153</v>
      </c>
      <c r="DA112" t="s">
        <v>153</v>
      </c>
      <c r="DB112" t="s">
        <v>153</v>
      </c>
      <c r="DC112" t="s">
        <v>153</v>
      </c>
      <c r="DD112" t="s">
        <v>153</v>
      </c>
      <c r="DE112" t="s">
        <v>153</v>
      </c>
      <c r="DF112" t="s">
        <v>153</v>
      </c>
      <c r="DG112" t="s">
        <v>153</v>
      </c>
      <c r="DI112" t="s">
        <v>153</v>
      </c>
      <c r="DJ112" t="s">
        <v>153</v>
      </c>
      <c r="DK112" t="s">
        <v>153</v>
      </c>
      <c r="DL112" t="s">
        <v>153</v>
      </c>
      <c r="DN112" t="s">
        <v>153</v>
      </c>
      <c r="DO112" t="s">
        <v>153</v>
      </c>
      <c r="DP112" t="s">
        <v>153</v>
      </c>
      <c r="DQ112" t="s">
        <v>153</v>
      </c>
      <c r="DR112" t="s">
        <v>153</v>
      </c>
      <c r="DS112" t="s">
        <v>153</v>
      </c>
      <c r="DT112" t="s">
        <v>153</v>
      </c>
      <c r="DU112" t="s">
        <v>153</v>
      </c>
      <c r="DV112" t="s">
        <v>153</v>
      </c>
      <c r="DW112" t="s">
        <v>153</v>
      </c>
      <c r="DX112" s="2"/>
      <c r="DY112" t="s">
        <v>153</v>
      </c>
      <c r="DZ112" t="s">
        <v>153</v>
      </c>
      <c r="EA112" t="s">
        <v>153</v>
      </c>
      <c r="EB112" t="s">
        <v>153</v>
      </c>
      <c r="EC112" t="s">
        <v>153</v>
      </c>
      <c r="ED112" t="s">
        <v>153</v>
      </c>
      <c r="EE112" t="s">
        <v>153</v>
      </c>
      <c r="EF112" t="s">
        <v>153</v>
      </c>
      <c r="EH112" t="s">
        <v>153</v>
      </c>
      <c r="EI112" t="s">
        <v>153</v>
      </c>
      <c r="EJ112" t="s">
        <v>153</v>
      </c>
      <c r="EK112" t="s">
        <v>153</v>
      </c>
      <c r="EM112" t="s">
        <v>153</v>
      </c>
      <c r="EN112" t="s">
        <v>153</v>
      </c>
      <c r="EP112" s="4" t="s">
        <v>153</v>
      </c>
      <c r="EQ112" s="4" t="s">
        <v>153</v>
      </c>
      <c r="ER112" s="4" t="s">
        <v>176</v>
      </c>
      <c r="ES112" s="4" t="s">
        <v>153</v>
      </c>
      <c r="ET112" t="s">
        <v>1671</v>
      </c>
      <c r="EU112" t="s">
        <v>1596</v>
      </c>
      <c r="EV112" t="s">
        <v>246</v>
      </c>
      <c r="EW112">
        <v>1169159493</v>
      </c>
      <c r="EX112" t="s">
        <v>247</v>
      </c>
    </row>
    <row r="113" spans="1:154" x14ac:dyDescent="0.25">
      <c r="A113" s="3">
        <v>45260.681886574072</v>
      </c>
      <c r="B113" s="4" t="s">
        <v>1050</v>
      </c>
      <c r="C113" s="4" t="s">
        <v>1672</v>
      </c>
      <c r="D113" s="4" t="s">
        <v>1673</v>
      </c>
      <c r="E113" s="4" t="s">
        <v>1674</v>
      </c>
      <c r="F113" s="4" t="s">
        <v>1675</v>
      </c>
      <c r="G113" s="4" t="s">
        <v>185</v>
      </c>
      <c r="H113" s="4" t="s">
        <v>1032</v>
      </c>
      <c r="I113" s="4" t="s">
        <v>153</v>
      </c>
      <c r="J113" s="4" t="s">
        <v>153</v>
      </c>
      <c r="K113" s="5"/>
      <c r="L113" s="4" t="s">
        <v>153</v>
      </c>
      <c r="M113" s="4" t="s">
        <v>1676</v>
      </c>
      <c r="N113" s="4" t="s">
        <v>1677</v>
      </c>
      <c r="O113" s="4" t="s">
        <v>1672</v>
      </c>
      <c r="P113" s="4" t="s">
        <v>1673</v>
      </c>
      <c r="Q113" s="4" t="s">
        <v>190</v>
      </c>
      <c r="R113" s="4" t="s">
        <v>666</v>
      </c>
      <c r="S113" s="4" t="s">
        <v>153</v>
      </c>
      <c r="T113" s="4" t="s">
        <v>1676</v>
      </c>
      <c r="U113" s="4" t="s">
        <v>1678</v>
      </c>
      <c r="V113" s="4" t="s">
        <v>153</v>
      </c>
      <c r="W113" s="4" t="s">
        <v>1679</v>
      </c>
      <c r="X113" s="4" t="s">
        <v>870</v>
      </c>
      <c r="Y113" s="4" t="s">
        <v>1680</v>
      </c>
      <c r="Z113" s="4" t="s">
        <v>1681</v>
      </c>
      <c r="AA113" s="4" t="s">
        <v>1682</v>
      </c>
      <c r="AB113" s="4" t="s">
        <v>153</v>
      </c>
      <c r="AC113" s="4" t="s">
        <v>1683</v>
      </c>
      <c r="AD113" s="4" t="s">
        <v>870</v>
      </c>
      <c r="AE113" s="4" t="s">
        <v>1684</v>
      </c>
      <c r="AF113" s="4" t="s">
        <v>1674</v>
      </c>
      <c r="AG113" s="4" t="s">
        <v>1685</v>
      </c>
      <c r="AH113" s="4" t="s">
        <v>1686</v>
      </c>
      <c r="AI113" s="5">
        <v>45018</v>
      </c>
      <c r="AJ113" t="s">
        <v>496</v>
      </c>
      <c r="AK113" s="4"/>
      <c r="AL113" t="s">
        <v>1687</v>
      </c>
      <c r="AM113" t="s">
        <v>153</v>
      </c>
      <c r="AO113" t="s">
        <v>153</v>
      </c>
      <c r="AP113" s="4"/>
      <c r="AQ113" t="s">
        <v>153</v>
      </c>
      <c r="AR113" s="5"/>
      <c r="AT113" s="4" t="s">
        <v>153</v>
      </c>
      <c r="AU113" s="4" t="s">
        <v>153</v>
      </c>
      <c r="AV113" s="4" t="s">
        <v>153</v>
      </c>
      <c r="AW113" t="s">
        <v>153</v>
      </c>
      <c r="AX113" t="s">
        <v>153</v>
      </c>
      <c r="AY113" t="s">
        <v>153</v>
      </c>
      <c r="AZ113" t="s">
        <v>153</v>
      </c>
      <c r="BA113" t="s">
        <v>153</v>
      </c>
      <c r="BB113" t="s">
        <v>153</v>
      </c>
      <c r="BC113" t="s">
        <v>153</v>
      </c>
      <c r="BD113" s="4" t="s">
        <v>153</v>
      </c>
      <c r="BE113" s="4" t="s">
        <v>153</v>
      </c>
      <c r="BF113" t="s">
        <v>153</v>
      </c>
      <c r="BG113" s="4" t="s">
        <v>153</v>
      </c>
      <c r="BH113" t="s">
        <v>153</v>
      </c>
      <c r="BI113" s="4" t="s">
        <v>153</v>
      </c>
      <c r="BJ113" t="s">
        <v>153</v>
      </c>
      <c r="BK113" s="4" t="s">
        <v>153</v>
      </c>
      <c r="BL113" t="s">
        <v>153</v>
      </c>
      <c r="BM113" t="s">
        <v>153</v>
      </c>
      <c r="BN113" s="4" t="s">
        <v>153</v>
      </c>
      <c r="BO113" s="4" t="s">
        <v>153</v>
      </c>
      <c r="BP113" s="4" t="s">
        <v>153</v>
      </c>
      <c r="BQ113" s="4" t="s">
        <v>153</v>
      </c>
      <c r="BR113" s="4" t="s">
        <v>153</v>
      </c>
      <c r="BS113" s="4" t="s">
        <v>153</v>
      </c>
      <c r="BT113" s="4" t="s">
        <v>153</v>
      </c>
      <c r="BU113" s="4" t="s">
        <v>153</v>
      </c>
      <c r="BV113" s="4"/>
      <c r="BW113" s="4" t="s">
        <v>153</v>
      </c>
      <c r="BX113" s="4" t="s">
        <v>153</v>
      </c>
      <c r="BY113" s="4" t="s">
        <v>153</v>
      </c>
      <c r="BZ113" s="4" t="s">
        <v>153</v>
      </c>
      <c r="CA113" s="4" t="s">
        <v>153</v>
      </c>
      <c r="CB113" s="4"/>
      <c r="CC113" s="4" t="s">
        <v>153</v>
      </c>
      <c r="CD113" t="s">
        <v>153</v>
      </c>
      <c r="CE113" s="4" t="s">
        <v>153</v>
      </c>
      <c r="CF113" s="4" t="s">
        <v>153</v>
      </c>
      <c r="CG113" s="4" t="s">
        <v>153</v>
      </c>
      <c r="CH113" s="5"/>
      <c r="CI113" t="s">
        <v>153</v>
      </c>
      <c r="CJ113" s="4"/>
      <c r="CK113" t="s">
        <v>153</v>
      </c>
      <c r="CL113" t="s">
        <v>153</v>
      </c>
      <c r="CM113" t="s">
        <v>153</v>
      </c>
      <c r="CN113" t="s">
        <v>153</v>
      </c>
      <c r="CO113" s="5"/>
      <c r="CP113" s="4" t="s">
        <v>153</v>
      </c>
      <c r="CQ113" s="4" t="s">
        <v>153</v>
      </c>
      <c r="CR113" t="s">
        <v>153</v>
      </c>
      <c r="CS113" t="s">
        <v>153</v>
      </c>
      <c r="CT113" t="s">
        <v>153</v>
      </c>
      <c r="CU113" t="s">
        <v>153</v>
      </c>
      <c r="CV113" t="s">
        <v>153</v>
      </c>
      <c r="CW113" t="s">
        <v>153</v>
      </c>
      <c r="CX113" t="s">
        <v>153</v>
      </c>
      <c r="CY113" t="s">
        <v>153</v>
      </c>
      <c r="CZ113" t="s">
        <v>153</v>
      </c>
      <c r="DA113" t="s">
        <v>153</v>
      </c>
      <c r="DB113" t="s">
        <v>153</v>
      </c>
      <c r="DC113" t="s">
        <v>153</v>
      </c>
      <c r="DD113" t="s">
        <v>153</v>
      </c>
      <c r="DE113" t="s">
        <v>153</v>
      </c>
      <c r="DF113" t="s">
        <v>153</v>
      </c>
      <c r="DG113" t="s">
        <v>153</v>
      </c>
      <c r="DI113" t="s">
        <v>153</v>
      </c>
      <c r="DJ113" t="s">
        <v>153</v>
      </c>
      <c r="DK113" t="s">
        <v>153</v>
      </c>
      <c r="DL113" t="s">
        <v>153</v>
      </c>
      <c r="DN113" t="s">
        <v>153</v>
      </c>
      <c r="DO113" t="s">
        <v>153</v>
      </c>
      <c r="DP113" t="s">
        <v>153</v>
      </c>
      <c r="DQ113" t="s">
        <v>153</v>
      </c>
      <c r="DR113" t="s">
        <v>153</v>
      </c>
      <c r="DS113" t="s">
        <v>153</v>
      </c>
      <c r="DT113" t="s">
        <v>153</v>
      </c>
      <c r="DU113" t="s">
        <v>153</v>
      </c>
      <c r="DV113" t="s">
        <v>153</v>
      </c>
      <c r="DW113" t="s">
        <v>153</v>
      </c>
      <c r="DX113" s="2"/>
      <c r="DY113" t="s">
        <v>153</v>
      </c>
      <c r="DZ113" t="s">
        <v>153</v>
      </c>
      <c r="EA113" t="s">
        <v>153</v>
      </c>
      <c r="EB113" t="s">
        <v>153</v>
      </c>
      <c r="EC113" t="s">
        <v>153</v>
      </c>
      <c r="ED113" t="s">
        <v>153</v>
      </c>
      <c r="EE113" t="s">
        <v>153</v>
      </c>
      <c r="EF113" t="s">
        <v>153</v>
      </c>
      <c r="EH113" t="s">
        <v>153</v>
      </c>
      <c r="EI113" t="s">
        <v>153</v>
      </c>
      <c r="EJ113" t="s">
        <v>153</v>
      </c>
      <c r="EK113" t="s">
        <v>153</v>
      </c>
      <c r="EM113" t="s">
        <v>153</v>
      </c>
      <c r="EN113" t="s">
        <v>153</v>
      </c>
      <c r="EP113" s="4" t="s">
        <v>153</v>
      </c>
      <c r="EQ113" s="4" t="s">
        <v>153</v>
      </c>
      <c r="ER113" s="4" t="s">
        <v>176</v>
      </c>
      <c r="ES113" s="4" t="s">
        <v>153</v>
      </c>
      <c r="ET113" t="s">
        <v>1688</v>
      </c>
      <c r="EU113" t="s">
        <v>1689</v>
      </c>
      <c r="EV113" t="s">
        <v>1690</v>
      </c>
      <c r="EW113">
        <v>1169594376</v>
      </c>
      <c r="EX113" t="s">
        <v>1691</v>
      </c>
    </row>
    <row r="114" spans="1:154" x14ac:dyDescent="0.25">
      <c r="A114" s="3">
        <v>45265.517638888887</v>
      </c>
      <c r="B114" s="4" t="s">
        <v>1050</v>
      </c>
      <c r="C114" s="4" t="s">
        <v>659</v>
      </c>
      <c r="D114" s="4" t="s">
        <v>660</v>
      </c>
      <c r="E114" s="4" t="s">
        <v>1692</v>
      </c>
      <c r="F114" s="4" t="s">
        <v>662</v>
      </c>
      <c r="G114" s="4" t="s">
        <v>185</v>
      </c>
      <c r="H114" s="4" t="s">
        <v>323</v>
      </c>
      <c r="I114" s="4" t="s">
        <v>153</v>
      </c>
      <c r="J114" s="4" t="s">
        <v>153</v>
      </c>
      <c r="K114" s="5"/>
      <c r="L114" s="4" t="s">
        <v>153</v>
      </c>
      <c r="M114" s="4" t="s">
        <v>1693</v>
      </c>
      <c r="N114" s="4" t="s">
        <v>1694</v>
      </c>
      <c r="O114" s="4" t="s">
        <v>1695</v>
      </c>
      <c r="P114" s="4" t="s">
        <v>1696</v>
      </c>
      <c r="Q114" s="4" t="s">
        <v>294</v>
      </c>
      <c r="R114" s="4" t="s">
        <v>191</v>
      </c>
      <c r="S114" s="4" t="s">
        <v>1697</v>
      </c>
      <c r="T114" s="4" t="s">
        <v>153</v>
      </c>
      <c r="U114" s="4" t="s">
        <v>1698</v>
      </c>
      <c r="V114" s="4" t="s">
        <v>153</v>
      </c>
      <c r="W114" s="4" t="s">
        <v>1699</v>
      </c>
      <c r="X114" s="4" t="s">
        <v>1700</v>
      </c>
      <c r="Y114" s="4" t="s">
        <v>1701</v>
      </c>
      <c r="Z114" s="4" t="s">
        <v>237</v>
      </c>
      <c r="AA114" s="4" t="s">
        <v>1698</v>
      </c>
      <c r="AB114" s="4" t="s">
        <v>153</v>
      </c>
      <c r="AC114" s="4" t="s">
        <v>1699</v>
      </c>
      <c r="AD114" s="4" t="s">
        <v>1700</v>
      </c>
      <c r="AE114" s="4" t="s">
        <v>1701</v>
      </c>
      <c r="AF114" s="4" t="s">
        <v>1702</v>
      </c>
      <c r="AG114" s="4" t="s">
        <v>1703</v>
      </c>
      <c r="AH114" s="4" t="s">
        <v>1704</v>
      </c>
      <c r="AI114" s="5">
        <v>45078</v>
      </c>
      <c r="AJ114" t="s">
        <v>412</v>
      </c>
      <c r="AK114" s="4">
        <v>30</v>
      </c>
      <c r="AL114" t="s">
        <v>1705</v>
      </c>
      <c r="AM114" t="s">
        <v>153</v>
      </c>
      <c r="AO114" t="s">
        <v>153</v>
      </c>
      <c r="AP114" s="4"/>
      <c r="AQ114" t="s">
        <v>153</v>
      </c>
      <c r="AR114" s="5"/>
      <c r="AT114" s="4" t="s">
        <v>153</v>
      </c>
      <c r="AU114" s="4" t="s">
        <v>153</v>
      </c>
      <c r="AV114" s="4" t="s">
        <v>153</v>
      </c>
      <c r="AW114" t="s">
        <v>153</v>
      </c>
      <c r="AX114" t="s">
        <v>153</v>
      </c>
      <c r="AY114" t="s">
        <v>153</v>
      </c>
      <c r="AZ114" t="s">
        <v>153</v>
      </c>
      <c r="BA114" t="s">
        <v>153</v>
      </c>
      <c r="BB114" t="s">
        <v>153</v>
      </c>
      <c r="BC114" t="s">
        <v>153</v>
      </c>
      <c r="BD114" s="4" t="s">
        <v>153</v>
      </c>
      <c r="BE114" s="4" t="s">
        <v>153</v>
      </c>
      <c r="BF114" t="s">
        <v>153</v>
      </c>
      <c r="BG114" s="4" t="s">
        <v>153</v>
      </c>
      <c r="BH114" t="s">
        <v>153</v>
      </c>
      <c r="BI114" s="4" t="s">
        <v>153</v>
      </c>
      <c r="BJ114" t="s">
        <v>153</v>
      </c>
      <c r="BK114" s="4" t="s">
        <v>153</v>
      </c>
      <c r="BL114" t="s">
        <v>153</v>
      </c>
      <c r="BM114" t="s">
        <v>153</v>
      </c>
      <c r="BN114" s="4" t="s">
        <v>153</v>
      </c>
      <c r="BO114" s="4" t="s">
        <v>153</v>
      </c>
      <c r="BP114" s="4" t="s">
        <v>153</v>
      </c>
      <c r="BQ114" s="4" t="s">
        <v>153</v>
      </c>
      <c r="BR114" s="4" t="s">
        <v>153</v>
      </c>
      <c r="BS114" s="4" t="s">
        <v>153</v>
      </c>
      <c r="BT114" s="4" t="s">
        <v>153</v>
      </c>
      <c r="BU114" s="4" t="s">
        <v>153</v>
      </c>
      <c r="BV114" s="4"/>
      <c r="BW114" s="4" t="s">
        <v>153</v>
      </c>
      <c r="BX114" s="4" t="s">
        <v>153</v>
      </c>
      <c r="BY114" s="4" t="s">
        <v>153</v>
      </c>
      <c r="BZ114" s="4" t="s">
        <v>153</v>
      </c>
      <c r="CA114" s="4" t="s">
        <v>153</v>
      </c>
      <c r="CB114" s="4"/>
      <c r="CC114" s="4" t="s">
        <v>153</v>
      </c>
      <c r="CD114" t="s">
        <v>153</v>
      </c>
      <c r="CE114" s="4" t="s">
        <v>153</v>
      </c>
      <c r="CF114" s="4" t="s">
        <v>153</v>
      </c>
      <c r="CG114" s="4" t="s">
        <v>153</v>
      </c>
      <c r="CH114" s="5"/>
      <c r="CI114" t="s">
        <v>153</v>
      </c>
      <c r="CJ114" s="4"/>
      <c r="CK114" t="s">
        <v>153</v>
      </c>
      <c r="CL114" t="s">
        <v>153</v>
      </c>
      <c r="CM114" t="s">
        <v>153</v>
      </c>
      <c r="CN114" t="s">
        <v>153</v>
      </c>
      <c r="CO114" s="5"/>
      <c r="CP114" s="4" t="s">
        <v>153</v>
      </c>
      <c r="CQ114" s="4" t="s">
        <v>153</v>
      </c>
      <c r="CR114" t="s">
        <v>153</v>
      </c>
      <c r="CS114" t="s">
        <v>153</v>
      </c>
      <c r="CT114" t="s">
        <v>153</v>
      </c>
      <c r="CU114" t="s">
        <v>153</v>
      </c>
      <c r="CV114" t="s">
        <v>153</v>
      </c>
      <c r="CW114" t="s">
        <v>153</v>
      </c>
      <c r="CX114" t="s">
        <v>153</v>
      </c>
      <c r="CY114" t="s">
        <v>153</v>
      </c>
      <c r="CZ114" t="s">
        <v>153</v>
      </c>
      <c r="DA114" t="s">
        <v>153</v>
      </c>
      <c r="DB114" t="s">
        <v>153</v>
      </c>
      <c r="DC114" t="s">
        <v>153</v>
      </c>
      <c r="DD114" t="s">
        <v>153</v>
      </c>
      <c r="DE114" t="s">
        <v>153</v>
      </c>
      <c r="DF114" t="s">
        <v>153</v>
      </c>
      <c r="DG114" t="s">
        <v>153</v>
      </c>
      <c r="DI114" t="s">
        <v>153</v>
      </c>
      <c r="DJ114" t="s">
        <v>153</v>
      </c>
      <c r="DK114" t="s">
        <v>153</v>
      </c>
      <c r="DL114" t="s">
        <v>153</v>
      </c>
      <c r="DN114" t="s">
        <v>153</v>
      </c>
      <c r="DO114" t="s">
        <v>153</v>
      </c>
      <c r="DP114" t="s">
        <v>153</v>
      </c>
      <c r="DQ114" t="s">
        <v>153</v>
      </c>
      <c r="DR114" t="s">
        <v>153</v>
      </c>
      <c r="DS114" t="s">
        <v>153</v>
      </c>
      <c r="DT114" t="s">
        <v>153</v>
      </c>
      <c r="DU114" t="s">
        <v>153</v>
      </c>
      <c r="DV114" t="s">
        <v>153</v>
      </c>
      <c r="DW114" t="s">
        <v>153</v>
      </c>
      <c r="DX114" s="2"/>
      <c r="DY114" t="s">
        <v>153</v>
      </c>
      <c r="DZ114" t="s">
        <v>153</v>
      </c>
      <c r="EA114" t="s">
        <v>153</v>
      </c>
      <c r="EB114" t="s">
        <v>153</v>
      </c>
      <c r="EC114" t="s">
        <v>153</v>
      </c>
      <c r="ED114" t="s">
        <v>153</v>
      </c>
      <c r="EE114" t="s">
        <v>153</v>
      </c>
      <c r="EF114" t="s">
        <v>153</v>
      </c>
      <c r="EH114" t="s">
        <v>153</v>
      </c>
      <c r="EI114" t="s">
        <v>153</v>
      </c>
      <c r="EJ114" t="s">
        <v>153</v>
      </c>
      <c r="EK114" t="s">
        <v>153</v>
      </c>
      <c r="EM114" t="s">
        <v>153</v>
      </c>
      <c r="EN114" t="s">
        <v>153</v>
      </c>
      <c r="EP114" s="4" t="s">
        <v>242</v>
      </c>
      <c r="EQ114" s="4" t="s">
        <v>153</v>
      </c>
      <c r="ER114" s="4" t="s">
        <v>191</v>
      </c>
      <c r="ES114" s="4" t="s">
        <v>153</v>
      </c>
      <c r="ET114" t="s">
        <v>153</v>
      </c>
      <c r="EU114" t="s">
        <v>1596</v>
      </c>
      <c r="EV114" t="s">
        <v>1706</v>
      </c>
      <c r="EW114">
        <v>1171118760</v>
      </c>
      <c r="EX114" t="s">
        <v>1707</v>
      </c>
    </row>
    <row r="115" spans="1:154" x14ac:dyDescent="0.25">
      <c r="A115" s="3">
        <v>45265.550682870373</v>
      </c>
      <c r="B115" s="4" t="s">
        <v>1050</v>
      </c>
      <c r="C115" s="4" t="s">
        <v>659</v>
      </c>
      <c r="D115" s="4" t="s">
        <v>660</v>
      </c>
      <c r="E115" s="4" t="s">
        <v>1692</v>
      </c>
      <c r="F115" s="4" t="s">
        <v>662</v>
      </c>
      <c r="G115" s="4" t="s">
        <v>185</v>
      </c>
      <c r="H115" s="4" t="s">
        <v>323</v>
      </c>
      <c r="I115" s="4" t="s">
        <v>153</v>
      </c>
      <c r="J115" s="4" t="s">
        <v>153</v>
      </c>
      <c r="K115" s="5"/>
      <c r="L115" s="4" t="s">
        <v>153</v>
      </c>
      <c r="M115" s="4" t="s">
        <v>1708</v>
      </c>
      <c r="N115" s="4" t="s">
        <v>153</v>
      </c>
      <c r="O115" s="4" t="s">
        <v>292</v>
      </c>
      <c r="P115" s="4" t="s">
        <v>1709</v>
      </c>
      <c r="Q115" s="4" t="s">
        <v>190</v>
      </c>
      <c r="R115" s="4" t="s">
        <v>191</v>
      </c>
      <c r="S115" s="4" t="s">
        <v>1710</v>
      </c>
      <c r="T115" s="4" t="s">
        <v>153</v>
      </c>
      <c r="U115" s="4" t="s">
        <v>1711</v>
      </c>
      <c r="V115" s="4" t="s">
        <v>153</v>
      </c>
      <c r="W115" s="4" t="s">
        <v>1712</v>
      </c>
      <c r="X115" s="4" t="s">
        <v>1700</v>
      </c>
      <c r="Y115" s="4" t="s">
        <v>1713</v>
      </c>
      <c r="Z115" s="4" t="s">
        <v>197</v>
      </c>
      <c r="AA115" s="4" t="s">
        <v>1711</v>
      </c>
      <c r="AB115" s="4" t="s">
        <v>153</v>
      </c>
      <c r="AC115" s="4" t="s">
        <v>1712</v>
      </c>
      <c r="AD115" s="4" t="s">
        <v>1700</v>
      </c>
      <c r="AE115" s="4" t="s">
        <v>1713</v>
      </c>
      <c r="AF115" s="4" t="s">
        <v>1714</v>
      </c>
      <c r="AG115" s="4" t="s">
        <v>1715</v>
      </c>
      <c r="AH115" s="4" t="s">
        <v>153</v>
      </c>
      <c r="AI115" s="5">
        <v>45078</v>
      </c>
      <c r="AJ115" t="s">
        <v>591</v>
      </c>
      <c r="AK115" s="4">
        <v>5</v>
      </c>
      <c r="AL115" t="s">
        <v>1716</v>
      </c>
      <c r="AM115" t="s">
        <v>153</v>
      </c>
      <c r="AO115" t="s">
        <v>153</v>
      </c>
      <c r="AP115" s="4"/>
      <c r="AQ115" t="s">
        <v>153</v>
      </c>
      <c r="AR115" s="5"/>
      <c r="AT115" s="4" t="s">
        <v>153</v>
      </c>
      <c r="AU115" s="4" t="s">
        <v>153</v>
      </c>
      <c r="AV115" s="4" t="s">
        <v>153</v>
      </c>
      <c r="AW115" t="s">
        <v>153</v>
      </c>
      <c r="AX115" t="s">
        <v>153</v>
      </c>
      <c r="AY115" t="s">
        <v>153</v>
      </c>
      <c r="AZ115" t="s">
        <v>153</v>
      </c>
      <c r="BA115" t="s">
        <v>153</v>
      </c>
      <c r="BB115" t="s">
        <v>153</v>
      </c>
      <c r="BC115" t="s">
        <v>153</v>
      </c>
      <c r="BD115" s="4" t="s">
        <v>153</v>
      </c>
      <c r="BE115" s="4" t="s">
        <v>153</v>
      </c>
      <c r="BF115" t="s">
        <v>153</v>
      </c>
      <c r="BG115" s="4" t="s">
        <v>153</v>
      </c>
      <c r="BH115" t="s">
        <v>153</v>
      </c>
      <c r="BI115" s="4" t="s">
        <v>153</v>
      </c>
      <c r="BJ115" t="s">
        <v>153</v>
      </c>
      <c r="BK115" s="4" t="s">
        <v>153</v>
      </c>
      <c r="BL115" t="s">
        <v>153</v>
      </c>
      <c r="BM115" t="s">
        <v>153</v>
      </c>
      <c r="BN115" s="4" t="s">
        <v>153</v>
      </c>
      <c r="BO115" s="4" t="s">
        <v>153</v>
      </c>
      <c r="BP115" s="4" t="s">
        <v>153</v>
      </c>
      <c r="BQ115" s="4" t="s">
        <v>153</v>
      </c>
      <c r="BR115" s="4" t="s">
        <v>153</v>
      </c>
      <c r="BS115" s="4" t="s">
        <v>153</v>
      </c>
      <c r="BT115" s="4" t="s">
        <v>153</v>
      </c>
      <c r="BU115" s="4" t="s">
        <v>153</v>
      </c>
      <c r="BV115" s="4"/>
      <c r="BW115" s="4" t="s">
        <v>153</v>
      </c>
      <c r="BX115" s="4" t="s">
        <v>153</v>
      </c>
      <c r="BY115" s="4" t="s">
        <v>153</v>
      </c>
      <c r="BZ115" s="4" t="s">
        <v>153</v>
      </c>
      <c r="CA115" s="4" t="s">
        <v>153</v>
      </c>
      <c r="CB115" s="4"/>
      <c r="CC115" s="4" t="s">
        <v>153</v>
      </c>
      <c r="CD115" t="s">
        <v>153</v>
      </c>
      <c r="CE115" s="4" t="s">
        <v>153</v>
      </c>
      <c r="CF115" s="4" t="s">
        <v>153</v>
      </c>
      <c r="CG115" s="4" t="s">
        <v>153</v>
      </c>
      <c r="CH115" s="5"/>
      <c r="CI115" t="s">
        <v>153</v>
      </c>
      <c r="CJ115" s="4"/>
      <c r="CK115" t="s">
        <v>153</v>
      </c>
      <c r="CL115" t="s">
        <v>153</v>
      </c>
      <c r="CM115" t="s">
        <v>153</v>
      </c>
      <c r="CN115" t="s">
        <v>153</v>
      </c>
      <c r="CO115" s="5"/>
      <c r="CP115" s="4" t="s">
        <v>153</v>
      </c>
      <c r="CQ115" s="4" t="s">
        <v>153</v>
      </c>
      <c r="CR115" t="s">
        <v>153</v>
      </c>
      <c r="CS115" t="s">
        <v>153</v>
      </c>
      <c r="CT115" t="s">
        <v>153</v>
      </c>
      <c r="CU115" t="s">
        <v>153</v>
      </c>
      <c r="CV115" t="s">
        <v>153</v>
      </c>
      <c r="CW115" t="s">
        <v>153</v>
      </c>
      <c r="CX115" t="s">
        <v>153</v>
      </c>
      <c r="CY115" t="s">
        <v>153</v>
      </c>
      <c r="CZ115" t="s">
        <v>153</v>
      </c>
      <c r="DA115" t="s">
        <v>153</v>
      </c>
      <c r="DB115" t="s">
        <v>153</v>
      </c>
      <c r="DC115" t="s">
        <v>153</v>
      </c>
      <c r="DD115" t="s">
        <v>153</v>
      </c>
      <c r="DE115" t="s">
        <v>153</v>
      </c>
      <c r="DF115" t="s">
        <v>153</v>
      </c>
      <c r="DG115" t="s">
        <v>153</v>
      </c>
      <c r="DI115" t="s">
        <v>153</v>
      </c>
      <c r="DJ115" t="s">
        <v>153</v>
      </c>
      <c r="DK115" t="s">
        <v>153</v>
      </c>
      <c r="DL115" t="s">
        <v>153</v>
      </c>
      <c r="DN115" t="s">
        <v>153</v>
      </c>
      <c r="DO115" t="s">
        <v>153</v>
      </c>
      <c r="DP115" t="s">
        <v>153</v>
      </c>
      <c r="DQ115" t="s">
        <v>153</v>
      </c>
      <c r="DR115" t="s">
        <v>153</v>
      </c>
      <c r="DS115" t="s">
        <v>153</v>
      </c>
      <c r="DT115" t="s">
        <v>153</v>
      </c>
      <c r="DU115" t="s">
        <v>153</v>
      </c>
      <c r="DV115" t="s">
        <v>153</v>
      </c>
      <c r="DW115" t="s">
        <v>153</v>
      </c>
      <c r="DX115" s="2"/>
      <c r="DY115" t="s">
        <v>153</v>
      </c>
      <c r="DZ115" t="s">
        <v>153</v>
      </c>
      <c r="EA115" t="s">
        <v>153</v>
      </c>
      <c r="EB115" t="s">
        <v>153</v>
      </c>
      <c r="EC115" t="s">
        <v>153</v>
      </c>
      <c r="ED115" t="s">
        <v>153</v>
      </c>
      <c r="EE115" t="s">
        <v>153</v>
      </c>
      <c r="EF115" t="s">
        <v>153</v>
      </c>
      <c r="EH115" t="s">
        <v>153</v>
      </c>
      <c r="EI115" t="s">
        <v>153</v>
      </c>
      <c r="EJ115" t="s">
        <v>153</v>
      </c>
      <c r="EK115" t="s">
        <v>153</v>
      </c>
      <c r="EM115" t="s">
        <v>153</v>
      </c>
      <c r="EN115" t="s">
        <v>153</v>
      </c>
      <c r="EP115" s="4" t="s">
        <v>242</v>
      </c>
      <c r="EQ115" s="4" t="s">
        <v>153</v>
      </c>
      <c r="ER115" s="4" t="s">
        <v>191</v>
      </c>
      <c r="ES115" s="4" t="s">
        <v>153</v>
      </c>
      <c r="ET115" t="s">
        <v>153</v>
      </c>
      <c r="EU115" t="s">
        <v>1596</v>
      </c>
      <c r="EV115" t="s">
        <v>1706</v>
      </c>
      <c r="EW115">
        <v>1171140629</v>
      </c>
      <c r="EX115" t="s">
        <v>1707</v>
      </c>
    </row>
    <row r="116" spans="1:154" x14ac:dyDescent="0.25">
      <c r="A116" s="3">
        <v>45265.587581018517</v>
      </c>
      <c r="B116" s="4" t="s">
        <v>1050</v>
      </c>
      <c r="C116" s="4" t="s">
        <v>659</v>
      </c>
      <c r="D116" s="4" t="s">
        <v>660</v>
      </c>
      <c r="E116" s="4" t="s">
        <v>1692</v>
      </c>
      <c r="F116" s="4" t="s">
        <v>662</v>
      </c>
      <c r="G116" s="4" t="s">
        <v>185</v>
      </c>
      <c r="H116" s="4" t="s">
        <v>323</v>
      </c>
      <c r="I116" s="4" t="s">
        <v>153</v>
      </c>
      <c r="J116" s="4" t="s">
        <v>153</v>
      </c>
      <c r="K116" s="5"/>
      <c r="L116" s="4" t="s">
        <v>153</v>
      </c>
      <c r="M116" s="4" t="s">
        <v>1717</v>
      </c>
      <c r="N116" s="4" t="s">
        <v>153</v>
      </c>
      <c r="O116" s="4" t="s">
        <v>1718</v>
      </c>
      <c r="P116" s="4" t="s">
        <v>326</v>
      </c>
      <c r="Q116" s="4" t="s">
        <v>327</v>
      </c>
      <c r="R116" s="4" t="s">
        <v>666</v>
      </c>
      <c r="S116" s="4" t="s">
        <v>153</v>
      </c>
      <c r="T116" s="4" t="s">
        <v>153</v>
      </c>
      <c r="U116" s="4" t="s">
        <v>1719</v>
      </c>
      <c r="V116" s="4" t="s">
        <v>153</v>
      </c>
      <c r="W116" s="4" t="s">
        <v>1720</v>
      </c>
      <c r="X116" s="4" t="s">
        <v>331</v>
      </c>
      <c r="Y116" s="4" t="s">
        <v>1721</v>
      </c>
      <c r="Z116" s="4" t="s">
        <v>237</v>
      </c>
      <c r="AA116" s="4" t="s">
        <v>1722</v>
      </c>
      <c r="AB116" s="4" t="s">
        <v>153</v>
      </c>
      <c r="AC116" s="4" t="s">
        <v>1720</v>
      </c>
      <c r="AD116" s="4" t="s">
        <v>331</v>
      </c>
      <c r="AE116" s="4" t="s">
        <v>1721</v>
      </c>
      <c r="AF116" s="4" t="s">
        <v>1723</v>
      </c>
      <c r="AG116" s="4" t="s">
        <v>1724</v>
      </c>
      <c r="AH116" s="4" t="s">
        <v>153</v>
      </c>
      <c r="AI116" s="5">
        <v>45078</v>
      </c>
      <c r="AJ116" t="s">
        <v>591</v>
      </c>
      <c r="AK116" s="4">
        <v>5</v>
      </c>
      <c r="AL116" t="s">
        <v>153</v>
      </c>
      <c r="AM116" t="s">
        <v>153</v>
      </c>
      <c r="AO116" t="s">
        <v>153</v>
      </c>
      <c r="AP116" s="4"/>
      <c r="AQ116" t="s">
        <v>153</v>
      </c>
      <c r="AR116" s="5"/>
      <c r="AT116" s="4" t="s">
        <v>153</v>
      </c>
      <c r="AU116" s="4" t="s">
        <v>153</v>
      </c>
      <c r="AV116" s="4" t="s">
        <v>153</v>
      </c>
      <c r="AW116" t="s">
        <v>153</v>
      </c>
      <c r="AX116" t="s">
        <v>153</v>
      </c>
      <c r="AY116" t="s">
        <v>153</v>
      </c>
      <c r="AZ116" t="s">
        <v>153</v>
      </c>
      <c r="BA116" t="s">
        <v>153</v>
      </c>
      <c r="BB116" t="s">
        <v>153</v>
      </c>
      <c r="BC116" t="s">
        <v>153</v>
      </c>
      <c r="BD116" s="4" t="s">
        <v>153</v>
      </c>
      <c r="BE116" s="4" t="s">
        <v>153</v>
      </c>
      <c r="BF116" t="s">
        <v>153</v>
      </c>
      <c r="BG116" s="4" t="s">
        <v>153</v>
      </c>
      <c r="BH116" t="s">
        <v>153</v>
      </c>
      <c r="BI116" s="4" t="s">
        <v>153</v>
      </c>
      <c r="BJ116" t="s">
        <v>153</v>
      </c>
      <c r="BK116" s="4" t="s">
        <v>153</v>
      </c>
      <c r="BL116" t="s">
        <v>153</v>
      </c>
      <c r="BM116" t="s">
        <v>153</v>
      </c>
      <c r="BN116" s="4" t="s">
        <v>153</v>
      </c>
      <c r="BO116" s="4" t="s">
        <v>153</v>
      </c>
      <c r="BP116" s="4" t="s">
        <v>153</v>
      </c>
      <c r="BQ116" s="4" t="s">
        <v>153</v>
      </c>
      <c r="BR116" s="4" t="s">
        <v>153</v>
      </c>
      <c r="BS116" s="4" t="s">
        <v>153</v>
      </c>
      <c r="BT116" s="4" t="s">
        <v>153</v>
      </c>
      <c r="BU116" s="4" t="s">
        <v>153</v>
      </c>
      <c r="BV116" s="4"/>
      <c r="BW116" s="4" t="s">
        <v>153</v>
      </c>
      <c r="BX116" s="4" t="s">
        <v>153</v>
      </c>
      <c r="BY116" s="4" t="s">
        <v>153</v>
      </c>
      <c r="BZ116" s="4" t="s">
        <v>153</v>
      </c>
      <c r="CA116" s="4" t="s">
        <v>153</v>
      </c>
      <c r="CB116" s="4"/>
      <c r="CC116" s="4" t="s">
        <v>153</v>
      </c>
      <c r="CD116" t="s">
        <v>153</v>
      </c>
      <c r="CE116" s="4" t="s">
        <v>153</v>
      </c>
      <c r="CF116" s="4" t="s">
        <v>153</v>
      </c>
      <c r="CG116" s="4" t="s">
        <v>153</v>
      </c>
      <c r="CH116" s="5"/>
      <c r="CI116" t="s">
        <v>153</v>
      </c>
      <c r="CJ116" s="4"/>
      <c r="CK116" t="s">
        <v>153</v>
      </c>
      <c r="CL116" t="s">
        <v>153</v>
      </c>
      <c r="CM116" t="s">
        <v>153</v>
      </c>
      <c r="CN116" t="s">
        <v>153</v>
      </c>
      <c r="CO116" s="5"/>
      <c r="CP116" s="4" t="s">
        <v>153</v>
      </c>
      <c r="CQ116" s="4" t="s">
        <v>153</v>
      </c>
      <c r="CR116" t="s">
        <v>153</v>
      </c>
      <c r="CS116" t="s">
        <v>153</v>
      </c>
      <c r="CT116" t="s">
        <v>153</v>
      </c>
      <c r="CU116" t="s">
        <v>153</v>
      </c>
      <c r="CV116" t="s">
        <v>153</v>
      </c>
      <c r="CW116" t="s">
        <v>153</v>
      </c>
      <c r="CX116" t="s">
        <v>153</v>
      </c>
      <c r="CY116" t="s">
        <v>153</v>
      </c>
      <c r="CZ116" t="s">
        <v>153</v>
      </c>
      <c r="DA116" t="s">
        <v>153</v>
      </c>
      <c r="DB116" t="s">
        <v>153</v>
      </c>
      <c r="DC116" t="s">
        <v>153</v>
      </c>
      <c r="DD116" t="s">
        <v>153</v>
      </c>
      <c r="DE116" t="s">
        <v>153</v>
      </c>
      <c r="DF116" t="s">
        <v>153</v>
      </c>
      <c r="DG116" t="s">
        <v>153</v>
      </c>
      <c r="DI116" t="s">
        <v>153</v>
      </c>
      <c r="DJ116" t="s">
        <v>153</v>
      </c>
      <c r="DK116" t="s">
        <v>153</v>
      </c>
      <c r="DL116" t="s">
        <v>153</v>
      </c>
      <c r="DN116" t="s">
        <v>153</v>
      </c>
      <c r="DO116" t="s">
        <v>153</v>
      </c>
      <c r="DP116" t="s">
        <v>153</v>
      </c>
      <c r="DQ116" t="s">
        <v>153</v>
      </c>
      <c r="DR116" t="s">
        <v>153</v>
      </c>
      <c r="DS116" t="s">
        <v>153</v>
      </c>
      <c r="DT116" t="s">
        <v>153</v>
      </c>
      <c r="DU116" t="s">
        <v>153</v>
      </c>
      <c r="DV116" t="s">
        <v>153</v>
      </c>
      <c r="DW116" t="s">
        <v>153</v>
      </c>
      <c r="DX116" s="2"/>
      <c r="DY116" t="s">
        <v>153</v>
      </c>
      <c r="DZ116" t="s">
        <v>153</v>
      </c>
      <c r="EA116" t="s">
        <v>153</v>
      </c>
      <c r="EB116" t="s">
        <v>153</v>
      </c>
      <c r="EC116" t="s">
        <v>153</v>
      </c>
      <c r="ED116" t="s">
        <v>153</v>
      </c>
      <c r="EE116" t="s">
        <v>153</v>
      </c>
      <c r="EF116" t="s">
        <v>153</v>
      </c>
      <c r="EH116" t="s">
        <v>153</v>
      </c>
      <c r="EI116" t="s">
        <v>153</v>
      </c>
      <c r="EJ116" t="s">
        <v>153</v>
      </c>
      <c r="EK116" t="s">
        <v>153</v>
      </c>
      <c r="EM116" t="s">
        <v>153</v>
      </c>
      <c r="EN116" t="s">
        <v>153</v>
      </c>
      <c r="EP116" s="4" t="s">
        <v>153</v>
      </c>
      <c r="EQ116" s="4" t="s">
        <v>153</v>
      </c>
      <c r="ER116" s="4" t="s">
        <v>191</v>
      </c>
      <c r="ES116" s="4" t="s">
        <v>153</v>
      </c>
      <c r="ET116" t="s">
        <v>153</v>
      </c>
      <c r="EU116" t="s">
        <v>1596</v>
      </c>
      <c r="EV116" t="s">
        <v>1706</v>
      </c>
      <c r="EW116">
        <v>1171166288</v>
      </c>
      <c r="EX116" t="s">
        <v>1707</v>
      </c>
    </row>
    <row r="117" spans="1:154" x14ac:dyDescent="0.25">
      <c r="A117" s="3">
        <v>45265.630752314813</v>
      </c>
      <c r="B117" s="4" t="s">
        <v>1050</v>
      </c>
      <c r="C117" s="4" t="s">
        <v>659</v>
      </c>
      <c r="D117" s="4" t="s">
        <v>660</v>
      </c>
      <c r="E117" s="4" t="s">
        <v>1692</v>
      </c>
      <c r="F117" s="4" t="s">
        <v>662</v>
      </c>
      <c r="G117" s="4" t="s">
        <v>185</v>
      </c>
      <c r="H117" s="4" t="s">
        <v>205</v>
      </c>
      <c r="I117" s="4" t="s">
        <v>153</v>
      </c>
      <c r="J117" s="4" t="s">
        <v>153</v>
      </c>
      <c r="K117" s="5"/>
      <c r="L117" s="4" t="s">
        <v>153</v>
      </c>
      <c r="M117" s="4" t="s">
        <v>1725</v>
      </c>
      <c r="N117" s="4" t="s">
        <v>153</v>
      </c>
      <c r="O117" s="4" t="s">
        <v>1726</v>
      </c>
      <c r="P117" s="4" t="s">
        <v>1727</v>
      </c>
      <c r="Q117" s="4" t="s">
        <v>190</v>
      </c>
      <c r="R117" s="4" t="s">
        <v>191</v>
      </c>
      <c r="S117" s="4" t="s">
        <v>1728</v>
      </c>
      <c r="T117" s="4" t="s">
        <v>153</v>
      </c>
      <c r="U117" s="4" t="s">
        <v>1729</v>
      </c>
      <c r="V117" s="4" t="s">
        <v>153</v>
      </c>
      <c r="W117" s="4" t="s">
        <v>1730</v>
      </c>
      <c r="X117" s="4" t="s">
        <v>331</v>
      </c>
      <c r="Y117" s="4" t="s">
        <v>1731</v>
      </c>
      <c r="Z117" s="4" t="s">
        <v>197</v>
      </c>
      <c r="AA117" s="4" t="s">
        <v>1732</v>
      </c>
      <c r="AB117" s="4" t="s">
        <v>153</v>
      </c>
      <c r="AC117" s="4" t="s">
        <v>1733</v>
      </c>
      <c r="AD117" s="4" t="s">
        <v>331</v>
      </c>
      <c r="AE117" s="4" t="s">
        <v>1734</v>
      </c>
      <c r="AF117" s="4" t="s">
        <v>1735</v>
      </c>
      <c r="AG117" s="4" t="s">
        <v>1736</v>
      </c>
      <c r="AH117" s="4" t="s">
        <v>1737</v>
      </c>
      <c r="AI117" s="5">
        <v>45078</v>
      </c>
      <c r="AJ117" t="s">
        <v>412</v>
      </c>
      <c r="AK117" s="4">
        <v>20</v>
      </c>
      <c r="AL117" t="s">
        <v>153</v>
      </c>
      <c r="AM117" t="s">
        <v>153</v>
      </c>
      <c r="AO117" t="s">
        <v>153</v>
      </c>
      <c r="AP117" s="4"/>
      <c r="AQ117" t="s">
        <v>153</v>
      </c>
      <c r="AR117" s="5"/>
      <c r="AT117" s="4" t="s">
        <v>153</v>
      </c>
      <c r="AU117" s="4" t="s">
        <v>153</v>
      </c>
      <c r="AV117" s="4" t="s">
        <v>153</v>
      </c>
      <c r="AW117" t="s">
        <v>153</v>
      </c>
      <c r="AX117" t="s">
        <v>153</v>
      </c>
      <c r="AY117" t="s">
        <v>153</v>
      </c>
      <c r="AZ117" t="s">
        <v>153</v>
      </c>
      <c r="BA117" t="s">
        <v>153</v>
      </c>
      <c r="BB117" t="s">
        <v>153</v>
      </c>
      <c r="BC117" t="s">
        <v>153</v>
      </c>
      <c r="BD117" s="4" t="s">
        <v>153</v>
      </c>
      <c r="BE117" s="4" t="s">
        <v>153</v>
      </c>
      <c r="BF117" t="s">
        <v>153</v>
      </c>
      <c r="BG117" s="4" t="s">
        <v>153</v>
      </c>
      <c r="BH117" t="s">
        <v>153</v>
      </c>
      <c r="BI117" s="4" t="s">
        <v>153</v>
      </c>
      <c r="BJ117" t="s">
        <v>153</v>
      </c>
      <c r="BK117" s="4" t="s">
        <v>153</v>
      </c>
      <c r="BL117" t="s">
        <v>153</v>
      </c>
      <c r="BM117" t="s">
        <v>153</v>
      </c>
      <c r="BN117" s="4" t="s">
        <v>153</v>
      </c>
      <c r="BO117" s="4" t="s">
        <v>153</v>
      </c>
      <c r="BP117" s="4" t="s">
        <v>153</v>
      </c>
      <c r="BQ117" s="4" t="s">
        <v>153</v>
      </c>
      <c r="BR117" s="4" t="s">
        <v>153</v>
      </c>
      <c r="BS117" s="4" t="s">
        <v>153</v>
      </c>
      <c r="BT117" s="4" t="s">
        <v>153</v>
      </c>
      <c r="BU117" s="4" t="s">
        <v>153</v>
      </c>
      <c r="BV117" s="4"/>
      <c r="BW117" s="4" t="s">
        <v>153</v>
      </c>
      <c r="BX117" s="4" t="s">
        <v>153</v>
      </c>
      <c r="BY117" s="4" t="s">
        <v>153</v>
      </c>
      <c r="BZ117" s="4" t="s">
        <v>153</v>
      </c>
      <c r="CA117" s="4" t="s">
        <v>153</v>
      </c>
      <c r="CB117" s="4"/>
      <c r="CC117" s="4" t="s">
        <v>153</v>
      </c>
      <c r="CD117" t="s">
        <v>153</v>
      </c>
      <c r="CE117" s="4" t="s">
        <v>153</v>
      </c>
      <c r="CF117" s="4" t="s">
        <v>153</v>
      </c>
      <c r="CG117" s="4" t="s">
        <v>153</v>
      </c>
      <c r="CH117" s="5"/>
      <c r="CI117" t="s">
        <v>153</v>
      </c>
      <c r="CJ117" s="4"/>
      <c r="CK117" t="s">
        <v>153</v>
      </c>
      <c r="CL117" t="s">
        <v>153</v>
      </c>
      <c r="CM117" t="s">
        <v>153</v>
      </c>
      <c r="CN117" t="s">
        <v>153</v>
      </c>
      <c r="CO117" s="5"/>
      <c r="CP117" s="4" t="s">
        <v>153</v>
      </c>
      <c r="CQ117" s="4" t="s">
        <v>153</v>
      </c>
      <c r="CR117" t="s">
        <v>153</v>
      </c>
      <c r="CS117" t="s">
        <v>153</v>
      </c>
      <c r="CT117" t="s">
        <v>153</v>
      </c>
      <c r="CU117" t="s">
        <v>153</v>
      </c>
      <c r="CV117" t="s">
        <v>153</v>
      </c>
      <c r="CW117" t="s">
        <v>153</v>
      </c>
      <c r="CX117" t="s">
        <v>153</v>
      </c>
      <c r="CY117" t="s">
        <v>153</v>
      </c>
      <c r="CZ117" t="s">
        <v>153</v>
      </c>
      <c r="DA117" t="s">
        <v>153</v>
      </c>
      <c r="DB117" t="s">
        <v>153</v>
      </c>
      <c r="DC117" t="s">
        <v>153</v>
      </c>
      <c r="DD117" t="s">
        <v>153</v>
      </c>
      <c r="DE117" t="s">
        <v>153</v>
      </c>
      <c r="DF117" t="s">
        <v>153</v>
      </c>
      <c r="DG117" t="s">
        <v>153</v>
      </c>
      <c r="DI117" t="s">
        <v>153</v>
      </c>
      <c r="DJ117" t="s">
        <v>153</v>
      </c>
      <c r="DK117" t="s">
        <v>153</v>
      </c>
      <c r="DL117" t="s">
        <v>153</v>
      </c>
      <c r="DN117" t="s">
        <v>153</v>
      </c>
      <c r="DO117" t="s">
        <v>153</v>
      </c>
      <c r="DP117" t="s">
        <v>153</v>
      </c>
      <c r="DQ117" t="s">
        <v>153</v>
      </c>
      <c r="DR117" t="s">
        <v>153</v>
      </c>
      <c r="DS117" t="s">
        <v>153</v>
      </c>
      <c r="DT117" t="s">
        <v>153</v>
      </c>
      <c r="DU117" t="s">
        <v>153</v>
      </c>
      <c r="DV117" t="s">
        <v>153</v>
      </c>
      <c r="DW117" t="s">
        <v>153</v>
      </c>
      <c r="DX117" s="2"/>
      <c r="DY117" t="s">
        <v>153</v>
      </c>
      <c r="DZ117" t="s">
        <v>153</v>
      </c>
      <c r="EA117" t="s">
        <v>153</v>
      </c>
      <c r="EB117" t="s">
        <v>153</v>
      </c>
      <c r="EC117" t="s">
        <v>153</v>
      </c>
      <c r="ED117" t="s">
        <v>153</v>
      </c>
      <c r="EE117" t="s">
        <v>153</v>
      </c>
      <c r="EF117" t="s">
        <v>153</v>
      </c>
      <c r="EH117" t="s">
        <v>153</v>
      </c>
      <c r="EI117" t="s">
        <v>153</v>
      </c>
      <c r="EJ117" t="s">
        <v>153</v>
      </c>
      <c r="EK117" t="s">
        <v>153</v>
      </c>
      <c r="EM117" t="s">
        <v>153</v>
      </c>
      <c r="EN117" t="s">
        <v>153</v>
      </c>
      <c r="EP117" s="4" t="s">
        <v>242</v>
      </c>
      <c r="EQ117" s="4" t="s">
        <v>153</v>
      </c>
      <c r="ER117" s="4" t="s">
        <v>191</v>
      </c>
      <c r="ES117" s="4" t="s">
        <v>153</v>
      </c>
      <c r="ET117" t="s">
        <v>153</v>
      </c>
      <c r="EU117" t="s">
        <v>1596</v>
      </c>
      <c r="EV117" t="s">
        <v>1706</v>
      </c>
      <c r="EW117">
        <v>1171196839</v>
      </c>
      <c r="EX117" t="s">
        <v>1707</v>
      </c>
    </row>
    <row r="118" spans="1:154" x14ac:dyDescent="0.25">
      <c r="A118" s="3">
        <v>45265.652187500003</v>
      </c>
      <c r="B118" s="4" t="s">
        <v>1050</v>
      </c>
      <c r="C118" s="4" t="s">
        <v>659</v>
      </c>
      <c r="D118" s="4" t="s">
        <v>660</v>
      </c>
      <c r="E118" s="4" t="s">
        <v>1692</v>
      </c>
      <c r="F118" s="4" t="s">
        <v>662</v>
      </c>
      <c r="G118" s="4" t="s">
        <v>185</v>
      </c>
      <c r="H118" s="4" t="s">
        <v>323</v>
      </c>
      <c r="I118" s="4" t="s">
        <v>153</v>
      </c>
      <c r="J118" s="4" t="s">
        <v>153</v>
      </c>
      <c r="K118" s="5"/>
      <c r="L118" s="4" t="s">
        <v>153</v>
      </c>
      <c r="M118" s="4" t="s">
        <v>1738</v>
      </c>
      <c r="N118" s="4" t="s">
        <v>153</v>
      </c>
      <c r="O118" s="4" t="s">
        <v>1739</v>
      </c>
      <c r="P118" s="4" t="s">
        <v>1740</v>
      </c>
      <c r="Q118" s="4" t="s">
        <v>190</v>
      </c>
      <c r="R118" s="4" t="s">
        <v>191</v>
      </c>
      <c r="S118" s="4" t="s">
        <v>1741</v>
      </c>
      <c r="T118" s="4" t="s">
        <v>153</v>
      </c>
      <c r="U118" s="4" t="s">
        <v>1742</v>
      </c>
      <c r="V118" s="4" t="s">
        <v>153</v>
      </c>
      <c r="W118" s="4" t="s">
        <v>1743</v>
      </c>
      <c r="X118" s="4" t="s">
        <v>670</v>
      </c>
      <c r="Y118" s="4" t="s">
        <v>1744</v>
      </c>
      <c r="Z118" s="4" t="s">
        <v>197</v>
      </c>
      <c r="AA118" s="4" t="s">
        <v>1745</v>
      </c>
      <c r="AB118" s="4" t="s">
        <v>153</v>
      </c>
      <c r="AC118" s="4" t="s">
        <v>1746</v>
      </c>
      <c r="AD118" s="4" t="s">
        <v>670</v>
      </c>
      <c r="AE118" s="4" t="s">
        <v>1747</v>
      </c>
      <c r="AF118" s="4" t="s">
        <v>1748</v>
      </c>
      <c r="AG118" s="4" t="s">
        <v>1749</v>
      </c>
      <c r="AH118" s="4" t="s">
        <v>1750</v>
      </c>
      <c r="AI118" s="5">
        <v>45078</v>
      </c>
      <c r="AJ118" t="s">
        <v>412</v>
      </c>
      <c r="AK118" s="4">
        <v>20</v>
      </c>
      <c r="AL118" t="s">
        <v>1751</v>
      </c>
      <c r="AM118" t="s">
        <v>153</v>
      </c>
      <c r="AO118" t="s">
        <v>153</v>
      </c>
      <c r="AP118" s="4"/>
      <c r="AQ118" t="s">
        <v>153</v>
      </c>
      <c r="AR118" s="5"/>
      <c r="AT118" s="4" t="s">
        <v>153</v>
      </c>
      <c r="AU118" s="4" t="s">
        <v>153</v>
      </c>
      <c r="AV118" s="4" t="s">
        <v>153</v>
      </c>
      <c r="AW118" t="s">
        <v>153</v>
      </c>
      <c r="AX118" t="s">
        <v>153</v>
      </c>
      <c r="AY118" t="s">
        <v>153</v>
      </c>
      <c r="AZ118" t="s">
        <v>153</v>
      </c>
      <c r="BA118" t="s">
        <v>153</v>
      </c>
      <c r="BB118" t="s">
        <v>153</v>
      </c>
      <c r="BC118" t="s">
        <v>153</v>
      </c>
      <c r="BD118" s="4" t="s">
        <v>153</v>
      </c>
      <c r="BE118" s="4" t="s">
        <v>153</v>
      </c>
      <c r="BF118" t="s">
        <v>153</v>
      </c>
      <c r="BG118" s="4" t="s">
        <v>153</v>
      </c>
      <c r="BH118" t="s">
        <v>153</v>
      </c>
      <c r="BI118" s="4" t="s">
        <v>153</v>
      </c>
      <c r="BJ118" t="s">
        <v>153</v>
      </c>
      <c r="BK118" s="4" t="s">
        <v>153</v>
      </c>
      <c r="BL118" t="s">
        <v>153</v>
      </c>
      <c r="BM118" t="s">
        <v>153</v>
      </c>
      <c r="BN118" s="4" t="s">
        <v>153</v>
      </c>
      <c r="BO118" s="4" t="s">
        <v>153</v>
      </c>
      <c r="BP118" s="4" t="s">
        <v>153</v>
      </c>
      <c r="BQ118" s="4" t="s">
        <v>153</v>
      </c>
      <c r="BR118" s="4" t="s">
        <v>153</v>
      </c>
      <c r="BS118" s="4" t="s">
        <v>153</v>
      </c>
      <c r="BT118" s="4" t="s">
        <v>153</v>
      </c>
      <c r="BU118" s="4" t="s">
        <v>153</v>
      </c>
      <c r="BV118" s="4"/>
      <c r="BW118" s="4" t="s">
        <v>153</v>
      </c>
      <c r="BX118" s="4" t="s">
        <v>153</v>
      </c>
      <c r="BY118" s="4" t="s">
        <v>153</v>
      </c>
      <c r="BZ118" s="4" t="s">
        <v>153</v>
      </c>
      <c r="CA118" s="4" t="s">
        <v>153</v>
      </c>
      <c r="CB118" s="4"/>
      <c r="CC118" s="4" t="s">
        <v>153</v>
      </c>
      <c r="CD118" t="s">
        <v>153</v>
      </c>
      <c r="CE118" s="4" t="s">
        <v>153</v>
      </c>
      <c r="CF118" s="4" t="s">
        <v>153</v>
      </c>
      <c r="CG118" s="4" t="s">
        <v>153</v>
      </c>
      <c r="CH118" s="5"/>
      <c r="CI118" t="s">
        <v>153</v>
      </c>
      <c r="CJ118" s="4"/>
      <c r="CK118" t="s">
        <v>153</v>
      </c>
      <c r="CL118" t="s">
        <v>153</v>
      </c>
      <c r="CM118" t="s">
        <v>153</v>
      </c>
      <c r="CN118" t="s">
        <v>153</v>
      </c>
      <c r="CO118" s="5"/>
      <c r="CP118" s="4" t="s">
        <v>153</v>
      </c>
      <c r="CQ118" s="4" t="s">
        <v>153</v>
      </c>
      <c r="CR118" t="s">
        <v>153</v>
      </c>
      <c r="CS118" t="s">
        <v>153</v>
      </c>
      <c r="CT118" t="s">
        <v>153</v>
      </c>
      <c r="CU118" t="s">
        <v>153</v>
      </c>
      <c r="CV118" t="s">
        <v>153</v>
      </c>
      <c r="CW118" t="s">
        <v>153</v>
      </c>
      <c r="CX118" t="s">
        <v>153</v>
      </c>
      <c r="CY118" t="s">
        <v>153</v>
      </c>
      <c r="CZ118" t="s">
        <v>153</v>
      </c>
      <c r="DA118" t="s">
        <v>153</v>
      </c>
      <c r="DB118" t="s">
        <v>153</v>
      </c>
      <c r="DC118" t="s">
        <v>153</v>
      </c>
      <c r="DD118" t="s">
        <v>153</v>
      </c>
      <c r="DE118" t="s">
        <v>153</v>
      </c>
      <c r="DF118" t="s">
        <v>153</v>
      </c>
      <c r="DG118" t="s">
        <v>153</v>
      </c>
      <c r="DI118" t="s">
        <v>153</v>
      </c>
      <c r="DJ118" t="s">
        <v>153</v>
      </c>
      <c r="DK118" t="s">
        <v>153</v>
      </c>
      <c r="DL118" t="s">
        <v>153</v>
      </c>
      <c r="DN118" t="s">
        <v>153</v>
      </c>
      <c r="DO118" t="s">
        <v>153</v>
      </c>
      <c r="DP118" t="s">
        <v>153</v>
      </c>
      <c r="DQ118" t="s">
        <v>153</v>
      </c>
      <c r="DR118" t="s">
        <v>153</v>
      </c>
      <c r="DS118" t="s">
        <v>153</v>
      </c>
      <c r="DT118" t="s">
        <v>153</v>
      </c>
      <c r="DU118" t="s">
        <v>153</v>
      </c>
      <c r="DV118" t="s">
        <v>153</v>
      </c>
      <c r="DW118" t="s">
        <v>153</v>
      </c>
      <c r="DX118" s="2"/>
      <c r="DY118" t="s">
        <v>153</v>
      </c>
      <c r="DZ118" t="s">
        <v>153</v>
      </c>
      <c r="EA118" t="s">
        <v>153</v>
      </c>
      <c r="EB118" t="s">
        <v>153</v>
      </c>
      <c r="EC118" t="s">
        <v>153</v>
      </c>
      <c r="ED118" t="s">
        <v>153</v>
      </c>
      <c r="EE118" t="s">
        <v>153</v>
      </c>
      <c r="EF118" t="s">
        <v>153</v>
      </c>
      <c r="EH118" t="s">
        <v>153</v>
      </c>
      <c r="EI118" t="s">
        <v>153</v>
      </c>
      <c r="EJ118" t="s">
        <v>153</v>
      </c>
      <c r="EK118" t="s">
        <v>153</v>
      </c>
      <c r="EM118" t="s">
        <v>153</v>
      </c>
      <c r="EN118" t="s">
        <v>153</v>
      </c>
      <c r="EP118" s="4" t="s">
        <v>242</v>
      </c>
      <c r="EQ118" s="4" t="s">
        <v>153</v>
      </c>
      <c r="ER118" s="4" t="s">
        <v>191</v>
      </c>
      <c r="ES118" s="4" t="s">
        <v>153</v>
      </c>
      <c r="ET118" t="s">
        <v>1752</v>
      </c>
      <c r="EU118" t="s">
        <v>1596</v>
      </c>
      <c r="EV118" t="s">
        <v>1706</v>
      </c>
      <c r="EW118">
        <v>1171210767</v>
      </c>
      <c r="EX118" t="s">
        <v>1707</v>
      </c>
    </row>
    <row r="119" spans="1:154" x14ac:dyDescent="0.25">
      <c r="A119" s="3">
        <v>45265.679293981484</v>
      </c>
      <c r="B119" s="4" t="s">
        <v>1050</v>
      </c>
      <c r="C119" s="4" t="s">
        <v>659</v>
      </c>
      <c r="D119" s="4" t="s">
        <v>660</v>
      </c>
      <c r="E119" s="4" t="s">
        <v>1692</v>
      </c>
      <c r="F119" s="4" t="s">
        <v>662</v>
      </c>
      <c r="G119" s="4" t="s">
        <v>185</v>
      </c>
      <c r="H119" s="4" t="s">
        <v>323</v>
      </c>
      <c r="I119" s="4" t="s">
        <v>153</v>
      </c>
      <c r="J119" s="4" t="s">
        <v>153</v>
      </c>
      <c r="K119" s="5"/>
      <c r="L119" s="4" t="s">
        <v>153</v>
      </c>
      <c r="M119" s="4" t="s">
        <v>1753</v>
      </c>
      <c r="N119" s="4" t="s">
        <v>153</v>
      </c>
      <c r="O119" s="4" t="s">
        <v>1754</v>
      </c>
      <c r="P119" s="4" t="s">
        <v>1755</v>
      </c>
      <c r="Q119" s="4" t="s">
        <v>190</v>
      </c>
      <c r="R119" s="4" t="s">
        <v>191</v>
      </c>
      <c r="S119" s="4" t="s">
        <v>1756</v>
      </c>
      <c r="T119" s="4" t="s">
        <v>153</v>
      </c>
      <c r="U119" s="4" t="s">
        <v>1757</v>
      </c>
      <c r="V119" s="4" t="s">
        <v>153</v>
      </c>
      <c r="W119" s="4" t="s">
        <v>1758</v>
      </c>
      <c r="X119" s="4" t="s">
        <v>735</v>
      </c>
      <c r="Y119" s="4" t="s">
        <v>1759</v>
      </c>
      <c r="Z119" s="4" t="s">
        <v>1760</v>
      </c>
      <c r="AA119" s="4" t="s">
        <v>1761</v>
      </c>
      <c r="AB119" s="4" t="s">
        <v>153</v>
      </c>
      <c r="AC119" s="4" t="s">
        <v>1758</v>
      </c>
      <c r="AD119" s="4" t="s">
        <v>735</v>
      </c>
      <c r="AE119" s="4" t="s">
        <v>1759</v>
      </c>
      <c r="AF119" s="4" t="s">
        <v>1762</v>
      </c>
      <c r="AG119" s="4" t="s">
        <v>1763</v>
      </c>
      <c r="AH119" s="4" t="s">
        <v>153</v>
      </c>
      <c r="AI119" s="5">
        <v>45078</v>
      </c>
      <c r="AJ119" t="s">
        <v>591</v>
      </c>
      <c r="AK119" s="4">
        <v>20</v>
      </c>
      <c r="AL119" t="s">
        <v>153</v>
      </c>
      <c r="AM119" t="s">
        <v>153</v>
      </c>
      <c r="AO119" t="s">
        <v>153</v>
      </c>
      <c r="AP119" s="4"/>
      <c r="AQ119" t="s">
        <v>153</v>
      </c>
      <c r="AR119" s="5"/>
      <c r="AT119" s="4" t="s">
        <v>153</v>
      </c>
      <c r="AU119" s="4" t="s">
        <v>153</v>
      </c>
      <c r="AV119" s="4" t="s">
        <v>153</v>
      </c>
      <c r="AW119" t="s">
        <v>153</v>
      </c>
      <c r="AX119" t="s">
        <v>153</v>
      </c>
      <c r="AY119" t="s">
        <v>153</v>
      </c>
      <c r="AZ119" t="s">
        <v>153</v>
      </c>
      <c r="BA119" t="s">
        <v>153</v>
      </c>
      <c r="BB119" t="s">
        <v>153</v>
      </c>
      <c r="BC119" t="s">
        <v>153</v>
      </c>
      <c r="BD119" s="4" t="s">
        <v>153</v>
      </c>
      <c r="BE119" s="4" t="s">
        <v>153</v>
      </c>
      <c r="BF119" t="s">
        <v>153</v>
      </c>
      <c r="BG119" s="4" t="s">
        <v>153</v>
      </c>
      <c r="BH119" t="s">
        <v>153</v>
      </c>
      <c r="BI119" s="4" t="s">
        <v>153</v>
      </c>
      <c r="BJ119" t="s">
        <v>153</v>
      </c>
      <c r="BK119" s="4" t="s">
        <v>153</v>
      </c>
      <c r="BL119" t="s">
        <v>153</v>
      </c>
      <c r="BM119" t="s">
        <v>153</v>
      </c>
      <c r="BN119" s="4" t="s">
        <v>153</v>
      </c>
      <c r="BO119" s="4" t="s">
        <v>153</v>
      </c>
      <c r="BP119" s="4" t="s">
        <v>153</v>
      </c>
      <c r="BQ119" s="4" t="s">
        <v>153</v>
      </c>
      <c r="BR119" s="4" t="s">
        <v>153</v>
      </c>
      <c r="BS119" s="4" t="s">
        <v>153</v>
      </c>
      <c r="BT119" s="4" t="s">
        <v>153</v>
      </c>
      <c r="BU119" s="4" t="s">
        <v>153</v>
      </c>
      <c r="BV119" s="4"/>
      <c r="BW119" s="4" t="s">
        <v>153</v>
      </c>
      <c r="BX119" s="4" t="s">
        <v>153</v>
      </c>
      <c r="BY119" s="4" t="s">
        <v>153</v>
      </c>
      <c r="BZ119" s="4" t="s">
        <v>153</v>
      </c>
      <c r="CA119" s="4" t="s">
        <v>153</v>
      </c>
      <c r="CB119" s="4"/>
      <c r="CC119" s="4" t="s">
        <v>153</v>
      </c>
      <c r="CD119" t="s">
        <v>153</v>
      </c>
      <c r="CE119" s="4" t="s">
        <v>153</v>
      </c>
      <c r="CF119" s="4" t="s">
        <v>153</v>
      </c>
      <c r="CG119" s="4" t="s">
        <v>153</v>
      </c>
      <c r="CH119" s="5"/>
      <c r="CI119" t="s">
        <v>153</v>
      </c>
      <c r="CJ119" s="4"/>
      <c r="CK119" t="s">
        <v>153</v>
      </c>
      <c r="CL119" t="s">
        <v>153</v>
      </c>
      <c r="CM119" t="s">
        <v>153</v>
      </c>
      <c r="CN119" t="s">
        <v>153</v>
      </c>
      <c r="CO119" s="5"/>
      <c r="CP119" s="4" t="s">
        <v>153</v>
      </c>
      <c r="CQ119" s="4" t="s">
        <v>153</v>
      </c>
      <c r="CR119" t="s">
        <v>153</v>
      </c>
      <c r="CS119" t="s">
        <v>153</v>
      </c>
      <c r="CT119" t="s">
        <v>153</v>
      </c>
      <c r="CU119" t="s">
        <v>153</v>
      </c>
      <c r="CV119" t="s">
        <v>153</v>
      </c>
      <c r="CW119" t="s">
        <v>153</v>
      </c>
      <c r="CX119" t="s">
        <v>153</v>
      </c>
      <c r="CY119" t="s">
        <v>153</v>
      </c>
      <c r="CZ119" t="s">
        <v>153</v>
      </c>
      <c r="DA119" t="s">
        <v>153</v>
      </c>
      <c r="DB119" t="s">
        <v>153</v>
      </c>
      <c r="DC119" t="s">
        <v>153</v>
      </c>
      <c r="DD119" t="s">
        <v>153</v>
      </c>
      <c r="DE119" t="s">
        <v>153</v>
      </c>
      <c r="DF119" t="s">
        <v>153</v>
      </c>
      <c r="DG119" t="s">
        <v>153</v>
      </c>
      <c r="DI119" t="s">
        <v>153</v>
      </c>
      <c r="DJ119" t="s">
        <v>153</v>
      </c>
      <c r="DK119" t="s">
        <v>153</v>
      </c>
      <c r="DL119" t="s">
        <v>153</v>
      </c>
      <c r="DN119" t="s">
        <v>153</v>
      </c>
      <c r="DO119" t="s">
        <v>153</v>
      </c>
      <c r="DP119" t="s">
        <v>153</v>
      </c>
      <c r="DQ119" t="s">
        <v>153</v>
      </c>
      <c r="DR119" t="s">
        <v>153</v>
      </c>
      <c r="DS119" t="s">
        <v>153</v>
      </c>
      <c r="DT119" t="s">
        <v>153</v>
      </c>
      <c r="DU119" t="s">
        <v>153</v>
      </c>
      <c r="DV119" t="s">
        <v>153</v>
      </c>
      <c r="DW119" t="s">
        <v>153</v>
      </c>
      <c r="DX119" s="2"/>
      <c r="DY119" t="s">
        <v>153</v>
      </c>
      <c r="DZ119" t="s">
        <v>153</v>
      </c>
      <c r="EA119" t="s">
        <v>153</v>
      </c>
      <c r="EB119" t="s">
        <v>153</v>
      </c>
      <c r="EC119" t="s">
        <v>153</v>
      </c>
      <c r="ED119" t="s">
        <v>153</v>
      </c>
      <c r="EE119" t="s">
        <v>153</v>
      </c>
      <c r="EF119" t="s">
        <v>153</v>
      </c>
      <c r="EH119" t="s">
        <v>153</v>
      </c>
      <c r="EI119" t="s">
        <v>153</v>
      </c>
      <c r="EJ119" t="s">
        <v>153</v>
      </c>
      <c r="EK119" t="s">
        <v>153</v>
      </c>
      <c r="EM119" t="s">
        <v>153</v>
      </c>
      <c r="EN119" t="s">
        <v>153</v>
      </c>
      <c r="EP119" s="4" t="s">
        <v>242</v>
      </c>
      <c r="EQ119" s="4" t="s">
        <v>153</v>
      </c>
      <c r="ER119" s="4" t="s">
        <v>191</v>
      </c>
      <c r="ES119" s="4" t="s">
        <v>153</v>
      </c>
      <c r="ET119" t="s">
        <v>153</v>
      </c>
      <c r="EU119" t="s">
        <v>1596</v>
      </c>
      <c r="EV119" t="s">
        <v>1706</v>
      </c>
      <c r="EW119">
        <v>1171231076</v>
      </c>
      <c r="EX119" t="s">
        <v>1707</v>
      </c>
    </row>
    <row r="120" spans="1:154" x14ac:dyDescent="0.25">
      <c r="A120" s="3">
        <v>45265.690798611111</v>
      </c>
      <c r="B120" s="4" t="s">
        <v>1050</v>
      </c>
      <c r="C120" s="4" t="s">
        <v>659</v>
      </c>
      <c r="D120" s="4" t="s">
        <v>660</v>
      </c>
      <c r="E120" s="4" t="s">
        <v>1692</v>
      </c>
      <c r="F120" s="4" t="s">
        <v>662</v>
      </c>
      <c r="G120" s="4" t="s">
        <v>185</v>
      </c>
      <c r="H120" s="4" t="s">
        <v>323</v>
      </c>
      <c r="I120" s="4" t="s">
        <v>153</v>
      </c>
      <c r="J120" s="4" t="s">
        <v>153</v>
      </c>
      <c r="K120" s="5"/>
      <c r="L120" s="4" t="s">
        <v>153</v>
      </c>
      <c r="M120" s="4" t="s">
        <v>1764</v>
      </c>
      <c r="N120" s="4" t="s">
        <v>153</v>
      </c>
      <c r="O120" s="4" t="s">
        <v>1765</v>
      </c>
      <c r="P120" s="4" t="s">
        <v>1766</v>
      </c>
      <c r="Q120" s="4" t="s">
        <v>190</v>
      </c>
      <c r="R120" s="4" t="s">
        <v>191</v>
      </c>
      <c r="S120" s="4" t="s">
        <v>1767</v>
      </c>
      <c r="T120" s="4" t="s">
        <v>153</v>
      </c>
      <c r="U120" s="4" t="s">
        <v>1768</v>
      </c>
      <c r="V120" s="4" t="s">
        <v>153</v>
      </c>
      <c r="W120" s="4" t="s">
        <v>1769</v>
      </c>
      <c r="X120" s="4" t="s">
        <v>722</v>
      </c>
      <c r="Y120" s="4" t="s">
        <v>1770</v>
      </c>
      <c r="Z120" s="4" t="s">
        <v>237</v>
      </c>
      <c r="AA120" s="4" t="s">
        <v>1768</v>
      </c>
      <c r="AB120" s="4" t="s">
        <v>153</v>
      </c>
      <c r="AC120" s="4" t="s">
        <v>1769</v>
      </c>
      <c r="AD120" s="4" t="s">
        <v>722</v>
      </c>
      <c r="AE120" s="4" t="s">
        <v>1770</v>
      </c>
      <c r="AF120" s="4" t="s">
        <v>1771</v>
      </c>
      <c r="AG120" s="4" t="s">
        <v>1772</v>
      </c>
      <c r="AH120" s="4" t="s">
        <v>153</v>
      </c>
      <c r="AI120" s="5">
        <v>45078</v>
      </c>
      <c r="AJ120" t="s">
        <v>591</v>
      </c>
      <c r="AK120" s="4">
        <v>5</v>
      </c>
      <c r="AL120" t="s">
        <v>1773</v>
      </c>
      <c r="AM120" t="s">
        <v>153</v>
      </c>
      <c r="AO120" t="s">
        <v>153</v>
      </c>
      <c r="AP120" s="4"/>
      <c r="AQ120" t="s">
        <v>153</v>
      </c>
      <c r="AR120" s="5"/>
      <c r="AT120" s="4" t="s">
        <v>153</v>
      </c>
      <c r="AU120" s="4" t="s">
        <v>153</v>
      </c>
      <c r="AV120" s="4" t="s">
        <v>153</v>
      </c>
      <c r="AW120" t="s">
        <v>153</v>
      </c>
      <c r="AX120" t="s">
        <v>153</v>
      </c>
      <c r="AY120" t="s">
        <v>153</v>
      </c>
      <c r="AZ120" t="s">
        <v>153</v>
      </c>
      <c r="BA120" t="s">
        <v>153</v>
      </c>
      <c r="BB120" t="s">
        <v>153</v>
      </c>
      <c r="BC120" t="s">
        <v>153</v>
      </c>
      <c r="BD120" s="4" t="s">
        <v>153</v>
      </c>
      <c r="BE120" s="4" t="s">
        <v>153</v>
      </c>
      <c r="BF120" t="s">
        <v>153</v>
      </c>
      <c r="BG120" s="4" t="s">
        <v>153</v>
      </c>
      <c r="BH120" t="s">
        <v>153</v>
      </c>
      <c r="BI120" s="4" t="s">
        <v>153</v>
      </c>
      <c r="BJ120" t="s">
        <v>153</v>
      </c>
      <c r="BK120" s="4" t="s">
        <v>153</v>
      </c>
      <c r="BL120" t="s">
        <v>153</v>
      </c>
      <c r="BM120" t="s">
        <v>153</v>
      </c>
      <c r="BN120" s="4" t="s">
        <v>153</v>
      </c>
      <c r="BO120" s="4" t="s">
        <v>153</v>
      </c>
      <c r="BP120" s="4" t="s">
        <v>153</v>
      </c>
      <c r="BQ120" s="4" t="s">
        <v>153</v>
      </c>
      <c r="BR120" s="4" t="s">
        <v>153</v>
      </c>
      <c r="BS120" s="4" t="s">
        <v>153</v>
      </c>
      <c r="BT120" s="4" t="s">
        <v>153</v>
      </c>
      <c r="BU120" s="4" t="s">
        <v>153</v>
      </c>
      <c r="BV120" s="4"/>
      <c r="BW120" s="4" t="s">
        <v>153</v>
      </c>
      <c r="BX120" s="4" t="s">
        <v>153</v>
      </c>
      <c r="BY120" s="4" t="s">
        <v>153</v>
      </c>
      <c r="BZ120" s="4" t="s">
        <v>153</v>
      </c>
      <c r="CA120" s="4" t="s">
        <v>153</v>
      </c>
      <c r="CB120" s="4"/>
      <c r="CC120" s="4" t="s">
        <v>153</v>
      </c>
      <c r="CD120" t="s">
        <v>153</v>
      </c>
      <c r="CE120" s="4" t="s">
        <v>153</v>
      </c>
      <c r="CF120" s="4" t="s">
        <v>153</v>
      </c>
      <c r="CG120" s="4" t="s">
        <v>153</v>
      </c>
      <c r="CH120" s="5"/>
      <c r="CI120" t="s">
        <v>153</v>
      </c>
      <c r="CJ120" s="4"/>
      <c r="CK120" t="s">
        <v>153</v>
      </c>
      <c r="CL120" t="s">
        <v>153</v>
      </c>
      <c r="CM120" t="s">
        <v>153</v>
      </c>
      <c r="CN120" t="s">
        <v>153</v>
      </c>
      <c r="CO120" s="5"/>
      <c r="CP120" s="4" t="s">
        <v>153</v>
      </c>
      <c r="CQ120" s="4" t="s">
        <v>153</v>
      </c>
      <c r="CR120" t="s">
        <v>153</v>
      </c>
      <c r="CS120" t="s">
        <v>153</v>
      </c>
      <c r="CT120" t="s">
        <v>153</v>
      </c>
      <c r="CU120" t="s">
        <v>153</v>
      </c>
      <c r="CV120" t="s">
        <v>153</v>
      </c>
      <c r="CW120" t="s">
        <v>153</v>
      </c>
      <c r="CX120" t="s">
        <v>153</v>
      </c>
      <c r="CY120" t="s">
        <v>153</v>
      </c>
      <c r="CZ120" t="s">
        <v>153</v>
      </c>
      <c r="DA120" t="s">
        <v>153</v>
      </c>
      <c r="DB120" t="s">
        <v>153</v>
      </c>
      <c r="DC120" t="s">
        <v>153</v>
      </c>
      <c r="DD120" t="s">
        <v>153</v>
      </c>
      <c r="DE120" t="s">
        <v>153</v>
      </c>
      <c r="DF120" t="s">
        <v>153</v>
      </c>
      <c r="DG120" t="s">
        <v>153</v>
      </c>
      <c r="DI120" t="s">
        <v>153</v>
      </c>
      <c r="DJ120" t="s">
        <v>153</v>
      </c>
      <c r="DK120" t="s">
        <v>153</v>
      </c>
      <c r="DL120" t="s">
        <v>153</v>
      </c>
      <c r="DN120" t="s">
        <v>153</v>
      </c>
      <c r="DO120" t="s">
        <v>153</v>
      </c>
      <c r="DP120" t="s">
        <v>153</v>
      </c>
      <c r="DQ120" t="s">
        <v>153</v>
      </c>
      <c r="DR120" t="s">
        <v>153</v>
      </c>
      <c r="DS120" t="s">
        <v>153</v>
      </c>
      <c r="DT120" t="s">
        <v>153</v>
      </c>
      <c r="DU120" t="s">
        <v>153</v>
      </c>
      <c r="DV120" t="s">
        <v>153</v>
      </c>
      <c r="DW120" t="s">
        <v>153</v>
      </c>
      <c r="DX120" s="2"/>
      <c r="DY120" t="s">
        <v>153</v>
      </c>
      <c r="DZ120" t="s">
        <v>153</v>
      </c>
      <c r="EA120" t="s">
        <v>153</v>
      </c>
      <c r="EB120" t="s">
        <v>153</v>
      </c>
      <c r="EC120" t="s">
        <v>153</v>
      </c>
      <c r="ED120" t="s">
        <v>153</v>
      </c>
      <c r="EE120" t="s">
        <v>153</v>
      </c>
      <c r="EF120" t="s">
        <v>153</v>
      </c>
      <c r="EH120" t="s">
        <v>153</v>
      </c>
      <c r="EI120" t="s">
        <v>153</v>
      </c>
      <c r="EJ120" t="s">
        <v>153</v>
      </c>
      <c r="EK120" t="s">
        <v>153</v>
      </c>
      <c r="EM120" t="s">
        <v>153</v>
      </c>
      <c r="EN120" t="s">
        <v>153</v>
      </c>
      <c r="EP120" s="4" t="s">
        <v>242</v>
      </c>
      <c r="EQ120" s="4" t="s">
        <v>153</v>
      </c>
      <c r="ER120" s="4" t="s">
        <v>191</v>
      </c>
      <c r="ES120" s="4" t="s">
        <v>153</v>
      </c>
      <c r="ET120" t="s">
        <v>153</v>
      </c>
      <c r="EU120" t="s">
        <v>1596</v>
      </c>
      <c r="EV120" t="s">
        <v>1706</v>
      </c>
      <c r="EW120">
        <v>1171239259</v>
      </c>
      <c r="EX120" t="s">
        <v>1707</v>
      </c>
    </row>
    <row r="121" spans="1:154" x14ac:dyDescent="0.25">
      <c r="A121" s="3">
        <v>45265.702685185184</v>
      </c>
      <c r="B121" s="4" t="s">
        <v>1050</v>
      </c>
      <c r="C121" s="4" t="s">
        <v>659</v>
      </c>
      <c r="D121" s="4" t="s">
        <v>660</v>
      </c>
      <c r="E121" s="4" t="s">
        <v>1692</v>
      </c>
      <c r="F121" s="4" t="s">
        <v>662</v>
      </c>
      <c r="G121" s="4" t="s">
        <v>185</v>
      </c>
      <c r="H121" s="4" t="s">
        <v>323</v>
      </c>
      <c r="I121" s="4" t="s">
        <v>153</v>
      </c>
      <c r="J121" s="4" t="s">
        <v>153</v>
      </c>
      <c r="K121" s="5"/>
      <c r="L121" s="4" t="s">
        <v>153</v>
      </c>
      <c r="M121" s="4" t="s">
        <v>1774</v>
      </c>
      <c r="N121" s="4" t="s">
        <v>153</v>
      </c>
      <c r="O121" s="4" t="s">
        <v>1775</v>
      </c>
      <c r="P121" s="4" t="s">
        <v>1776</v>
      </c>
      <c r="Q121" s="4" t="s">
        <v>190</v>
      </c>
      <c r="R121" s="4" t="s">
        <v>666</v>
      </c>
      <c r="S121" s="4" t="s">
        <v>153</v>
      </c>
      <c r="T121" s="4" t="s">
        <v>153</v>
      </c>
      <c r="U121" s="4" t="s">
        <v>1777</v>
      </c>
      <c r="V121" s="4" t="s">
        <v>153</v>
      </c>
      <c r="W121" s="4" t="s">
        <v>1778</v>
      </c>
      <c r="X121" s="4" t="s">
        <v>331</v>
      </c>
      <c r="Y121" s="4" t="s">
        <v>1779</v>
      </c>
      <c r="Z121" s="4" t="s">
        <v>197</v>
      </c>
      <c r="AA121" s="4" t="s">
        <v>1780</v>
      </c>
      <c r="AB121" s="4" t="s">
        <v>153</v>
      </c>
      <c r="AC121" s="4" t="s">
        <v>1778</v>
      </c>
      <c r="AD121" s="4" t="s">
        <v>331</v>
      </c>
      <c r="AE121" s="4" t="s">
        <v>1779</v>
      </c>
      <c r="AF121" s="4" t="s">
        <v>1781</v>
      </c>
      <c r="AG121" s="4" t="s">
        <v>1782</v>
      </c>
      <c r="AH121" s="4" t="s">
        <v>1783</v>
      </c>
      <c r="AI121" s="5">
        <v>45078</v>
      </c>
      <c r="AJ121" t="s">
        <v>591</v>
      </c>
      <c r="AK121" s="4">
        <v>10</v>
      </c>
      <c r="AL121" t="s">
        <v>1784</v>
      </c>
      <c r="AM121" t="s">
        <v>153</v>
      </c>
      <c r="AO121" t="s">
        <v>153</v>
      </c>
      <c r="AP121" s="4"/>
      <c r="AQ121" t="s">
        <v>153</v>
      </c>
      <c r="AR121" s="5"/>
      <c r="AT121" s="4" t="s">
        <v>153</v>
      </c>
      <c r="AU121" s="4" t="s">
        <v>153</v>
      </c>
      <c r="AV121" s="4" t="s">
        <v>153</v>
      </c>
      <c r="AW121" t="s">
        <v>153</v>
      </c>
      <c r="AX121" t="s">
        <v>153</v>
      </c>
      <c r="AY121" t="s">
        <v>153</v>
      </c>
      <c r="AZ121" t="s">
        <v>153</v>
      </c>
      <c r="BA121" t="s">
        <v>153</v>
      </c>
      <c r="BB121" t="s">
        <v>153</v>
      </c>
      <c r="BC121" t="s">
        <v>153</v>
      </c>
      <c r="BD121" s="4" t="s">
        <v>153</v>
      </c>
      <c r="BE121" s="4" t="s">
        <v>153</v>
      </c>
      <c r="BF121" t="s">
        <v>153</v>
      </c>
      <c r="BG121" s="4" t="s">
        <v>153</v>
      </c>
      <c r="BH121" t="s">
        <v>153</v>
      </c>
      <c r="BI121" s="4" t="s">
        <v>153</v>
      </c>
      <c r="BJ121" t="s">
        <v>153</v>
      </c>
      <c r="BK121" s="4" t="s">
        <v>153</v>
      </c>
      <c r="BL121" t="s">
        <v>153</v>
      </c>
      <c r="BM121" t="s">
        <v>153</v>
      </c>
      <c r="BN121" s="4" t="s">
        <v>153</v>
      </c>
      <c r="BO121" s="4" t="s">
        <v>153</v>
      </c>
      <c r="BP121" s="4" t="s">
        <v>153</v>
      </c>
      <c r="BQ121" s="4" t="s">
        <v>153</v>
      </c>
      <c r="BR121" s="4" t="s">
        <v>153</v>
      </c>
      <c r="BS121" s="4" t="s">
        <v>153</v>
      </c>
      <c r="BT121" s="4" t="s">
        <v>153</v>
      </c>
      <c r="BU121" s="4" t="s">
        <v>153</v>
      </c>
      <c r="BV121" s="4"/>
      <c r="BW121" s="4" t="s">
        <v>153</v>
      </c>
      <c r="BX121" s="4" t="s">
        <v>153</v>
      </c>
      <c r="BY121" s="4" t="s">
        <v>153</v>
      </c>
      <c r="BZ121" s="4" t="s">
        <v>153</v>
      </c>
      <c r="CA121" s="4" t="s">
        <v>153</v>
      </c>
      <c r="CB121" s="4"/>
      <c r="CC121" s="4" t="s">
        <v>153</v>
      </c>
      <c r="CD121" t="s">
        <v>153</v>
      </c>
      <c r="CE121" s="4" t="s">
        <v>153</v>
      </c>
      <c r="CF121" s="4" t="s">
        <v>153</v>
      </c>
      <c r="CG121" s="4" t="s">
        <v>153</v>
      </c>
      <c r="CH121" s="5"/>
      <c r="CI121" t="s">
        <v>153</v>
      </c>
      <c r="CJ121" s="4"/>
      <c r="CK121" t="s">
        <v>153</v>
      </c>
      <c r="CL121" t="s">
        <v>153</v>
      </c>
      <c r="CM121" t="s">
        <v>153</v>
      </c>
      <c r="CN121" t="s">
        <v>153</v>
      </c>
      <c r="CO121" s="5"/>
      <c r="CP121" s="4" t="s">
        <v>153</v>
      </c>
      <c r="CQ121" s="4" t="s">
        <v>153</v>
      </c>
      <c r="CR121" t="s">
        <v>153</v>
      </c>
      <c r="CS121" t="s">
        <v>153</v>
      </c>
      <c r="CT121" t="s">
        <v>153</v>
      </c>
      <c r="CU121" t="s">
        <v>153</v>
      </c>
      <c r="CV121" t="s">
        <v>153</v>
      </c>
      <c r="CW121" t="s">
        <v>153</v>
      </c>
      <c r="CX121" t="s">
        <v>153</v>
      </c>
      <c r="CY121" t="s">
        <v>153</v>
      </c>
      <c r="CZ121" t="s">
        <v>153</v>
      </c>
      <c r="DA121" t="s">
        <v>153</v>
      </c>
      <c r="DB121" t="s">
        <v>153</v>
      </c>
      <c r="DC121" t="s">
        <v>153</v>
      </c>
      <c r="DD121" t="s">
        <v>153</v>
      </c>
      <c r="DE121" t="s">
        <v>153</v>
      </c>
      <c r="DF121" t="s">
        <v>153</v>
      </c>
      <c r="DG121" t="s">
        <v>153</v>
      </c>
      <c r="DI121" t="s">
        <v>153</v>
      </c>
      <c r="DJ121" t="s">
        <v>153</v>
      </c>
      <c r="DK121" t="s">
        <v>153</v>
      </c>
      <c r="DL121" t="s">
        <v>153</v>
      </c>
      <c r="DN121" t="s">
        <v>153</v>
      </c>
      <c r="DO121" t="s">
        <v>153</v>
      </c>
      <c r="DP121" t="s">
        <v>153</v>
      </c>
      <c r="DQ121" t="s">
        <v>153</v>
      </c>
      <c r="DR121" t="s">
        <v>153</v>
      </c>
      <c r="DS121" t="s">
        <v>153</v>
      </c>
      <c r="DT121" t="s">
        <v>153</v>
      </c>
      <c r="DU121" t="s">
        <v>153</v>
      </c>
      <c r="DV121" t="s">
        <v>153</v>
      </c>
      <c r="DW121" t="s">
        <v>153</v>
      </c>
      <c r="DX121" s="2"/>
      <c r="DY121" t="s">
        <v>153</v>
      </c>
      <c r="DZ121" t="s">
        <v>153</v>
      </c>
      <c r="EA121" t="s">
        <v>153</v>
      </c>
      <c r="EB121" t="s">
        <v>153</v>
      </c>
      <c r="EC121" t="s">
        <v>153</v>
      </c>
      <c r="ED121" t="s">
        <v>153</v>
      </c>
      <c r="EE121" t="s">
        <v>153</v>
      </c>
      <c r="EF121" t="s">
        <v>153</v>
      </c>
      <c r="EH121" t="s">
        <v>153</v>
      </c>
      <c r="EI121" t="s">
        <v>153</v>
      </c>
      <c r="EJ121" t="s">
        <v>153</v>
      </c>
      <c r="EK121" t="s">
        <v>153</v>
      </c>
      <c r="EM121" t="s">
        <v>153</v>
      </c>
      <c r="EN121" t="s">
        <v>153</v>
      </c>
      <c r="EP121" s="4" t="s">
        <v>153</v>
      </c>
      <c r="EQ121" s="4" t="s">
        <v>153</v>
      </c>
      <c r="ER121" s="4" t="s">
        <v>191</v>
      </c>
      <c r="ES121" s="4" t="s">
        <v>153</v>
      </c>
      <c r="ET121" t="s">
        <v>153</v>
      </c>
      <c r="EU121" t="s">
        <v>1596</v>
      </c>
      <c r="EV121" t="s">
        <v>1706</v>
      </c>
      <c r="EW121">
        <v>1171247285</v>
      </c>
      <c r="EX121" t="s">
        <v>1707</v>
      </c>
    </row>
    <row r="122" spans="1:154" x14ac:dyDescent="0.25">
      <c r="A122" s="3">
        <v>45278.497731481482</v>
      </c>
      <c r="B122" s="4" t="s">
        <v>1050</v>
      </c>
      <c r="C122" s="4" t="s">
        <v>659</v>
      </c>
      <c r="D122" s="4" t="s">
        <v>660</v>
      </c>
      <c r="E122" s="4" t="s">
        <v>661</v>
      </c>
      <c r="F122" s="4" t="s">
        <v>662</v>
      </c>
      <c r="G122" s="4" t="s">
        <v>252</v>
      </c>
      <c r="H122" s="4" t="s">
        <v>323</v>
      </c>
      <c r="I122" s="4" t="s">
        <v>153</v>
      </c>
      <c r="J122" s="4" t="s">
        <v>1785</v>
      </c>
      <c r="K122" s="5"/>
      <c r="L122" s="4" t="s">
        <v>153</v>
      </c>
      <c r="M122" s="4" t="s">
        <v>153</v>
      </c>
      <c r="N122" s="4" t="s">
        <v>153</v>
      </c>
      <c r="O122" s="4" t="s">
        <v>153</v>
      </c>
      <c r="P122" s="4" t="s">
        <v>153</v>
      </c>
      <c r="Q122" s="4" t="s">
        <v>153</v>
      </c>
      <c r="R122" s="4" t="s">
        <v>153</v>
      </c>
      <c r="S122" s="4" t="s">
        <v>153</v>
      </c>
      <c r="T122" s="4" t="s">
        <v>153</v>
      </c>
      <c r="U122" s="4" t="s">
        <v>153</v>
      </c>
      <c r="V122" s="4" t="s">
        <v>153</v>
      </c>
      <c r="W122" s="4" t="s">
        <v>153</v>
      </c>
      <c r="X122" s="4" t="s">
        <v>153</v>
      </c>
      <c r="Y122" s="4" t="s">
        <v>153</v>
      </c>
      <c r="Z122" s="4" t="s">
        <v>153</v>
      </c>
      <c r="AA122" s="4" t="s">
        <v>153</v>
      </c>
      <c r="AB122" s="4" t="s">
        <v>153</v>
      </c>
      <c r="AC122" s="4" t="s">
        <v>153</v>
      </c>
      <c r="AD122" s="4" t="s">
        <v>153</v>
      </c>
      <c r="AE122" s="4" t="s">
        <v>153</v>
      </c>
      <c r="AF122" s="4" t="s">
        <v>153</v>
      </c>
      <c r="AG122" s="4" t="s">
        <v>153</v>
      </c>
      <c r="AH122" s="4" t="s">
        <v>153</v>
      </c>
      <c r="AI122" s="5"/>
      <c r="AJ122" t="s">
        <v>153</v>
      </c>
      <c r="AK122" s="4"/>
      <c r="AL122" t="s">
        <v>153</v>
      </c>
      <c r="AM122" t="s">
        <v>153</v>
      </c>
      <c r="AO122" t="s">
        <v>153</v>
      </c>
      <c r="AP122" s="4"/>
      <c r="AQ122" t="s">
        <v>153</v>
      </c>
      <c r="AR122" s="5">
        <v>45051</v>
      </c>
      <c r="AS122">
        <v>1</v>
      </c>
      <c r="AT122" s="4" t="s">
        <v>1786</v>
      </c>
      <c r="AU122" s="4" t="s">
        <v>1787</v>
      </c>
      <c r="AV122" s="4" t="s">
        <v>256</v>
      </c>
      <c r="AW122" t="s">
        <v>153</v>
      </c>
      <c r="AX122" t="s">
        <v>153</v>
      </c>
      <c r="AY122" t="s">
        <v>1788</v>
      </c>
      <c r="AZ122" t="s">
        <v>1789</v>
      </c>
      <c r="BA122" t="s">
        <v>153</v>
      </c>
      <c r="BB122" t="s">
        <v>153</v>
      </c>
      <c r="BC122" t="s">
        <v>153</v>
      </c>
      <c r="BD122" s="4" t="s">
        <v>1790</v>
      </c>
      <c r="BE122" s="4" t="s">
        <v>1791</v>
      </c>
      <c r="BF122" t="s">
        <v>242</v>
      </c>
      <c r="BG122" s="4" t="s">
        <v>637</v>
      </c>
      <c r="BH122" t="s">
        <v>153</v>
      </c>
      <c r="BI122" s="4" t="s">
        <v>153</v>
      </c>
      <c r="BJ122" t="s">
        <v>153</v>
      </c>
      <c r="BK122" s="4" t="s">
        <v>153</v>
      </c>
      <c r="BL122" t="s">
        <v>153</v>
      </c>
      <c r="BM122" t="s">
        <v>153</v>
      </c>
      <c r="BN122" s="4" t="s">
        <v>153</v>
      </c>
      <c r="BO122" s="4" t="s">
        <v>153</v>
      </c>
      <c r="BP122" s="4" t="s">
        <v>153</v>
      </c>
      <c r="BQ122" s="4" t="s">
        <v>153</v>
      </c>
      <c r="BR122" s="4" t="s">
        <v>153</v>
      </c>
      <c r="BS122" s="4" t="s">
        <v>153</v>
      </c>
      <c r="BT122" s="4" t="s">
        <v>153</v>
      </c>
      <c r="BU122" s="4" t="s">
        <v>153</v>
      </c>
      <c r="BV122" s="4"/>
      <c r="BW122" s="4" t="s">
        <v>153</v>
      </c>
      <c r="BX122" s="4" t="s">
        <v>153</v>
      </c>
      <c r="BY122" s="4" t="s">
        <v>153</v>
      </c>
      <c r="BZ122" s="4" t="s">
        <v>153</v>
      </c>
      <c r="CA122" s="4" t="s">
        <v>153</v>
      </c>
      <c r="CB122" s="4"/>
      <c r="CC122" s="4" t="s">
        <v>153</v>
      </c>
      <c r="CD122" t="s">
        <v>153</v>
      </c>
      <c r="CE122" s="4" t="s">
        <v>153</v>
      </c>
      <c r="CF122" s="4" t="s">
        <v>153</v>
      </c>
      <c r="CG122" s="4" t="s">
        <v>153</v>
      </c>
      <c r="CH122" s="5"/>
      <c r="CI122" t="s">
        <v>153</v>
      </c>
      <c r="CJ122" s="4"/>
      <c r="CK122" t="s">
        <v>153</v>
      </c>
      <c r="CL122" t="s">
        <v>153</v>
      </c>
      <c r="CM122" t="s">
        <v>153</v>
      </c>
      <c r="CN122" t="s">
        <v>153</v>
      </c>
      <c r="CO122" s="5"/>
      <c r="CP122" s="4" t="s">
        <v>153</v>
      </c>
      <c r="CQ122" s="4" t="s">
        <v>153</v>
      </c>
      <c r="CR122" t="s">
        <v>153</v>
      </c>
      <c r="CS122" t="s">
        <v>153</v>
      </c>
      <c r="CT122" t="s">
        <v>153</v>
      </c>
      <c r="CU122" t="s">
        <v>153</v>
      </c>
      <c r="CV122" t="s">
        <v>153</v>
      </c>
      <c r="CW122" t="s">
        <v>153</v>
      </c>
      <c r="CX122" t="s">
        <v>153</v>
      </c>
      <c r="CY122" t="s">
        <v>153</v>
      </c>
      <c r="CZ122" t="s">
        <v>153</v>
      </c>
      <c r="DA122" t="s">
        <v>153</v>
      </c>
      <c r="DB122" t="s">
        <v>153</v>
      </c>
      <c r="DC122" t="s">
        <v>153</v>
      </c>
      <c r="DD122" t="s">
        <v>153</v>
      </c>
      <c r="DE122" t="s">
        <v>153</v>
      </c>
      <c r="DF122" t="s">
        <v>153</v>
      </c>
      <c r="DG122" t="s">
        <v>153</v>
      </c>
      <c r="DI122" t="s">
        <v>153</v>
      </c>
      <c r="DJ122" t="s">
        <v>153</v>
      </c>
      <c r="DK122" t="s">
        <v>153</v>
      </c>
      <c r="DL122" t="s">
        <v>153</v>
      </c>
      <c r="DN122" t="s">
        <v>153</v>
      </c>
      <c r="DO122" t="s">
        <v>153</v>
      </c>
      <c r="DP122" t="s">
        <v>153</v>
      </c>
      <c r="DQ122" t="s">
        <v>153</v>
      </c>
      <c r="DR122" t="s">
        <v>153</v>
      </c>
      <c r="DS122" t="s">
        <v>153</v>
      </c>
      <c r="DT122" t="s">
        <v>153</v>
      </c>
      <c r="DU122" t="s">
        <v>153</v>
      </c>
      <c r="DV122" t="s">
        <v>153</v>
      </c>
      <c r="DW122" t="s">
        <v>153</v>
      </c>
      <c r="DX122" s="2"/>
      <c r="DY122" t="s">
        <v>153</v>
      </c>
      <c r="DZ122" t="s">
        <v>153</v>
      </c>
      <c r="EA122" t="s">
        <v>153</v>
      </c>
      <c r="EB122" t="s">
        <v>153</v>
      </c>
      <c r="EC122" t="s">
        <v>153</v>
      </c>
      <c r="ED122" t="s">
        <v>153</v>
      </c>
      <c r="EE122" t="s">
        <v>153</v>
      </c>
      <c r="EF122" t="s">
        <v>153</v>
      </c>
      <c r="EH122" t="s">
        <v>153</v>
      </c>
      <c r="EI122" t="s">
        <v>153</v>
      </c>
      <c r="EJ122" t="s">
        <v>153</v>
      </c>
      <c r="EK122" t="s">
        <v>153</v>
      </c>
      <c r="EM122" t="s">
        <v>153</v>
      </c>
      <c r="EN122" t="s">
        <v>153</v>
      </c>
      <c r="EP122" s="4" t="s">
        <v>153</v>
      </c>
      <c r="EQ122" s="4" t="s">
        <v>153</v>
      </c>
      <c r="ER122" s="4" t="s">
        <v>205</v>
      </c>
      <c r="ES122" s="4" t="s">
        <v>153</v>
      </c>
      <c r="ET122" t="s">
        <v>153</v>
      </c>
      <c r="EU122" t="s">
        <v>1792</v>
      </c>
      <c r="EV122" t="s">
        <v>1706</v>
      </c>
      <c r="EW122">
        <v>1175662633</v>
      </c>
      <c r="EX122" t="s">
        <v>340</v>
      </c>
    </row>
    <row r="123" spans="1:154" x14ac:dyDescent="0.25">
      <c r="A123" s="3">
        <v>45278.606944444444</v>
      </c>
      <c r="B123" s="4" t="s">
        <v>1050</v>
      </c>
      <c r="C123" s="4" t="s">
        <v>222</v>
      </c>
      <c r="D123" s="4" t="s">
        <v>223</v>
      </c>
      <c r="E123" s="4" t="s">
        <v>224</v>
      </c>
      <c r="F123" s="4" t="s">
        <v>225</v>
      </c>
      <c r="G123" s="4" t="s">
        <v>423</v>
      </c>
      <c r="H123" s="4" t="s">
        <v>226</v>
      </c>
      <c r="I123" s="4" t="s">
        <v>153</v>
      </c>
      <c r="J123" s="4" t="s">
        <v>1793</v>
      </c>
      <c r="K123" s="5"/>
      <c r="L123" s="4" t="s">
        <v>153</v>
      </c>
      <c r="M123" s="4" t="s">
        <v>153</v>
      </c>
      <c r="N123" s="4" t="s">
        <v>153</v>
      </c>
      <c r="O123" s="4" t="s">
        <v>153</v>
      </c>
      <c r="P123" s="4" t="s">
        <v>153</v>
      </c>
      <c r="Q123" s="4" t="s">
        <v>153</v>
      </c>
      <c r="R123" s="4" t="s">
        <v>153</v>
      </c>
      <c r="S123" s="4" t="s">
        <v>153</v>
      </c>
      <c r="T123" s="4" t="s">
        <v>153</v>
      </c>
      <c r="U123" s="4" t="s">
        <v>153</v>
      </c>
      <c r="V123" s="4" t="s">
        <v>153</v>
      </c>
      <c r="W123" s="4" t="s">
        <v>153</v>
      </c>
      <c r="X123" s="4" t="s">
        <v>153</v>
      </c>
      <c r="Y123" s="4" t="s">
        <v>153</v>
      </c>
      <c r="Z123" s="4" t="s">
        <v>153</v>
      </c>
      <c r="AA123" s="4" t="s">
        <v>153</v>
      </c>
      <c r="AB123" s="4" t="s">
        <v>153</v>
      </c>
      <c r="AC123" s="4" t="s">
        <v>153</v>
      </c>
      <c r="AD123" s="4" t="s">
        <v>153</v>
      </c>
      <c r="AE123" s="4" t="s">
        <v>153</v>
      </c>
      <c r="AF123" s="4" t="s">
        <v>153</v>
      </c>
      <c r="AG123" s="4" t="s">
        <v>153</v>
      </c>
      <c r="AH123" s="4" t="s">
        <v>153</v>
      </c>
      <c r="AI123" s="5"/>
      <c r="AJ123" t="s">
        <v>153</v>
      </c>
      <c r="AK123" s="4"/>
      <c r="AL123" t="s">
        <v>153</v>
      </c>
      <c r="AM123" t="s">
        <v>153</v>
      </c>
      <c r="AO123" t="s">
        <v>153</v>
      </c>
      <c r="AP123" s="4"/>
      <c r="AQ123" t="s">
        <v>153</v>
      </c>
      <c r="AR123" s="5"/>
      <c r="AT123" s="4" t="s">
        <v>153</v>
      </c>
      <c r="AU123" s="4" t="s">
        <v>153</v>
      </c>
      <c r="AV123" s="4" t="s">
        <v>153</v>
      </c>
      <c r="AW123" t="s">
        <v>153</v>
      </c>
      <c r="AX123" t="s">
        <v>153</v>
      </c>
      <c r="AY123" t="s">
        <v>153</v>
      </c>
      <c r="AZ123" t="s">
        <v>153</v>
      </c>
      <c r="BA123" t="s">
        <v>153</v>
      </c>
      <c r="BB123" t="s">
        <v>153</v>
      </c>
      <c r="BC123" t="s">
        <v>153</v>
      </c>
      <c r="BD123" s="4" t="s">
        <v>153</v>
      </c>
      <c r="BE123" s="4" t="s">
        <v>153</v>
      </c>
      <c r="BF123" t="s">
        <v>153</v>
      </c>
      <c r="BG123" s="4" t="s">
        <v>153</v>
      </c>
      <c r="BH123" t="s">
        <v>153</v>
      </c>
      <c r="BI123" s="4" t="s">
        <v>153</v>
      </c>
      <c r="BJ123" t="s">
        <v>153</v>
      </c>
      <c r="BK123" s="4" t="s">
        <v>153</v>
      </c>
      <c r="BL123" t="s">
        <v>153</v>
      </c>
      <c r="BM123" t="s">
        <v>153</v>
      </c>
      <c r="BN123" s="4" t="s">
        <v>205</v>
      </c>
      <c r="BO123" s="4" t="s">
        <v>205</v>
      </c>
      <c r="BP123" s="4" t="s">
        <v>153</v>
      </c>
      <c r="BQ123" s="4" t="s">
        <v>153</v>
      </c>
      <c r="BR123" s="4" t="s">
        <v>153</v>
      </c>
      <c r="BS123" s="4" t="s">
        <v>153</v>
      </c>
      <c r="BT123" s="4" t="s">
        <v>153</v>
      </c>
      <c r="BU123" s="4" t="s">
        <v>153</v>
      </c>
      <c r="BV123" s="4"/>
      <c r="BW123" s="4" t="s">
        <v>430</v>
      </c>
      <c r="BX123" s="4" t="s">
        <v>1794</v>
      </c>
      <c r="BY123" s="4" t="s">
        <v>153</v>
      </c>
      <c r="BZ123" s="4" t="s">
        <v>456</v>
      </c>
      <c r="CA123" s="4" t="s">
        <v>457</v>
      </c>
      <c r="CB123" s="4">
        <v>83805</v>
      </c>
      <c r="CC123" s="4" t="s">
        <v>430</v>
      </c>
      <c r="CD123" t="s">
        <v>153</v>
      </c>
      <c r="CE123" s="4" t="s">
        <v>153</v>
      </c>
      <c r="CF123" s="4" t="s">
        <v>153</v>
      </c>
      <c r="CG123" s="4" t="s">
        <v>153</v>
      </c>
      <c r="CH123" s="5"/>
      <c r="CI123" t="s">
        <v>153</v>
      </c>
      <c r="CJ123" s="4"/>
      <c r="CK123" t="s">
        <v>433</v>
      </c>
      <c r="CL123" t="s">
        <v>153</v>
      </c>
      <c r="CM123" t="s">
        <v>153</v>
      </c>
      <c r="CN123" t="s">
        <v>153</v>
      </c>
      <c r="CO123" s="5"/>
      <c r="CP123" s="4" t="s">
        <v>153</v>
      </c>
      <c r="CQ123" s="4" t="s">
        <v>153</v>
      </c>
      <c r="CR123" t="s">
        <v>153</v>
      </c>
      <c r="CS123" t="s">
        <v>153</v>
      </c>
      <c r="CT123" t="s">
        <v>153</v>
      </c>
      <c r="CU123" t="s">
        <v>153</v>
      </c>
      <c r="CV123" t="s">
        <v>153</v>
      </c>
      <c r="CW123" t="s">
        <v>153</v>
      </c>
      <c r="CX123" t="s">
        <v>153</v>
      </c>
      <c r="CY123" t="s">
        <v>153</v>
      </c>
      <c r="CZ123" t="s">
        <v>153</v>
      </c>
      <c r="DA123" t="s">
        <v>153</v>
      </c>
      <c r="DB123" t="s">
        <v>153</v>
      </c>
      <c r="DC123" t="s">
        <v>153</v>
      </c>
      <c r="DD123" t="s">
        <v>153</v>
      </c>
      <c r="DE123" t="s">
        <v>153</v>
      </c>
      <c r="DF123" t="s">
        <v>153</v>
      </c>
      <c r="DG123" t="s">
        <v>153</v>
      </c>
      <c r="DI123" t="s">
        <v>153</v>
      </c>
      <c r="DJ123" t="s">
        <v>153</v>
      </c>
      <c r="DK123" t="s">
        <v>153</v>
      </c>
      <c r="DL123" t="s">
        <v>153</v>
      </c>
      <c r="DN123" t="s">
        <v>153</v>
      </c>
      <c r="DO123" t="s">
        <v>153</v>
      </c>
      <c r="DP123" t="s">
        <v>153</v>
      </c>
      <c r="DQ123" t="s">
        <v>153</v>
      </c>
      <c r="DR123" t="s">
        <v>153</v>
      </c>
      <c r="DS123" t="s">
        <v>153</v>
      </c>
      <c r="DT123" t="s">
        <v>153</v>
      </c>
      <c r="DU123" t="s">
        <v>153</v>
      </c>
      <c r="DV123" t="s">
        <v>153</v>
      </c>
      <c r="DW123" t="s">
        <v>153</v>
      </c>
      <c r="DX123" s="2"/>
      <c r="DY123" t="s">
        <v>153</v>
      </c>
      <c r="DZ123" t="s">
        <v>153</v>
      </c>
      <c r="EA123" t="s">
        <v>153</v>
      </c>
      <c r="EB123" t="s">
        <v>153</v>
      </c>
      <c r="EC123" t="s">
        <v>153</v>
      </c>
      <c r="ED123" t="s">
        <v>153</v>
      </c>
      <c r="EE123" t="s">
        <v>153</v>
      </c>
      <c r="EF123" t="s">
        <v>153</v>
      </c>
      <c r="EH123" t="s">
        <v>153</v>
      </c>
      <c r="EI123" t="s">
        <v>153</v>
      </c>
      <c r="EJ123" t="s">
        <v>153</v>
      </c>
      <c r="EK123" t="s">
        <v>153</v>
      </c>
      <c r="EM123" t="s">
        <v>153</v>
      </c>
      <c r="EN123" t="s">
        <v>153</v>
      </c>
      <c r="EP123" s="4" t="s">
        <v>153</v>
      </c>
      <c r="EQ123" s="4" t="s">
        <v>153</v>
      </c>
      <c r="ER123" s="4" t="s">
        <v>205</v>
      </c>
      <c r="ES123" s="4" t="s">
        <v>153</v>
      </c>
      <c r="ET123" t="s">
        <v>1795</v>
      </c>
      <c r="EU123" t="s">
        <v>1792</v>
      </c>
      <c r="EV123" t="s">
        <v>246</v>
      </c>
      <c r="EW123">
        <v>1175733101</v>
      </c>
      <c r="EX123" t="s">
        <v>247</v>
      </c>
    </row>
    <row r="124" spans="1:154" x14ac:dyDescent="0.25">
      <c r="A124" s="3">
        <v>45281.739560185182</v>
      </c>
      <c r="B124" s="4" t="s">
        <v>1050</v>
      </c>
      <c r="C124" s="4" t="s">
        <v>822</v>
      </c>
      <c r="D124" s="4" t="s">
        <v>823</v>
      </c>
      <c r="E124" s="4" t="s">
        <v>824</v>
      </c>
      <c r="F124" s="4" t="s">
        <v>825</v>
      </c>
      <c r="G124" s="4" t="s">
        <v>252</v>
      </c>
      <c r="H124" s="4" t="s">
        <v>826</v>
      </c>
      <c r="I124" s="4" t="s">
        <v>153</v>
      </c>
      <c r="J124" s="4" t="s">
        <v>1796</v>
      </c>
      <c r="K124" s="5"/>
      <c r="L124" s="4" t="s">
        <v>153</v>
      </c>
      <c r="M124" s="4" t="s">
        <v>153</v>
      </c>
      <c r="N124" s="4" t="s">
        <v>153</v>
      </c>
      <c r="O124" s="4" t="s">
        <v>153</v>
      </c>
      <c r="P124" s="4" t="s">
        <v>153</v>
      </c>
      <c r="Q124" s="4" t="s">
        <v>153</v>
      </c>
      <c r="R124" s="4" t="s">
        <v>153</v>
      </c>
      <c r="S124" s="4" t="s">
        <v>153</v>
      </c>
      <c r="T124" s="4" t="s">
        <v>153</v>
      </c>
      <c r="U124" s="4" t="s">
        <v>153</v>
      </c>
      <c r="V124" s="4" t="s">
        <v>153</v>
      </c>
      <c r="W124" s="4" t="s">
        <v>153</v>
      </c>
      <c r="X124" s="4" t="s">
        <v>153</v>
      </c>
      <c r="Y124" s="4" t="s">
        <v>153</v>
      </c>
      <c r="Z124" s="4" t="s">
        <v>153</v>
      </c>
      <c r="AA124" s="4" t="s">
        <v>153</v>
      </c>
      <c r="AB124" s="4" t="s">
        <v>153</v>
      </c>
      <c r="AC124" s="4" t="s">
        <v>153</v>
      </c>
      <c r="AD124" s="4" t="s">
        <v>153</v>
      </c>
      <c r="AE124" s="4" t="s">
        <v>153</v>
      </c>
      <c r="AF124" s="4" t="s">
        <v>153</v>
      </c>
      <c r="AG124" s="4" t="s">
        <v>153</v>
      </c>
      <c r="AH124" s="4" t="s">
        <v>153</v>
      </c>
      <c r="AI124" s="5"/>
      <c r="AJ124" t="s">
        <v>153</v>
      </c>
      <c r="AK124" s="4"/>
      <c r="AL124" t="s">
        <v>153</v>
      </c>
      <c r="AM124" t="s">
        <v>153</v>
      </c>
      <c r="AO124" t="s">
        <v>153</v>
      </c>
      <c r="AP124" s="4"/>
      <c r="AQ124" t="s">
        <v>153</v>
      </c>
      <c r="AR124" s="5">
        <v>45169</v>
      </c>
      <c r="AS124">
        <v>0</v>
      </c>
      <c r="AT124" s="4" t="s">
        <v>153</v>
      </c>
      <c r="AU124" s="4" t="s">
        <v>153</v>
      </c>
      <c r="AV124" s="4" t="s">
        <v>256</v>
      </c>
      <c r="AW124" t="s">
        <v>153</v>
      </c>
      <c r="AX124" t="s">
        <v>153</v>
      </c>
      <c r="AY124" t="s">
        <v>153</v>
      </c>
      <c r="AZ124" t="s">
        <v>153</v>
      </c>
      <c r="BA124" t="s">
        <v>153</v>
      </c>
      <c r="BB124" t="s">
        <v>153</v>
      </c>
      <c r="BC124" t="s">
        <v>153</v>
      </c>
      <c r="BD124" s="4" t="s">
        <v>1797</v>
      </c>
      <c r="BE124" s="4" t="s">
        <v>1798</v>
      </c>
      <c r="BF124" t="s">
        <v>242</v>
      </c>
      <c r="BG124" s="4" t="s">
        <v>1799</v>
      </c>
      <c r="BH124" t="s">
        <v>153</v>
      </c>
      <c r="BI124" s="4" t="s">
        <v>153</v>
      </c>
      <c r="BJ124" t="s">
        <v>153</v>
      </c>
      <c r="BK124" s="4" t="s">
        <v>153</v>
      </c>
      <c r="BL124" t="s">
        <v>153</v>
      </c>
      <c r="BM124" t="s">
        <v>153</v>
      </c>
      <c r="BN124" s="4" t="s">
        <v>153</v>
      </c>
      <c r="BO124" s="4" t="s">
        <v>153</v>
      </c>
      <c r="BP124" s="4" t="s">
        <v>153</v>
      </c>
      <c r="BQ124" s="4" t="s">
        <v>153</v>
      </c>
      <c r="BR124" s="4" t="s">
        <v>153</v>
      </c>
      <c r="BS124" s="4" t="s">
        <v>153</v>
      </c>
      <c r="BT124" s="4" t="s">
        <v>153</v>
      </c>
      <c r="BU124" s="4" t="s">
        <v>153</v>
      </c>
      <c r="BV124" s="4"/>
      <c r="BW124" s="4" t="s">
        <v>153</v>
      </c>
      <c r="BX124" s="4" t="s">
        <v>153</v>
      </c>
      <c r="BY124" s="4" t="s">
        <v>153</v>
      </c>
      <c r="BZ124" s="4" t="s">
        <v>153</v>
      </c>
      <c r="CA124" s="4" t="s">
        <v>153</v>
      </c>
      <c r="CB124" s="4"/>
      <c r="CC124" s="4" t="s">
        <v>153</v>
      </c>
      <c r="CD124" t="s">
        <v>153</v>
      </c>
      <c r="CE124" s="4" t="s">
        <v>153</v>
      </c>
      <c r="CF124" s="4" t="s">
        <v>153</v>
      </c>
      <c r="CG124" s="4" t="s">
        <v>153</v>
      </c>
      <c r="CH124" s="5"/>
      <c r="CI124" t="s">
        <v>153</v>
      </c>
      <c r="CJ124" s="4"/>
      <c r="CK124" t="s">
        <v>153</v>
      </c>
      <c r="CL124" t="s">
        <v>153</v>
      </c>
      <c r="CM124" t="s">
        <v>153</v>
      </c>
      <c r="CN124" t="s">
        <v>153</v>
      </c>
      <c r="CO124" s="5"/>
      <c r="CP124" s="4" t="s">
        <v>153</v>
      </c>
      <c r="CQ124" s="4" t="s">
        <v>153</v>
      </c>
      <c r="CR124" t="s">
        <v>153</v>
      </c>
      <c r="CS124" t="s">
        <v>153</v>
      </c>
      <c r="CT124" t="s">
        <v>153</v>
      </c>
      <c r="CU124" t="s">
        <v>153</v>
      </c>
      <c r="CV124" t="s">
        <v>153</v>
      </c>
      <c r="CW124" t="s">
        <v>153</v>
      </c>
      <c r="CX124" t="s">
        <v>153</v>
      </c>
      <c r="CY124" t="s">
        <v>153</v>
      </c>
      <c r="CZ124" t="s">
        <v>153</v>
      </c>
      <c r="DA124" t="s">
        <v>153</v>
      </c>
      <c r="DB124" t="s">
        <v>153</v>
      </c>
      <c r="DC124" t="s">
        <v>153</v>
      </c>
      <c r="DD124" t="s">
        <v>153</v>
      </c>
      <c r="DE124" t="s">
        <v>153</v>
      </c>
      <c r="DF124" t="s">
        <v>153</v>
      </c>
      <c r="DG124" t="s">
        <v>153</v>
      </c>
      <c r="DI124" t="s">
        <v>153</v>
      </c>
      <c r="DJ124" t="s">
        <v>153</v>
      </c>
      <c r="DK124" t="s">
        <v>153</v>
      </c>
      <c r="DL124" t="s">
        <v>153</v>
      </c>
      <c r="DN124" t="s">
        <v>153</v>
      </c>
      <c r="DO124" t="s">
        <v>153</v>
      </c>
      <c r="DP124" t="s">
        <v>153</v>
      </c>
      <c r="DQ124" t="s">
        <v>153</v>
      </c>
      <c r="DR124" t="s">
        <v>153</v>
      </c>
      <c r="DS124" t="s">
        <v>153</v>
      </c>
      <c r="DT124" t="s">
        <v>153</v>
      </c>
      <c r="DU124" t="s">
        <v>153</v>
      </c>
      <c r="DV124" t="s">
        <v>153</v>
      </c>
      <c r="DW124" t="s">
        <v>153</v>
      </c>
      <c r="DX124" s="2"/>
      <c r="DY124" t="s">
        <v>153</v>
      </c>
      <c r="DZ124" t="s">
        <v>153</v>
      </c>
      <c r="EA124" t="s">
        <v>153</v>
      </c>
      <c r="EB124" t="s">
        <v>153</v>
      </c>
      <c r="EC124" t="s">
        <v>153</v>
      </c>
      <c r="ED124" t="s">
        <v>153</v>
      </c>
      <c r="EE124" t="s">
        <v>153</v>
      </c>
      <c r="EF124" t="s">
        <v>153</v>
      </c>
      <c r="EH124" t="s">
        <v>153</v>
      </c>
      <c r="EI124" t="s">
        <v>153</v>
      </c>
      <c r="EJ124" t="s">
        <v>153</v>
      </c>
      <c r="EK124" t="s">
        <v>153</v>
      </c>
      <c r="EM124" t="s">
        <v>153</v>
      </c>
      <c r="EN124" t="s">
        <v>153</v>
      </c>
      <c r="EP124" s="4" t="s">
        <v>153</v>
      </c>
      <c r="EQ124" s="4" t="s">
        <v>153</v>
      </c>
      <c r="ER124" s="4" t="s">
        <v>176</v>
      </c>
      <c r="ES124" s="4" t="s">
        <v>153</v>
      </c>
      <c r="ET124" t="s">
        <v>1800</v>
      </c>
      <c r="EU124" t="s">
        <v>1801</v>
      </c>
      <c r="EV124" t="s">
        <v>1802</v>
      </c>
      <c r="EW124">
        <v>1176981910</v>
      </c>
      <c r="EX124" t="s">
        <v>1803</v>
      </c>
    </row>
    <row r="125" spans="1:154" x14ac:dyDescent="0.25">
      <c r="A125" s="3">
        <v>45281.788275462961</v>
      </c>
      <c r="B125" s="4" t="s">
        <v>1050</v>
      </c>
      <c r="C125" s="4" t="s">
        <v>822</v>
      </c>
      <c r="D125" s="4" t="s">
        <v>823</v>
      </c>
      <c r="E125" s="4" t="s">
        <v>824</v>
      </c>
      <c r="F125" s="4" t="s">
        <v>825</v>
      </c>
      <c r="G125" s="4" t="s">
        <v>185</v>
      </c>
      <c r="H125" s="4" t="s">
        <v>826</v>
      </c>
      <c r="I125" s="4" t="s">
        <v>153</v>
      </c>
      <c r="J125" s="4" t="s">
        <v>153</v>
      </c>
      <c r="K125" s="5"/>
      <c r="L125" s="4" t="s">
        <v>153</v>
      </c>
      <c r="M125" s="4" t="s">
        <v>1804</v>
      </c>
      <c r="N125" s="4" t="s">
        <v>1805</v>
      </c>
      <c r="O125" s="4" t="s">
        <v>1806</v>
      </c>
      <c r="P125" s="4" t="s">
        <v>1160</v>
      </c>
      <c r="Q125" s="4" t="s">
        <v>190</v>
      </c>
      <c r="R125" s="4" t="s">
        <v>191</v>
      </c>
      <c r="S125" s="4" t="s">
        <v>1807</v>
      </c>
      <c r="T125" s="4" t="s">
        <v>1808</v>
      </c>
      <c r="U125" s="4" t="s">
        <v>1809</v>
      </c>
      <c r="V125" s="4" t="s">
        <v>153</v>
      </c>
      <c r="W125" s="4" t="s">
        <v>1810</v>
      </c>
      <c r="X125" s="4" t="s">
        <v>347</v>
      </c>
      <c r="Y125" s="4" t="s">
        <v>1811</v>
      </c>
      <c r="Z125" s="4" t="s">
        <v>1812</v>
      </c>
      <c r="AA125" s="4" t="s">
        <v>1809</v>
      </c>
      <c r="AB125" s="4" t="s">
        <v>153</v>
      </c>
      <c r="AC125" s="4" t="s">
        <v>1810</v>
      </c>
      <c r="AD125" s="4" t="s">
        <v>347</v>
      </c>
      <c r="AE125" s="4" t="s">
        <v>1811</v>
      </c>
      <c r="AF125" s="4" t="s">
        <v>1813</v>
      </c>
      <c r="AG125" s="4" t="s">
        <v>1814</v>
      </c>
      <c r="AH125" s="4" t="s">
        <v>153</v>
      </c>
      <c r="AI125" s="5">
        <v>45292</v>
      </c>
      <c r="AJ125" t="s">
        <v>1815</v>
      </c>
      <c r="AK125" s="4">
        <v>3</v>
      </c>
      <c r="AL125" t="s">
        <v>1121</v>
      </c>
      <c r="AM125" t="s">
        <v>153</v>
      </c>
      <c r="AO125" t="s">
        <v>153</v>
      </c>
      <c r="AP125" s="4"/>
      <c r="AQ125" t="s">
        <v>153</v>
      </c>
      <c r="AR125" s="5"/>
      <c r="AT125" s="4" t="s">
        <v>153</v>
      </c>
      <c r="AU125" s="4" t="s">
        <v>153</v>
      </c>
      <c r="AV125" s="4" t="s">
        <v>153</v>
      </c>
      <c r="AW125" t="s">
        <v>153</v>
      </c>
      <c r="AX125" t="s">
        <v>153</v>
      </c>
      <c r="AY125" t="s">
        <v>153</v>
      </c>
      <c r="AZ125" t="s">
        <v>153</v>
      </c>
      <c r="BA125" t="s">
        <v>153</v>
      </c>
      <c r="BB125" t="s">
        <v>153</v>
      </c>
      <c r="BC125" t="s">
        <v>153</v>
      </c>
      <c r="BD125" s="4" t="s">
        <v>153</v>
      </c>
      <c r="BE125" s="4" t="s">
        <v>153</v>
      </c>
      <c r="BF125" t="s">
        <v>153</v>
      </c>
      <c r="BG125" s="4" t="s">
        <v>153</v>
      </c>
      <c r="BH125" t="s">
        <v>153</v>
      </c>
      <c r="BI125" s="4" t="s">
        <v>153</v>
      </c>
      <c r="BJ125" t="s">
        <v>153</v>
      </c>
      <c r="BK125" s="4" t="s">
        <v>153</v>
      </c>
      <c r="BL125" t="s">
        <v>153</v>
      </c>
      <c r="BM125" t="s">
        <v>153</v>
      </c>
      <c r="BN125" s="4" t="s">
        <v>153</v>
      </c>
      <c r="BO125" s="4" t="s">
        <v>153</v>
      </c>
      <c r="BP125" s="4" t="s">
        <v>153</v>
      </c>
      <c r="BQ125" s="4" t="s">
        <v>153</v>
      </c>
      <c r="BR125" s="4" t="s">
        <v>153</v>
      </c>
      <c r="BS125" s="4" t="s">
        <v>153</v>
      </c>
      <c r="BT125" s="4" t="s">
        <v>153</v>
      </c>
      <c r="BU125" s="4" t="s">
        <v>153</v>
      </c>
      <c r="BV125" s="4"/>
      <c r="BW125" s="4" t="s">
        <v>153</v>
      </c>
      <c r="BX125" s="4" t="s">
        <v>153</v>
      </c>
      <c r="BY125" s="4" t="s">
        <v>153</v>
      </c>
      <c r="BZ125" s="4" t="s">
        <v>153</v>
      </c>
      <c r="CA125" s="4" t="s">
        <v>153</v>
      </c>
      <c r="CB125" s="4"/>
      <c r="CC125" s="4" t="s">
        <v>153</v>
      </c>
      <c r="CD125" t="s">
        <v>153</v>
      </c>
      <c r="CE125" s="4" t="s">
        <v>153</v>
      </c>
      <c r="CF125" s="4" t="s">
        <v>153</v>
      </c>
      <c r="CG125" s="4" t="s">
        <v>153</v>
      </c>
      <c r="CH125" s="5"/>
      <c r="CI125" t="s">
        <v>153</v>
      </c>
      <c r="CJ125" s="4"/>
      <c r="CK125" t="s">
        <v>153</v>
      </c>
      <c r="CL125" t="s">
        <v>153</v>
      </c>
      <c r="CM125" t="s">
        <v>153</v>
      </c>
      <c r="CN125" t="s">
        <v>153</v>
      </c>
      <c r="CO125" s="5"/>
      <c r="CP125" s="4" t="s">
        <v>153</v>
      </c>
      <c r="CQ125" s="4" t="s">
        <v>153</v>
      </c>
      <c r="CR125" t="s">
        <v>153</v>
      </c>
      <c r="CS125" t="s">
        <v>153</v>
      </c>
      <c r="CT125" t="s">
        <v>153</v>
      </c>
      <c r="CU125" t="s">
        <v>153</v>
      </c>
      <c r="CV125" t="s">
        <v>153</v>
      </c>
      <c r="CW125" t="s">
        <v>153</v>
      </c>
      <c r="CX125" t="s">
        <v>153</v>
      </c>
      <c r="CY125" t="s">
        <v>153</v>
      </c>
      <c r="CZ125" t="s">
        <v>153</v>
      </c>
      <c r="DA125" t="s">
        <v>153</v>
      </c>
      <c r="DB125" t="s">
        <v>153</v>
      </c>
      <c r="DC125" t="s">
        <v>153</v>
      </c>
      <c r="DD125" t="s">
        <v>153</v>
      </c>
      <c r="DE125" t="s">
        <v>153</v>
      </c>
      <c r="DF125" t="s">
        <v>153</v>
      </c>
      <c r="DG125" t="s">
        <v>153</v>
      </c>
      <c r="DI125" t="s">
        <v>153</v>
      </c>
      <c r="DJ125" t="s">
        <v>153</v>
      </c>
      <c r="DK125" t="s">
        <v>153</v>
      </c>
      <c r="DL125" t="s">
        <v>153</v>
      </c>
      <c r="DN125" t="s">
        <v>153</v>
      </c>
      <c r="DO125" t="s">
        <v>153</v>
      </c>
      <c r="DP125" t="s">
        <v>153</v>
      </c>
      <c r="DQ125" t="s">
        <v>153</v>
      </c>
      <c r="DR125" t="s">
        <v>153</v>
      </c>
      <c r="DS125" t="s">
        <v>153</v>
      </c>
      <c r="DT125" t="s">
        <v>153</v>
      </c>
      <c r="DU125" t="s">
        <v>153</v>
      </c>
      <c r="DV125" t="s">
        <v>153</v>
      </c>
      <c r="DW125" t="s">
        <v>153</v>
      </c>
      <c r="DX125" s="2"/>
      <c r="DY125" t="s">
        <v>153</v>
      </c>
      <c r="DZ125" t="s">
        <v>153</v>
      </c>
      <c r="EA125" t="s">
        <v>153</v>
      </c>
      <c r="EB125" t="s">
        <v>153</v>
      </c>
      <c r="EC125" t="s">
        <v>153</v>
      </c>
      <c r="ED125" t="s">
        <v>153</v>
      </c>
      <c r="EE125" t="s">
        <v>153</v>
      </c>
      <c r="EF125" t="s">
        <v>153</v>
      </c>
      <c r="EH125" t="s">
        <v>153</v>
      </c>
      <c r="EI125" t="s">
        <v>153</v>
      </c>
      <c r="EJ125" t="s">
        <v>153</v>
      </c>
      <c r="EK125" t="s">
        <v>153</v>
      </c>
      <c r="EM125" t="s">
        <v>153</v>
      </c>
      <c r="EN125" t="s">
        <v>153</v>
      </c>
      <c r="EP125" s="4" t="s">
        <v>242</v>
      </c>
      <c r="EQ125" s="4" t="s">
        <v>153</v>
      </c>
      <c r="ER125" s="4" t="s">
        <v>205</v>
      </c>
      <c r="ES125" s="4" t="s">
        <v>153</v>
      </c>
      <c r="ET125" t="s">
        <v>1816</v>
      </c>
      <c r="EU125" t="s">
        <v>1801</v>
      </c>
      <c r="EV125" t="s">
        <v>1802</v>
      </c>
      <c r="EW125">
        <v>1177003125</v>
      </c>
      <c r="EX125" t="s">
        <v>1803</v>
      </c>
    </row>
    <row r="126" spans="1:154" x14ac:dyDescent="0.25">
      <c r="A126" s="3">
        <v>45300.469270833331</v>
      </c>
      <c r="B126" s="4" t="s">
        <v>153</v>
      </c>
      <c r="C126" s="4" t="s">
        <v>892</v>
      </c>
      <c r="D126" s="4" t="s">
        <v>893</v>
      </c>
      <c r="E126" s="4" t="s">
        <v>894</v>
      </c>
      <c r="F126" s="4" t="s">
        <v>895</v>
      </c>
      <c r="G126" s="4" t="s">
        <v>948</v>
      </c>
      <c r="H126" s="4" t="s">
        <v>542</v>
      </c>
      <c r="I126" s="4" t="s">
        <v>153</v>
      </c>
      <c r="J126" s="4" t="s">
        <v>1817</v>
      </c>
      <c r="K126" s="5">
        <v>45292</v>
      </c>
      <c r="L126" s="4" t="s">
        <v>327</v>
      </c>
      <c r="M126" s="4" t="s">
        <v>975</v>
      </c>
      <c r="N126" s="4" t="s">
        <v>153</v>
      </c>
      <c r="O126" s="4" t="s">
        <v>977</v>
      </c>
      <c r="P126" s="4" t="s">
        <v>978</v>
      </c>
      <c r="Q126" s="4" t="s">
        <v>153</v>
      </c>
      <c r="R126" s="4" t="s">
        <v>191</v>
      </c>
      <c r="S126" s="4" t="s">
        <v>1818</v>
      </c>
      <c r="T126" s="4" t="s">
        <v>153</v>
      </c>
      <c r="U126" s="4" t="s">
        <v>1819</v>
      </c>
      <c r="V126" s="4" t="s">
        <v>153</v>
      </c>
      <c r="W126" s="4" t="s">
        <v>981</v>
      </c>
      <c r="X126" s="4" t="s">
        <v>722</v>
      </c>
      <c r="Y126" s="4" t="s">
        <v>982</v>
      </c>
      <c r="Z126" s="4" t="s">
        <v>237</v>
      </c>
      <c r="AA126" s="4" t="s">
        <v>1819</v>
      </c>
      <c r="AB126" s="4" t="s">
        <v>153</v>
      </c>
      <c r="AC126" s="4" t="s">
        <v>981</v>
      </c>
      <c r="AD126" s="4" t="s">
        <v>722</v>
      </c>
      <c r="AE126" s="4" t="s">
        <v>982</v>
      </c>
      <c r="AF126" s="4" t="s">
        <v>983</v>
      </c>
      <c r="AG126" s="4" t="s">
        <v>984</v>
      </c>
      <c r="AH126" s="4" t="s">
        <v>153</v>
      </c>
      <c r="AI126" s="5"/>
      <c r="AJ126" t="s">
        <v>153</v>
      </c>
      <c r="AK126" s="4"/>
      <c r="AL126" t="s">
        <v>153</v>
      </c>
      <c r="AM126" t="s">
        <v>153</v>
      </c>
      <c r="AO126" t="s">
        <v>153</v>
      </c>
      <c r="AP126" s="4"/>
      <c r="AQ126" t="s">
        <v>153</v>
      </c>
      <c r="AR126" s="5"/>
      <c r="AT126" s="4" t="s">
        <v>153</v>
      </c>
      <c r="AU126" s="4" t="s">
        <v>153</v>
      </c>
      <c r="AV126" s="4" t="s">
        <v>153</v>
      </c>
      <c r="AW126" t="s">
        <v>153</v>
      </c>
      <c r="AX126" t="s">
        <v>153</v>
      </c>
      <c r="AY126" t="s">
        <v>153</v>
      </c>
      <c r="AZ126" t="s">
        <v>153</v>
      </c>
      <c r="BA126" t="s">
        <v>153</v>
      </c>
      <c r="BB126" t="s">
        <v>153</v>
      </c>
      <c r="BC126" t="s">
        <v>153</v>
      </c>
      <c r="BD126" s="4" t="s">
        <v>153</v>
      </c>
      <c r="BE126" s="4" t="s">
        <v>153</v>
      </c>
      <c r="BF126" t="s">
        <v>153</v>
      </c>
      <c r="BG126" s="4" t="s">
        <v>153</v>
      </c>
      <c r="BH126" t="s">
        <v>153</v>
      </c>
      <c r="BI126" s="4" t="s">
        <v>153</v>
      </c>
      <c r="BJ126" t="s">
        <v>153</v>
      </c>
      <c r="BK126" s="4" t="s">
        <v>153</v>
      </c>
      <c r="BL126" t="s">
        <v>153</v>
      </c>
      <c r="BM126" t="s">
        <v>153</v>
      </c>
      <c r="BN126" s="4" t="s">
        <v>153</v>
      </c>
      <c r="BO126" s="4" t="s">
        <v>153</v>
      </c>
      <c r="BP126" s="4" t="s">
        <v>153</v>
      </c>
      <c r="BQ126" s="4" t="s">
        <v>153</v>
      </c>
      <c r="BR126" s="4" t="s">
        <v>153</v>
      </c>
      <c r="BS126" s="4" t="s">
        <v>153</v>
      </c>
      <c r="BT126" s="4" t="s">
        <v>153</v>
      </c>
      <c r="BU126" s="4" t="s">
        <v>153</v>
      </c>
      <c r="BV126" s="4"/>
      <c r="BW126" s="4" t="s">
        <v>153</v>
      </c>
      <c r="BX126" s="4" t="s">
        <v>153</v>
      </c>
      <c r="BY126" s="4" t="s">
        <v>153</v>
      </c>
      <c r="BZ126" s="4" t="s">
        <v>153</v>
      </c>
      <c r="CA126" s="4" t="s">
        <v>153</v>
      </c>
      <c r="CB126" s="4"/>
      <c r="CC126" s="4" t="s">
        <v>153</v>
      </c>
      <c r="CD126" t="s">
        <v>153</v>
      </c>
      <c r="CE126" s="4" t="s">
        <v>153</v>
      </c>
      <c r="CF126" s="4" t="s">
        <v>153</v>
      </c>
      <c r="CG126" s="4" t="s">
        <v>153</v>
      </c>
      <c r="CH126" s="5"/>
      <c r="CI126" t="s">
        <v>153</v>
      </c>
      <c r="CJ126" s="4"/>
      <c r="CK126" t="s">
        <v>153</v>
      </c>
      <c r="CL126" t="s">
        <v>153</v>
      </c>
      <c r="CM126" t="s">
        <v>153</v>
      </c>
      <c r="CN126" t="s">
        <v>153</v>
      </c>
      <c r="CO126" s="5"/>
      <c r="CP126" s="4" t="s">
        <v>153</v>
      </c>
      <c r="CQ126" s="4" t="s">
        <v>153</v>
      </c>
      <c r="CR126" t="s">
        <v>153</v>
      </c>
      <c r="CS126" t="s">
        <v>153</v>
      </c>
      <c r="CT126" t="s">
        <v>153</v>
      </c>
      <c r="CU126" t="s">
        <v>153</v>
      </c>
      <c r="CV126" t="s">
        <v>153</v>
      </c>
      <c r="CW126" t="s">
        <v>153</v>
      </c>
      <c r="CX126" t="s">
        <v>153</v>
      </c>
      <c r="CY126" t="s">
        <v>153</v>
      </c>
      <c r="CZ126" t="s">
        <v>153</v>
      </c>
      <c r="DA126" t="s">
        <v>153</v>
      </c>
      <c r="DB126" t="s">
        <v>153</v>
      </c>
      <c r="DC126" t="s">
        <v>153</v>
      </c>
      <c r="DD126" t="s">
        <v>153</v>
      </c>
      <c r="DE126" t="s">
        <v>153</v>
      </c>
      <c r="DF126" t="s">
        <v>153</v>
      </c>
      <c r="DG126" t="s">
        <v>153</v>
      </c>
      <c r="DI126" t="s">
        <v>153</v>
      </c>
      <c r="DJ126" t="s">
        <v>153</v>
      </c>
      <c r="DK126" t="s">
        <v>153</v>
      </c>
      <c r="DL126" t="s">
        <v>153</v>
      </c>
      <c r="DN126" t="s">
        <v>153</v>
      </c>
      <c r="DO126" t="s">
        <v>153</v>
      </c>
      <c r="DP126" t="s">
        <v>153</v>
      </c>
      <c r="DQ126" t="s">
        <v>153</v>
      </c>
      <c r="DR126" t="s">
        <v>153</v>
      </c>
      <c r="DS126" t="s">
        <v>153</v>
      </c>
      <c r="DT126" t="s">
        <v>153</v>
      </c>
      <c r="DU126" t="s">
        <v>153</v>
      </c>
      <c r="DV126" t="s">
        <v>153</v>
      </c>
      <c r="DW126" t="s">
        <v>153</v>
      </c>
      <c r="DX126" s="2"/>
      <c r="DY126" t="s">
        <v>153</v>
      </c>
      <c r="DZ126" t="s">
        <v>153</v>
      </c>
      <c r="EA126" t="s">
        <v>153</v>
      </c>
      <c r="EB126" t="s">
        <v>153</v>
      </c>
      <c r="EC126" t="s">
        <v>153</v>
      </c>
      <c r="ED126" t="s">
        <v>153</v>
      </c>
      <c r="EE126" t="s">
        <v>153</v>
      </c>
      <c r="EF126" t="s">
        <v>153</v>
      </c>
      <c r="EH126" t="s">
        <v>153</v>
      </c>
      <c r="EI126" t="s">
        <v>153</v>
      </c>
      <c r="EJ126" t="s">
        <v>153</v>
      </c>
      <c r="EK126" t="s">
        <v>153</v>
      </c>
      <c r="EM126" t="s">
        <v>153</v>
      </c>
      <c r="EN126" t="s">
        <v>153</v>
      </c>
      <c r="EP126" s="4" t="s">
        <v>153</v>
      </c>
      <c r="EQ126" s="4" t="s">
        <v>153</v>
      </c>
      <c r="ER126" s="4" t="s">
        <v>153</v>
      </c>
      <c r="ES126" s="4" t="s">
        <v>153</v>
      </c>
      <c r="ET126" t="s">
        <v>153</v>
      </c>
      <c r="EU126" t="s">
        <v>1792</v>
      </c>
      <c r="EV126" t="s">
        <v>909</v>
      </c>
      <c r="EW126">
        <v>1181976113</v>
      </c>
      <c r="EX126" t="s">
        <v>1093</v>
      </c>
    </row>
    <row r="127" spans="1:154" x14ac:dyDescent="0.25">
      <c r="A127" s="3">
        <v>45300.479004629633</v>
      </c>
      <c r="B127" s="4" t="s">
        <v>153</v>
      </c>
      <c r="C127" s="4" t="s">
        <v>1820</v>
      </c>
      <c r="D127" s="4" t="s">
        <v>1821</v>
      </c>
      <c r="E127" s="4" t="s">
        <v>1822</v>
      </c>
      <c r="F127" s="4" t="s">
        <v>1823</v>
      </c>
      <c r="G127" s="4" t="s">
        <v>948</v>
      </c>
      <c r="H127" s="4" t="s">
        <v>542</v>
      </c>
      <c r="I127" s="4" t="s">
        <v>153</v>
      </c>
      <c r="J127" s="4" t="s">
        <v>1824</v>
      </c>
      <c r="K127" s="5">
        <v>45292</v>
      </c>
      <c r="L127" s="4" t="s">
        <v>327</v>
      </c>
      <c r="M127" s="4" t="s">
        <v>1825</v>
      </c>
      <c r="N127" s="4" t="s">
        <v>1826</v>
      </c>
      <c r="O127" s="4" t="s">
        <v>1827</v>
      </c>
      <c r="P127" s="4" t="s">
        <v>1828</v>
      </c>
      <c r="Q127" s="4" t="s">
        <v>153</v>
      </c>
      <c r="R127" s="4" t="s">
        <v>191</v>
      </c>
      <c r="S127" s="4" t="s">
        <v>1829</v>
      </c>
      <c r="T127" s="4" t="s">
        <v>153</v>
      </c>
      <c r="U127" s="4" t="s">
        <v>1830</v>
      </c>
      <c r="V127" s="4" t="s">
        <v>153</v>
      </c>
      <c r="W127" s="4" t="s">
        <v>1831</v>
      </c>
      <c r="X127" s="4" t="s">
        <v>722</v>
      </c>
      <c r="Y127" s="4" t="s">
        <v>1832</v>
      </c>
      <c r="Z127" s="4" t="s">
        <v>197</v>
      </c>
      <c r="AA127" s="4" t="s">
        <v>1833</v>
      </c>
      <c r="AB127" s="4" t="s">
        <v>153</v>
      </c>
      <c r="AC127" s="4" t="s">
        <v>1834</v>
      </c>
      <c r="AD127" s="4" t="s">
        <v>722</v>
      </c>
      <c r="AE127" s="4" t="s">
        <v>1835</v>
      </c>
      <c r="AF127" s="4" t="s">
        <v>1836</v>
      </c>
      <c r="AG127" s="4" t="s">
        <v>1837</v>
      </c>
      <c r="AH127" s="4" t="s">
        <v>153</v>
      </c>
      <c r="AI127" s="5"/>
      <c r="AJ127" t="s">
        <v>153</v>
      </c>
      <c r="AK127" s="4"/>
      <c r="AL127" t="s">
        <v>153</v>
      </c>
      <c r="AM127" t="s">
        <v>153</v>
      </c>
      <c r="AO127" t="s">
        <v>153</v>
      </c>
      <c r="AP127" s="4"/>
      <c r="AQ127" t="s">
        <v>153</v>
      </c>
      <c r="AR127" s="5"/>
      <c r="AT127" s="4" t="s">
        <v>153</v>
      </c>
      <c r="AU127" s="4" t="s">
        <v>153</v>
      </c>
      <c r="AV127" s="4" t="s">
        <v>153</v>
      </c>
      <c r="AW127" t="s">
        <v>153</v>
      </c>
      <c r="AX127" t="s">
        <v>153</v>
      </c>
      <c r="AY127" t="s">
        <v>153</v>
      </c>
      <c r="AZ127" t="s">
        <v>153</v>
      </c>
      <c r="BA127" t="s">
        <v>153</v>
      </c>
      <c r="BB127" t="s">
        <v>153</v>
      </c>
      <c r="BC127" t="s">
        <v>153</v>
      </c>
      <c r="BD127" s="4" t="s">
        <v>153</v>
      </c>
      <c r="BE127" s="4" t="s">
        <v>153</v>
      </c>
      <c r="BF127" t="s">
        <v>153</v>
      </c>
      <c r="BG127" s="4" t="s">
        <v>153</v>
      </c>
      <c r="BH127" t="s">
        <v>153</v>
      </c>
      <c r="BI127" s="4" t="s">
        <v>153</v>
      </c>
      <c r="BJ127" t="s">
        <v>153</v>
      </c>
      <c r="BK127" s="4" t="s">
        <v>153</v>
      </c>
      <c r="BL127" t="s">
        <v>153</v>
      </c>
      <c r="BM127" t="s">
        <v>153</v>
      </c>
      <c r="BN127" s="4" t="s">
        <v>153</v>
      </c>
      <c r="BO127" s="4" t="s">
        <v>153</v>
      </c>
      <c r="BP127" s="4" t="s">
        <v>153</v>
      </c>
      <c r="BQ127" s="4" t="s">
        <v>153</v>
      </c>
      <c r="BR127" s="4" t="s">
        <v>153</v>
      </c>
      <c r="BS127" s="4" t="s">
        <v>153</v>
      </c>
      <c r="BT127" s="4" t="s">
        <v>153</v>
      </c>
      <c r="BU127" s="4" t="s">
        <v>153</v>
      </c>
      <c r="BV127" s="4"/>
      <c r="BW127" s="4" t="s">
        <v>153</v>
      </c>
      <c r="BX127" s="4" t="s">
        <v>153</v>
      </c>
      <c r="BY127" s="4" t="s">
        <v>153</v>
      </c>
      <c r="BZ127" s="4" t="s">
        <v>153</v>
      </c>
      <c r="CA127" s="4" t="s">
        <v>153</v>
      </c>
      <c r="CB127" s="4"/>
      <c r="CC127" s="4" t="s">
        <v>153</v>
      </c>
      <c r="CD127" t="s">
        <v>153</v>
      </c>
      <c r="CE127" s="4" t="s">
        <v>153</v>
      </c>
      <c r="CF127" s="4" t="s">
        <v>153</v>
      </c>
      <c r="CG127" s="4" t="s">
        <v>153</v>
      </c>
      <c r="CH127" s="5"/>
      <c r="CI127" t="s">
        <v>153</v>
      </c>
      <c r="CJ127" s="4"/>
      <c r="CK127" t="s">
        <v>153</v>
      </c>
      <c r="CL127" t="s">
        <v>153</v>
      </c>
      <c r="CM127" t="s">
        <v>153</v>
      </c>
      <c r="CN127" t="s">
        <v>153</v>
      </c>
      <c r="CO127" s="5"/>
      <c r="CP127" s="4" t="s">
        <v>153</v>
      </c>
      <c r="CQ127" s="4" t="s">
        <v>153</v>
      </c>
      <c r="CR127" t="s">
        <v>153</v>
      </c>
      <c r="CS127" t="s">
        <v>153</v>
      </c>
      <c r="CT127" t="s">
        <v>153</v>
      </c>
      <c r="CU127" t="s">
        <v>153</v>
      </c>
      <c r="CV127" t="s">
        <v>153</v>
      </c>
      <c r="CW127" t="s">
        <v>153</v>
      </c>
      <c r="CX127" t="s">
        <v>153</v>
      </c>
      <c r="CY127" t="s">
        <v>153</v>
      </c>
      <c r="CZ127" t="s">
        <v>153</v>
      </c>
      <c r="DA127" t="s">
        <v>153</v>
      </c>
      <c r="DB127" t="s">
        <v>153</v>
      </c>
      <c r="DC127" t="s">
        <v>153</v>
      </c>
      <c r="DD127" t="s">
        <v>153</v>
      </c>
      <c r="DE127" t="s">
        <v>153</v>
      </c>
      <c r="DF127" t="s">
        <v>153</v>
      </c>
      <c r="DG127" t="s">
        <v>153</v>
      </c>
      <c r="DI127" t="s">
        <v>153</v>
      </c>
      <c r="DJ127" t="s">
        <v>153</v>
      </c>
      <c r="DK127" t="s">
        <v>153</v>
      </c>
      <c r="DL127" t="s">
        <v>153</v>
      </c>
      <c r="DN127" t="s">
        <v>153</v>
      </c>
      <c r="DO127" t="s">
        <v>153</v>
      </c>
      <c r="DP127" t="s">
        <v>153</v>
      </c>
      <c r="DQ127" t="s">
        <v>153</v>
      </c>
      <c r="DR127" t="s">
        <v>153</v>
      </c>
      <c r="DS127" t="s">
        <v>153</v>
      </c>
      <c r="DT127" t="s">
        <v>153</v>
      </c>
      <c r="DU127" t="s">
        <v>153</v>
      </c>
      <c r="DV127" t="s">
        <v>153</v>
      </c>
      <c r="DW127" t="s">
        <v>153</v>
      </c>
      <c r="DX127" s="2"/>
      <c r="DY127" t="s">
        <v>153</v>
      </c>
      <c r="DZ127" t="s">
        <v>153</v>
      </c>
      <c r="EA127" t="s">
        <v>153</v>
      </c>
      <c r="EB127" t="s">
        <v>153</v>
      </c>
      <c r="EC127" t="s">
        <v>153</v>
      </c>
      <c r="ED127" t="s">
        <v>153</v>
      </c>
      <c r="EE127" t="s">
        <v>153</v>
      </c>
      <c r="EF127" t="s">
        <v>153</v>
      </c>
      <c r="EH127" t="s">
        <v>153</v>
      </c>
      <c r="EI127" t="s">
        <v>153</v>
      </c>
      <c r="EJ127" t="s">
        <v>153</v>
      </c>
      <c r="EK127" t="s">
        <v>153</v>
      </c>
      <c r="EM127" t="s">
        <v>153</v>
      </c>
      <c r="EN127" t="s">
        <v>153</v>
      </c>
      <c r="EP127" s="4" t="s">
        <v>153</v>
      </c>
      <c r="EQ127" s="4" t="s">
        <v>153</v>
      </c>
      <c r="ER127" s="4" t="s">
        <v>153</v>
      </c>
      <c r="ES127" s="4" t="s">
        <v>153</v>
      </c>
      <c r="ET127" t="s">
        <v>153</v>
      </c>
      <c r="EU127" t="s">
        <v>1801</v>
      </c>
      <c r="EV127" t="s">
        <v>909</v>
      </c>
      <c r="EW127">
        <v>1181982624</v>
      </c>
      <c r="EX127" t="s">
        <v>1093</v>
      </c>
    </row>
    <row r="128" spans="1:154" x14ac:dyDescent="0.25">
      <c r="A128" s="3">
        <v>45300.499710648146</v>
      </c>
      <c r="B128" s="4" t="s">
        <v>153</v>
      </c>
      <c r="C128" s="4" t="s">
        <v>1820</v>
      </c>
      <c r="D128" s="4" t="s">
        <v>1821</v>
      </c>
      <c r="E128" s="4" t="s">
        <v>1822</v>
      </c>
      <c r="F128" s="4" t="s">
        <v>1823</v>
      </c>
      <c r="G128" s="4" t="s">
        <v>948</v>
      </c>
      <c r="H128" s="4" t="s">
        <v>542</v>
      </c>
      <c r="I128" s="4" t="s">
        <v>153</v>
      </c>
      <c r="J128" s="4" t="s">
        <v>1824</v>
      </c>
      <c r="K128" s="5">
        <v>45292</v>
      </c>
      <c r="L128" s="4" t="s">
        <v>327</v>
      </c>
      <c r="M128" s="4" t="s">
        <v>1826</v>
      </c>
      <c r="N128" s="4" t="s">
        <v>1826</v>
      </c>
      <c r="O128" s="4" t="s">
        <v>1827</v>
      </c>
      <c r="P128" s="4" t="s">
        <v>1828</v>
      </c>
      <c r="Q128" s="4" t="s">
        <v>153</v>
      </c>
      <c r="R128" s="4" t="s">
        <v>191</v>
      </c>
      <c r="S128" s="4" t="s">
        <v>1829</v>
      </c>
      <c r="T128" s="4" t="s">
        <v>153</v>
      </c>
      <c r="U128" s="4" t="s">
        <v>1830</v>
      </c>
      <c r="V128" s="4" t="s">
        <v>153</v>
      </c>
      <c r="W128" s="4" t="s">
        <v>1831</v>
      </c>
      <c r="X128" s="4" t="s">
        <v>722</v>
      </c>
      <c r="Y128" s="4" t="s">
        <v>1832</v>
      </c>
      <c r="Z128" s="4" t="s">
        <v>197</v>
      </c>
      <c r="AA128" s="4" t="s">
        <v>1830</v>
      </c>
      <c r="AB128" s="4" t="s">
        <v>153</v>
      </c>
      <c r="AC128" s="4" t="s">
        <v>1831</v>
      </c>
      <c r="AD128" s="4" t="s">
        <v>722</v>
      </c>
      <c r="AE128" s="4" t="s">
        <v>1832</v>
      </c>
      <c r="AF128" s="4" t="s">
        <v>1836</v>
      </c>
      <c r="AG128" s="4" t="s">
        <v>1837</v>
      </c>
      <c r="AH128" s="4" t="s">
        <v>153</v>
      </c>
      <c r="AI128" s="5"/>
      <c r="AJ128" t="s">
        <v>153</v>
      </c>
      <c r="AK128" s="4"/>
      <c r="AL128" t="s">
        <v>153</v>
      </c>
      <c r="AM128" t="s">
        <v>153</v>
      </c>
      <c r="AO128" t="s">
        <v>153</v>
      </c>
      <c r="AP128" s="4"/>
      <c r="AQ128" t="s">
        <v>153</v>
      </c>
      <c r="AR128" s="5"/>
      <c r="AT128" s="4" t="s">
        <v>153</v>
      </c>
      <c r="AU128" s="4" t="s">
        <v>153</v>
      </c>
      <c r="AV128" s="4" t="s">
        <v>153</v>
      </c>
      <c r="AW128" t="s">
        <v>153</v>
      </c>
      <c r="AX128" t="s">
        <v>153</v>
      </c>
      <c r="AY128" t="s">
        <v>153</v>
      </c>
      <c r="AZ128" t="s">
        <v>153</v>
      </c>
      <c r="BA128" t="s">
        <v>153</v>
      </c>
      <c r="BB128" t="s">
        <v>153</v>
      </c>
      <c r="BC128" t="s">
        <v>153</v>
      </c>
      <c r="BD128" s="4" t="s">
        <v>153</v>
      </c>
      <c r="BE128" s="4" t="s">
        <v>153</v>
      </c>
      <c r="BF128" t="s">
        <v>153</v>
      </c>
      <c r="BG128" s="4" t="s">
        <v>153</v>
      </c>
      <c r="BH128" t="s">
        <v>153</v>
      </c>
      <c r="BI128" s="4" t="s">
        <v>153</v>
      </c>
      <c r="BJ128" t="s">
        <v>153</v>
      </c>
      <c r="BK128" s="4" t="s">
        <v>153</v>
      </c>
      <c r="BL128" t="s">
        <v>153</v>
      </c>
      <c r="BM128" t="s">
        <v>153</v>
      </c>
      <c r="BN128" s="4" t="s">
        <v>153</v>
      </c>
      <c r="BO128" s="4" t="s">
        <v>153</v>
      </c>
      <c r="BP128" s="4" t="s">
        <v>153</v>
      </c>
      <c r="BQ128" s="4" t="s">
        <v>153</v>
      </c>
      <c r="BR128" s="4" t="s">
        <v>153</v>
      </c>
      <c r="BS128" s="4" t="s">
        <v>153</v>
      </c>
      <c r="BT128" s="4" t="s">
        <v>153</v>
      </c>
      <c r="BU128" s="4" t="s">
        <v>153</v>
      </c>
      <c r="BV128" s="4"/>
      <c r="BW128" s="4" t="s">
        <v>153</v>
      </c>
      <c r="BX128" s="4" t="s">
        <v>153</v>
      </c>
      <c r="BY128" s="4" t="s">
        <v>153</v>
      </c>
      <c r="BZ128" s="4" t="s">
        <v>153</v>
      </c>
      <c r="CA128" s="4" t="s">
        <v>153</v>
      </c>
      <c r="CB128" s="4"/>
      <c r="CC128" s="4" t="s">
        <v>153</v>
      </c>
      <c r="CD128" t="s">
        <v>153</v>
      </c>
      <c r="CE128" s="4" t="s">
        <v>153</v>
      </c>
      <c r="CF128" s="4" t="s">
        <v>153</v>
      </c>
      <c r="CG128" s="4" t="s">
        <v>153</v>
      </c>
      <c r="CH128" s="5"/>
      <c r="CI128" t="s">
        <v>153</v>
      </c>
      <c r="CJ128" s="4"/>
      <c r="CK128" t="s">
        <v>153</v>
      </c>
      <c r="CL128" t="s">
        <v>153</v>
      </c>
      <c r="CM128" t="s">
        <v>153</v>
      </c>
      <c r="CN128" t="s">
        <v>153</v>
      </c>
      <c r="CO128" s="5"/>
      <c r="CP128" s="4" t="s">
        <v>153</v>
      </c>
      <c r="CQ128" s="4" t="s">
        <v>153</v>
      </c>
      <c r="CR128" t="s">
        <v>153</v>
      </c>
      <c r="CS128" t="s">
        <v>153</v>
      </c>
      <c r="CT128" t="s">
        <v>153</v>
      </c>
      <c r="CU128" t="s">
        <v>153</v>
      </c>
      <c r="CV128" t="s">
        <v>153</v>
      </c>
      <c r="CW128" t="s">
        <v>153</v>
      </c>
      <c r="CX128" t="s">
        <v>153</v>
      </c>
      <c r="CY128" t="s">
        <v>153</v>
      </c>
      <c r="CZ128" t="s">
        <v>153</v>
      </c>
      <c r="DA128" t="s">
        <v>153</v>
      </c>
      <c r="DB128" t="s">
        <v>153</v>
      </c>
      <c r="DC128" t="s">
        <v>153</v>
      </c>
      <c r="DD128" t="s">
        <v>153</v>
      </c>
      <c r="DE128" t="s">
        <v>153</v>
      </c>
      <c r="DF128" t="s">
        <v>153</v>
      </c>
      <c r="DG128" t="s">
        <v>153</v>
      </c>
      <c r="DI128" t="s">
        <v>153</v>
      </c>
      <c r="DJ128" t="s">
        <v>153</v>
      </c>
      <c r="DK128" t="s">
        <v>153</v>
      </c>
      <c r="DL128" t="s">
        <v>153</v>
      </c>
      <c r="DN128" t="s">
        <v>153</v>
      </c>
      <c r="DO128" t="s">
        <v>153</v>
      </c>
      <c r="DP128" t="s">
        <v>153</v>
      </c>
      <c r="DQ128" t="s">
        <v>153</v>
      </c>
      <c r="DR128" t="s">
        <v>153</v>
      </c>
      <c r="DS128" t="s">
        <v>153</v>
      </c>
      <c r="DT128" t="s">
        <v>153</v>
      </c>
      <c r="DU128" t="s">
        <v>153</v>
      </c>
      <c r="DV128" t="s">
        <v>153</v>
      </c>
      <c r="DW128" t="s">
        <v>153</v>
      </c>
      <c r="DX128" s="2"/>
      <c r="DY128" t="s">
        <v>153</v>
      </c>
      <c r="DZ128" t="s">
        <v>153</v>
      </c>
      <c r="EA128" t="s">
        <v>153</v>
      </c>
      <c r="EB128" t="s">
        <v>153</v>
      </c>
      <c r="EC128" t="s">
        <v>153</v>
      </c>
      <c r="ED128" t="s">
        <v>153</v>
      </c>
      <c r="EE128" t="s">
        <v>153</v>
      </c>
      <c r="EF128" t="s">
        <v>153</v>
      </c>
      <c r="EH128" t="s">
        <v>153</v>
      </c>
      <c r="EI128" t="s">
        <v>153</v>
      </c>
      <c r="EJ128" t="s">
        <v>153</v>
      </c>
      <c r="EK128" t="s">
        <v>153</v>
      </c>
      <c r="EM128" t="s">
        <v>153</v>
      </c>
      <c r="EN128" t="s">
        <v>153</v>
      </c>
      <c r="EP128" s="4" t="s">
        <v>153</v>
      </c>
      <c r="EQ128" s="4" t="s">
        <v>153</v>
      </c>
      <c r="ER128" s="4" t="s">
        <v>153</v>
      </c>
      <c r="ES128" s="4" t="s">
        <v>153</v>
      </c>
      <c r="ET128" t="s">
        <v>153</v>
      </c>
      <c r="EU128" t="s">
        <v>1801</v>
      </c>
      <c r="EV128" t="s">
        <v>909</v>
      </c>
      <c r="EW128">
        <v>1181997933</v>
      </c>
      <c r="EX128" t="s">
        <v>1093</v>
      </c>
    </row>
    <row r="129" spans="1:154" x14ac:dyDescent="0.25">
      <c r="A129" s="3">
        <v>45300.550937499997</v>
      </c>
      <c r="B129" s="4" t="s">
        <v>153</v>
      </c>
      <c r="C129" s="4" t="s">
        <v>1820</v>
      </c>
      <c r="D129" s="4" t="s">
        <v>1821</v>
      </c>
      <c r="E129" s="4" t="s">
        <v>1822</v>
      </c>
      <c r="F129" s="4" t="s">
        <v>1823</v>
      </c>
      <c r="G129" s="4" t="s">
        <v>948</v>
      </c>
      <c r="H129" s="4" t="s">
        <v>542</v>
      </c>
      <c r="I129" s="4" t="s">
        <v>153</v>
      </c>
      <c r="J129" s="4" t="s">
        <v>1838</v>
      </c>
      <c r="K129" s="5">
        <v>45292</v>
      </c>
      <c r="L129" s="4" t="s">
        <v>327</v>
      </c>
      <c r="M129" s="4" t="s">
        <v>1839</v>
      </c>
      <c r="N129" s="4" t="s">
        <v>153</v>
      </c>
      <c r="O129" s="4" t="s">
        <v>897</v>
      </c>
      <c r="P129" s="4" t="s">
        <v>898</v>
      </c>
      <c r="Q129" s="4" t="s">
        <v>153</v>
      </c>
      <c r="R129" s="4" t="s">
        <v>191</v>
      </c>
      <c r="S129" s="4" t="s">
        <v>899</v>
      </c>
      <c r="T129" s="4" t="s">
        <v>153</v>
      </c>
      <c r="U129" s="4" t="s">
        <v>900</v>
      </c>
      <c r="V129" s="4" t="s">
        <v>153</v>
      </c>
      <c r="W129" s="4" t="s">
        <v>1840</v>
      </c>
      <c r="X129" s="4" t="s">
        <v>902</v>
      </c>
      <c r="Y129" s="4" t="s">
        <v>903</v>
      </c>
      <c r="Z129" s="4" t="s">
        <v>197</v>
      </c>
      <c r="AA129" s="4" t="s">
        <v>900</v>
      </c>
      <c r="AB129" s="4" t="s">
        <v>153</v>
      </c>
      <c r="AC129" s="4" t="s">
        <v>1840</v>
      </c>
      <c r="AD129" s="4" t="s">
        <v>902</v>
      </c>
      <c r="AE129" s="4" t="s">
        <v>903</v>
      </c>
      <c r="AF129" s="4" t="s">
        <v>905</v>
      </c>
      <c r="AG129" s="4" t="s">
        <v>906</v>
      </c>
      <c r="AH129" s="4" t="s">
        <v>153</v>
      </c>
      <c r="AI129" s="5"/>
      <c r="AJ129" t="s">
        <v>153</v>
      </c>
      <c r="AK129" s="4"/>
      <c r="AL129" t="s">
        <v>153</v>
      </c>
      <c r="AM129" t="s">
        <v>153</v>
      </c>
      <c r="AO129" t="s">
        <v>153</v>
      </c>
      <c r="AP129" s="4"/>
      <c r="AQ129" t="s">
        <v>153</v>
      </c>
      <c r="AR129" s="5"/>
      <c r="AT129" s="4" t="s">
        <v>153</v>
      </c>
      <c r="AU129" s="4" t="s">
        <v>153</v>
      </c>
      <c r="AV129" s="4" t="s">
        <v>153</v>
      </c>
      <c r="AW129" t="s">
        <v>153</v>
      </c>
      <c r="AX129" t="s">
        <v>153</v>
      </c>
      <c r="AY129" t="s">
        <v>153</v>
      </c>
      <c r="AZ129" t="s">
        <v>153</v>
      </c>
      <c r="BA129" t="s">
        <v>153</v>
      </c>
      <c r="BB129" t="s">
        <v>153</v>
      </c>
      <c r="BC129" t="s">
        <v>153</v>
      </c>
      <c r="BD129" s="4" t="s">
        <v>153</v>
      </c>
      <c r="BE129" s="4" t="s">
        <v>153</v>
      </c>
      <c r="BF129" t="s">
        <v>153</v>
      </c>
      <c r="BG129" s="4" t="s">
        <v>153</v>
      </c>
      <c r="BH129" t="s">
        <v>153</v>
      </c>
      <c r="BI129" s="4" t="s">
        <v>153</v>
      </c>
      <c r="BJ129" t="s">
        <v>153</v>
      </c>
      <c r="BK129" s="4" t="s">
        <v>153</v>
      </c>
      <c r="BL129" t="s">
        <v>153</v>
      </c>
      <c r="BM129" t="s">
        <v>153</v>
      </c>
      <c r="BN129" s="4" t="s">
        <v>153</v>
      </c>
      <c r="BO129" s="4" t="s">
        <v>153</v>
      </c>
      <c r="BP129" s="4" t="s">
        <v>153</v>
      </c>
      <c r="BQ129" s="4" t="s">
        <v>153</v>
      </c>
      <c r="BR129" s="4" t="s">
        <v>153</v>
      </c>
      <c r="BS129" s="4" t="s">
        <v>153</v>
      </c>
      <c r="BT129" s="4" t="s">
        <v>153</v>
      </c>
      <c r="BU129" s="4" t="s">
        <v>153</v>
      </c>
      <c r="BV129" s="4"/>
      <c r="BW129" s="4" t="s">
        <v>153</v>
      </c>
      <c r="BX129" s="4" t="s">
        <v>153</v>
      </c>
      <c r="BY129" s="4" t="s">
        <v>153</v>
      </c>
      <c r="BZ129" s="4" t="s">
        <v>153</v>
      </c>
      <c r="CA129" s="4" t="s">
        <v>153</v>
      </c>
      <c r="CB129" s="4"/>
      <c r="CC129" s="4" t="s">
        <v>153</v>
      </c>
      <c r="CD129" t="s">
        <v>153</v>
      </c>
      <c r="CE129" s="4" t="s">
        <v>153</v>
      </c>
      <c r="CF129" s="4" t="s">
        <v>153</v>
      </c>
      <c r="CG129" s="4" t="s">
        <v>153</v>
      </c>
      <c r="CH129" s="5"/>
      <c r="CI129" t="s">
        <v>153</v>
      </c>
      <c r="CJ129" s="4"/>
      <c r="CK129" t="s">
        <v>153</v>
      </c>
      <c r="CL129" t="s">
        <v>153</v>
      </c>
      <c r="CM129" t="s">
        <v>153</v>
      </c>
      <c r="CN129" t="s">
        <v>153</v>
      </c>
      <c r="CO129" s="5"/>
      <c r="CP129" s="4" t="s">
        <v>153</v>
      </c>
      <c r="CQ129" s="4" t="s">
        <v>153</v>
      </c>
      <c r="CR129" t="s">
        <v>153</v>
      </c>
      <c r="CS129" t="s">
        <v>153</v>
      </c>
      <c r="CT129" t="s">
        <v>153</v>
      </c>
      <c r="CU129" t="s">
        <v>153</v>
      </c>
      <c r="CV129" t="s">
        <v>153</v>
      </c>
      <c r="CW129" t="s">
        <v>153</v>
      </c>
      <c r="CX129" t="s">
        <v>153</v>
      </c>
      <c r="CY129" t="s">
        <v>153</v>
      </c>
      <c r="CZ129" t="s">
        <v>153</v>
      </c>
      <c r="DA129" t="s">
        <v>153</v>
      </c>
      <c r="DB129" t="s">
        <v>153</v>
      </c>
      <c r="DC129" t="s">
        <v>153</v>
      </c>
      <c r="DD129" t="s">
        <v>153</v>
      </c>
      <c r="DE129" t="s">
        <v>153</v>
      </c>
      <c r="DF129" t="s">
        <v>153</v>
      </c>
      <c r="DG129" t="s">
        <v>153</v>
      </c>
      <c r="DI129" t="s">
        <v>153</v>
      </c>
      <c r="DJ129" t="s">
        <v>153</v>
      </c>
      <c r="DK129" t="s">
        <v>153</v>
      </c>
      <c r="DL129" t="s">
        <v>153</v>
      </c>
      <c r="DN129" t="s">
        <v>153</v>
      </c>
      <c r="DO129" t="s">
        <v>153</v>
      </c>
      <c r="DP129" t="s">
        <v>153</v>
      </c>
      <c r="DQ129" t="s">
        <v>153</v>
      </c>
      <c r="DR129" t="s">
        <v>153</v>
      </c>
      <c r="DS129" t="s">
        <v>153</v>
      </c>
      <c r="DT129" t="s">
        <v>153</v>
      </c>
      <c r="DU129" t="s">
        <v>153</v>
      </c>
      <c r="DV129" t="s">
        <v>153</v>
      </c>
      <c r="DW129" t="s">
        <v>153</v>
      </c>
      <c r="DX129" s="2"/>
      <c r="DY129" t="s">
        <v>153</v>
      </c>
      <c r="DZ129" t="s">
        <v>153</v>
      </c>
      <c r="EA129" t="s">
        <v>153</v>
      </c>
      <c r="EB129" t="s">
        <v>153</v>
      </c>
      <c r="EC129" t="s">
        <v>153</v>
      </c>
      <c r="ED129" t="s">
        <v>153</v>
      </c>
      <c r="EE129" t="s">
        <v>153</v>
      </c>
      <c r="EF129" t="s">
        <v>153</v>
      </c>
      <c r="EH129" t="s">
        <v>153</v>
      </c>
      <c r="EI129" t="s">
        <v>153</v>
      </c>
      <c r="EJ129" t="s">
        <v>153</v>
      </c>
      <c r="EK129" t="s">
        <v>153</v>
      </c>
      <c r="EM129" t="s">
        <v>153</v>
      </c>
      <c r="EN129" t="s">
        <v>153</v>
      </c>
      <c r="EP129" s="4" t="s">
        <v>153</v>
      </c>
      <c r="EQ129" s="4" t="s">
        <v>153</v>
      </c>
      <c r="ER129" s="4" t="s">
        <v>153</v>
      </c>
      <c r="ES129" s="4" t="s">
        <v>153</v>
      </c>
      <c r="ET129" t="s">
        <v>153</v>
      </c>
      <c r="EU129" t="s">
        <v>1801</v>
      </c>
      <c r="EV129" t="s">
        <v>909</v>
      </c>
      <c r="EW129">
        <v>1182034715</v>
      </c>
      <c r="EX129" t="s">
        <v>1093</v>
      </c>
    </row>
    <row r="130" spans="1:154" x14ac:dyDescent="0.25">
      <c r="A130" s="3">
        <v>45322.480509259258</v>
      </c>
      <c r="B130" s="4" t="s">
        <v>153</v>
      </c>
      <c r="C130" s="4" t="s">
        <v>892</v>
      </c>
      <c r="D130" s="4" t="s">
        <v>893</v>
      </c>
      <c r="E130" s="4" t="s">
        <v>894</v>
      </c>
      <c r="F130" s="4" t="s">
        <v>895</v>
      </c>
      <c r="G130" s="4" t="s">
        <v>185</v>
      </c>
      <c r="H130" s="4" t="s">
        <v>542</v>
      </c>
      <c r="I130" s="4" t="s">
        <v>153</v>
      </c>
      <c r="J130" s="4" t="s">
        <v>153</v>
      </c>
      <c r="K130" s="5"/>
      <c r="L130" s="4" t="s">
        <v>153</v>
      </c>
      <c r="M130" s="4" t="s">
        <v>1841</v>
      </c>
      <c r="N130" s="4" t="s">
        <v>153</v>
      </c>
      <c r="O130" s="4" t="s">
        <v>1842</v>
      </c>
      <c r="P130" s="4" t="s">
        <v>1843</v>
      </c>
      <c r="Q130" s="4" t="s">
        <v>327</v>
      </c>
      <c r="R130" s="4" t="s">
        <v>191</v>
      </c>
      <c r="S130" s="4" t="s">
        <v>1844</v>
      </c>
      <c r="T130" s="4" t="s">
        <v>153</v>
      </c>
      <c r="U130" s="4" t="s">
        <v>1845</v>
      </c>
      <c r="V130" s="4" t="s">
        <v>153</v>
      </c>
      <c r="W130" s="4" t="s">
        <v>1846</v>
      </c>
      <c r="X130" s="4" t="s">
        <v>1074</v>
      </c>
      <c r="Y130" s="4" t="s">
        <v>1847</v>
      </c>
      <c r="Z130" s="4" t="s">
        <v>1848</v>
      </c>
      <c r="AA130" s="4" t="s">
        <v>1849</v>
      </c>
      <c r="AB130" s="4" t="s">
        <v>1850</v>
      </c>
      <c r="AC130" s="4" t="s">
        <v>1851</v>
      </c>
      <c r="AD130" s="4" t="s">
        <v>1074</v>
      </c>
      <c r="AE130" s="4" t="s">
        <v>1852</v>
      </c>
      <c r="AF130" s="4" t="s">
        <v>1853</v>
      </c>
      <c r="AG130" s="4" t="s">
        <v>1854</v>
      </c>
      <c r="AH130" s="4" t="s">
        <v>153</v>
      </c>
      <c r="AI130" s="5">
        <v>45292</v>
      </c>
      <c r="AJ130" t="s">
        <v>153</v>
      </c>
      <c r="AK130" s="4">
        <v>1</v>
      </c>
      <c r="AL130" t="s">
        <v>153</v>
      </c>
      <c r="AM130" t="s">
        <v>153</v>
      </c>
      <c r="AO130" t="s">
        <v>153</v>
      </c>
      <c r="AP130" s="4"/>
      <c r="AQ130" t="s">
        <v>153</v>
      </c>
      <c r="AR130" s="5"/>
      <c r="AT130" s="4" t="s">
        <v>153</v>
      </c>
      <c r="AU130" s="4" t="s">
        <v>153</v>
      </c>
      <c r="AV130" s="4" t="s">
        <v>153</v>
      </c>
      <c r="AW130" t="s">
        <v>153</v>
      </c>
      <c r="AX130" t="s">
        <v>153</v>
      </c>
      <c r="AY130" t="s">
        <v>153</v>
      </c>
      <c r="AZ130" t="s">
        <v>153</v>
      </c>
      <c r="BA130" t="s">
        <v>153</v>
      </c>
      <c r="BB130" t="s">
        <v>153</v>
      </c>
      <c r="BC130" t="s">
        <v>153</v>
      </c>
      <c r="BD130" s="4" t="s">
        <v>153</v>
      </c>
      <c r="BE130" s="4" t="s">
        <v>153</v>
      </c>
      <c r="BF130" t="s">
        <v>153</v>
      </c>
      <c r="BG130" s="4" t="s">
        <v>153</v>
      </c>
      <c r="BH130" t="s">
        <v>153</v>
      </c>
      <c r="BI130" s="4" t="s">
        <v>153</v>
      </c>
      <c r="BJ130" t="s">
        <v>153</v>
      </c>
      <c r="BK130" s="4" t="s">
        <v>153</v>
      </c>
      <c r="BL130" t="s">
        <v>153</v>
      </c>
      <c r="BM130" t="s">
        <v>153</v>
      </c>
      <c r="BN130" s="4" t="s">
        <v>153</v>
      </c>
      <c r="BO130" s="4" t="s">
        <v>153</v>
      </c>
      <c r="BP130" s="4" t="s">
        <v>153</v>
      </c>
      <c r="BQ130" s="4" t="s">
        <v>153</v>
      </c>
      <c r="BR130" s="4" t="s">
        <v>153</v>
      </c>
      <c r="BS130" s="4" t="s">
        <v>153</v>
      </c>
      <c r="BT130" s="4" t="s">
        <v>153</v>
      </c>
      <c r="BU130" s="4" t="s">
        <v>153</v>
      </c>
      <c r="BV130" s="4"/>
      <c r="BW130" s="4" t="s">
        <v>153</v>
      </c>
      <c r="BX130" s="4" t="s">
        <v>153</v>
      </c>
      <c r="BY130" s="4" t="s">
        <v>153</v>
      </c>
      <c r="BZ130" s="4" t="s">
        <v>153</v>
      </c>
      <c r="CA130" s="4" t="s">
        <v>153</v>
      </c>
      <c r="CB130" s="4"/>
      <c r="CC130" s="4" t="s">
        <v>153</v>
      </c>
      <c r="CD130" t="s">
        <v>153</v>
      </c>
      <c r="CE130" s="4" t="s">
        <v>153</v>
      </c>
      <c r="CF130" s="4" t="s">
        <v>153</v>
      </c>
      <c r="CG130" s="4" t="s">
        <v>153</v>
      </c>
      <c r="CH130" s="5"/>
      <c r="CI130" t="s">
        <v>153</v>
      </c>
      <c r="CJ130" s="4"/>
      <c r="CK130" t="s">
        <v>153</v>
      </c>
      <c r="CL130" t="s">
        <v>153</v>
      </c>
      <c r="CM130" t="s">
        <v>153</v>
      </c>
      <c r="CN130" t="s">
        <v>153</v>
      </c>
      <c r="CO130" s="5"/>
      <c r="CP130" s="4" t="s">
        <v>153</v>
      </c>
      <c r="CQ130" s="4" t="s">
        <v>153</v>
      </c>
      <c r="CR130" t="s">
        <v>153</v>
      </c>
      <c r="CS130" t="s">
        <v>153</v>
      </c>
      <c r="CT130" t="s">
        <v>153</v>
      </c>
      <c r="CU130" t="s">
        <v>153</v>
      </c>
      <c r="CV130" t="s">
        <v>153</v>
      </c>
      <c r="CW130" t="s">
        <v>153</v>
      </c>
      <c r="CX130" t="s">
        <v>153</v>
      </c>
      <c r="CY130" t="s">
        <v>153</v>
      </c>
      <c r="CZ130" t="s">
        <v>153</v>
      </c>
      <c r="DA130" t="s">
        <v>153</v>
      </c>
      <c r="DB130" t="s">
        <v>153</v>
      </c>
      <c r="DC130" t="s">
        <v>153</v>
      </c>
      <c r="DD130" t="s">
        <v>153</v>
      </c>
      <c r="DE130" t="s">
        <v>153</v>
      </c>
      <c r="DF130" t="s">
        <v>153</v>
      </c>
      <c r="DG130" t="s">
        <v>153</v>
      </c>
      <c r="DI130" t="s">
        <v>153</v>
      </c>
      <c r="DJ130" t="s">
        <v>153</v>
      </c>
      <c r="DK130" t="s">
        <v>153</v>
      </c>
      <c r="DL130" t="s">
        <v>153</v>
      </c>
      <c r="DN130" t="s">
        <v>153</v>
      </c>
      <c r="DO130" t="s">
        <v>153</v>
      </c>
      <c r="DP130" t="s">
        <v>153</v>
      </c>
      <c r="DQ130" t="s">
        <v>153</v>
      </c>
      <c r="DR130" t="s">
        <v>153</v>
      </c>
      <c r="DS130" t="s">
        <v>153</v>
      </c>
      <c r="DT130" t="s">
        <v>153</v>
      </c>
      <c r="DU130" t="s">
        <v>153</v>
      </c>
      <c r="DV130" t="s">
        <v>153</v>
      </c>
      <c r="DW130" t="s">
        <v>153</v>
      </c>
      <c r="DX130" s="2"/>
      <c r="DY130" t="s">
        <v>153</v>
      </c>
      <c r="DZ130" t="s">
        <v>153</v>
      </c>
      <c r="EA130" t="s">
        <v>153</v>
      </c>
      <c r="EB130" t="s">
        <v>153</v>
      </c>
      <c r="EC130" t="s">
        <v>153</v>
      </c>
      <c r="ED130" t="s">
        <v>153</v>
      </c>
      <c r="EE130" t="s">
        <v>153</v>
      </c>
      <c r="EF130" t="s">
        <v>153</v>
      </c>
      <c r="EH130" t="s">
        <v>153</v>
      </c>
      <c r="EI130" t="s">
        <v>153</v>
      </c>
      <c r="EJ130" t="s">
        <v>153</v>
      </c>
      <c r="EK130" t="s">
        <v>153</v>
      </c>
      <c r="EM130" t="s">
        <v>153</v>
      </c>
      <c r="EN130" t="s">
        <v>153</v>
      </c>
      <c r="EP130" s="4" t="s">
        <v>242</v>
      </c>
      <c r="EQ130" s="4" t="s">
        <v>153</v>
      </c>
      <c r="ER130" s="4" t="s">
        <v>191</v>
      </c>
      <c r="ES130" s="4" t="s">
        <v>153</v>
      </c>
      <c r="ET130" t="s">
        <v>1855</v>
      </c>
      <c r="EU130" t="s">
        <v>1856</v>
      </c>
      <c r="EV130" t="s">
        <v>909</v>
      </c>
      <c r="EW130">
        <v>1189708548</v>
      </c>
      <c r="EX130" t="s">
        <v>1093</v>
      </c>
    </row>
    <row r="131" spans="1:154" x14ac:dyDescent="0.25">
      <c r="A131" s="3">
        <v>45324.463090277779</v>
      </c>
      <c r="B131" s="4" t="s">
        <v>153</v>
      </c>
      <c r="C131" s="4" t="s">
        <v>1857</v>
      </c>
      <c r="D131" s="4" t="s">
        <v>1858</v>
      </c>
      <c r="E131" s="4" t="s">
        <v>1859</v>
      </c>
      <c r="F131" s="4" t="s">
        <v>1860</v>
      </c>
      <c r="G131" s="4" t="s">
        <v>252</v>
      </c>
      <c r="H131" s="4" t="s">
        <v>506</v>
      </c>
      <c r="I131" s="4" t="s">
        <v>153</v>
      </c>
      <c r="J131" s="4" t="s">
        <v>1861</v>
      </c>
      <c r="K131" s="5"/>
      <c r="L131" s="4" t="s">
        <v>153</v>
      </c>
      <c r="M131" s="4" t="s">
        <v>153</v>
      </c>
      <c r="N131" s="4" t="s">
        <v>153</v>
      </c>
      <c r="O131" s="4" t="s">
        <v>153</v>
      </c>
      <c r="P131" s="4" t="s">
        <v>153</v>
      </c>
      <c r="Q131" s="4" t="s">
        <v>153</v>
      </c>
      <c r="R131" s="4" t="s">
        <v>153</v>
      </c>
      <c r="S131" s="4" t="s">
        <v>153</v>
      </c>
      <c r="T131" s="4" t="s">
        <v>153</v>
      </c>
      <c r="U131" s="4" t="s">
        <v>153</v>
      </c>
      <c r="V131" s="4" t="s">
        <v>153</v>
      </c>
      <c r="W131" s="4" t="s">
        <v>153</v>
      </c>
      <c r="X131" s="4" t="s">
        <v>153</v>
      </c>
      <c r="Y131" s="4" t="s">
        <v>153</v>
      </c>
      <c r="Z131" s="4" t="s">
        <v>153</v>
      </c>
      <c r="AA131" s="4" t="s">
        <v>153</v>
      </c>
      <c r="AB131" s="4" t="s">
        <v>153</v>
      </c>
      <c r="AC131" s="4" t="s">
        <v>153</v>
      </c>
      <c r="AD131" s="4" t="s">
        <v>153</v>
      </c>
      <c r="AE131" s="4" t="s">
        <v>153</v>
      </c>
      <c r="AF131" s="4" t="s">
        <v>153</v>
      </c>
      <c r="AG131" s="4" t="s">
        <v>153</v>
      </c>
      <c r="AH131" s="4" t="s">
        <v>153</v>
      </c>
      <c r="AI131" s="5"/>
      <c r="AJ131" t="s">
        <v>153</v>
      </c>
      <c r="AK131" s="4"/>
      <c r="AL131" t="s">
        <v>153</v>
      </c>
      <c r="AM131" t="s">
        <v>153</v>
      </c>
      <c r="AO131" t="s">
        <v>153</v>
      </c>
      <c r="AP131" s="4"/>
      <c r="AQ131" t="s">
        <v>153</v>
      </c>
      <c r="AR131" s="5">
        <v>45324</v>
      </c>
      <c r="AS131">
        <v>1</v>
      </c>
      <c r="AT131" s="4" t="s">
        <v>951</v>
      </c>
      <c r="AU131" s="4" t="s">
        <v>945</v>
      </c>
      <c r="AV131" s="4" t="s">
        <v>256</v>
      </c>
      <c r="AW131" t="s">
        <v>153</v>
      </c>
      <c r="AX131" t="s">
        <v>153</v>
      </c>
      <c r="AY131" t="s">
        <v>153</v>
      </c>
      <c r="AZ131" t="s">
        <v>1862</v>
      </c>
      <c r="BA131" t="s">
        <v>153</v>
      </c>
      <c r="BB131" t="s">
        <v>153</v>
      </c>
      <c r="BC131" t="s">
        <v>153</v>
      </c>
      <c r="BD131" s="4" t="s">
        <v>1863</v>
      </c>
      <c r="BE131" s="4" t="s">
        <v>926</v>
      </c>
      <c r="BF131" t="s">
        <v>243</v>
      </c>
      <c r="BG131" s="4" t="s">
        <v>153</v>
      </c>
      <c r="BH131" t="s">
        <v>153</v>
      </c>
      <c r="BI131" s="4" t="s">
        <v>153</v>
      </c>
      <c r="BJ131" t="s">
        <v>153</v>
      </c>
      <c r="BK131" s="4" t="s">
        <v>153</v>
      </c>
      <c r="BL131" t="s">
        <v>153</v>
      </c>
      <c r="BM131" t="s">
        <v>153</v>
      </c>
      <c r="BN131" s="4" t="s">
        <v>153</v>
      </c>
      <c r="BO131" s="4" t="s">
        <v>153</v>
      </c>
      <c r="BP131" s="4" t="s">
        <v>153</v>
      </c>
      <c r="BQ131" s="4" t="s">
        <v>153</v>
      </c>
      <c r="BR131" s="4" t="s">
        <v>153</v>
      </c>
      <c r="BS131" s="4" t="s">
        <v>153</v>
      </c>
      <c r="BT131" s="4" t="s">
        <v>153</v>
      </c>
      <c r="BU131" s="4" t="s">
        <v>153</v>
      </c>
      <c r="BV131" s="4"/>
      <c r="BW131" s="4" t="s">
        <v>153</v>
      </c>
      <c r="BX131" s="4" t="s">
        <v>153</v>
      </c>
      <c r="BY131" s="4" t="s">
        <v>153</v>
      </c>
      <c r="BZ131" s="4" t="s">
        <v>153</v>
      </c>
      <c r="CA131" s="4" t="s">
        <v>153</v>
      </c>
      <c r="CB131" s="4"/>
      <c r="CC131" s="4" t="s">
        <v>153</v>
      </c>
      <c r="CD131" t="s">
        <v>153</v>
      </c>
      <c r="CE131" s="4" t="s">
        <v>153</v>
      </c>
      <c r="CF131" s="4" t="s">
        <v>153</v>
      </c>
      <c r="CG131" s="4" t="s">
        <v>153</v>
      </c>
      <c r="CH131" s="5"/>
      <c r="CI131" t="s">
        <v>153</v>
      </c>
      <c r="CJ131" s="4"/>
      <c r="CK131" t="s">
        <v>153</v>
      </c>
      <c r="CL131" t="s">
        <v>153</v>
      </c>
      <c r="CM131" t="s">
        <v>153</v>
      </c>
      <c r="CN131" t="s">
        <v>153</v>
      </c>
      <c r="CO131" s="5"/>
      <c r="CP131" s="4" t="s">
        <v>153</v>
      </c>
      <c r="CQ131" s="4" t="s">
        <v>153</v>
      </c>
      <c r="CR131" t="s">
        <v>153</v>
      </c>
      <c r="CS131" t="s">
        <v>153</v>
      </c>
      <c r="CT131" t="s">
        <v>153</v>
      </c>
      <c r="CU131" t="s">
        <v>153</v>
      </c>
      <c r="CV131" t="s">
        <v>153</v>
      </c>
      <c r="CW131" t="s">
        <v>153</v>
      </c>
      <c r="CX131" t="s">
        <v>153</v>
      </c>
      <c r="CY131" t="s">
        <v>153</v>
      </c>
      <c r="CZ131" t="s">
        <v>153</v>
      </c>
      <c r="DA131" t="s">
        <v>153</v>
      </c>
      <c r="DB131" t="s">
        <v>153</v>
      </c>
      <c r="DC131" t="s">
        <v>153</v>
      </c>
      <c r="DD131" t="s">
        <v>153</v>
      </c>
      <c r="DE131" t="s">
        <v>153</v>
      </c>
      <c r="DF131" t="s">
        <v>153</v>
      </c>
      <c r="DG131" t="s">
        <v>153</v>
      </c>
      <c r="DI131" t="s">
        <v>153</v>
      </c>
      <c r="DJ131" t="s">
        <v>153</v>
      </c>
      <c r="DK131" t="s">
        <v>153</v>
      </c>
      <c r="DL131" t="s">
        <v>153</v>
      </c>
      <c r="DN131" t="s">
        <v>153</v>
      </c>
      <c r="DO131" t="s">
        <v>153</v>
      </c>
      <c r="DP131" t="s">
        <v>153</v>
      </c>
      <c r="DQ131" t="s">
        <v>153</v>
      </c>
      <c r="DR131" t="s">
        <v>153</v>
      </c>
      <c r="DS131" t="s">
        <v>153</v>
      </c>
      <c r="DT131" t="s">
        <v>153</v>
      </c>
      <c r="DU131" t="s">
        <v>153</v>
      </c>
      <c r="DV131" t="s">
        <v>153</v>
      </c>
      <c r="DW131" t="s">
        <v>153</v>
      </c>
      <c r="DX131" s="2"/>
      <c r="DY131" t="s">
        <v>153</v>
      </c>
      <c r="DZ131" t="s">
        <v>153</v>
      </c>
      <c r="EA131" t="s">
        <v>153</v>
      </c>
      <c r="EB131" t="s">
        <v>153</v>
      </c>
      <c r="EC131" t="s">
        <v>153</v>
      </c>
      <c r="ED131" t="s">
        <v>153</v>
      </c>
      <c r="EE131" t="s">
        <v>153</v>
      </c>
      <c r="EF131" t="s">
        <v>153</v>
      </c>
      <c r="EH131" t="s">
        <v>153</v>
      </c>
      <c r="EI131" t="s">
        <v>153</v>
      </c>
      <c r="EJ131" t="s">
        <v>153</v>
      </c>
      <c r="EK131" t="s">
        <v>153</v>
      </c>
      <c r="EM131" t="s">
        <v>153</v>
      </c>
      <c r="EN131" t="s">
        <v>153</v>
      </c>
      <c r="EP131" s="4" t="s">
        <v>153</v>
      </c>
      <c r="EQ131" s="4" t="s">
        <v>153</v>
      </c>
      <c r="ER131" s="4" t="s">
        <v>153</v>
      </c>
      <c r="ES131" s="4" t="s">
        <v>153</v>
      </c>
      <c r="ET131" t="s">
        <v>153</v>
      </c>
      <c r="EU131" t="s">
        <v>1856</v>
      </c>
      <c r="EV131" t="s">
        <v>1864</v>
      </c>
      <c r="EW131">
        <v>1190514362</v>
      </c>
      <c r="EX131" t="s">
        <v>1865</v>
      </c>
    </row>
    <row r="132" spans="1:154" x14ac:dyDescent="0.25">
      <c r="A132" s="3">
        <v>45324.560046296298</v>
      </c>
      <c r="B132" s="4" t="s">
        <v>153</v>
      </c>
      <c r="C132" s="4" t="s">
        <v>892</v>
      </c>
      <c r="D132" s="4" t="s">
        <v>893</v>
      </c>
      <c r="E132" s="4" t="s">
        <v>894</v>
      </c>
      <c r="F132" s="4" t="s">
        <v>895</v>
      </c>
      <c r="G132" s="4" t="s">
        <v>948</v>
      </c>
      <c r="H132" s="4" t="s">
        <v>542</v>
      </c>
      <c r="I132" s="4" t="s">
        <v>153</v>
      </c>
      <c r="J132" s="4" t="s">
        <v>1866</v>
      </c>
      <c r="K132" s="5">
        <v>45324</v>
      </c>
      <c r="L132" s="4" t="s">
        <v>403</v>
      </c>
      <c r="M132" s="4" t="s">
        <v>1841</v>
      </c>
      <c r="N132" s="4" t="s">
        <v>153</v>
      </c>
      <c r="O132" s="4" t="s">
        <v>1867</v>
      </c>
      <c r="P132" s="4" t="s">
        <v>1843</v>
      </c>
      <c r="Q132" s="4" t="s">
        <v>153</v>
      </c>
      <c r="R132" s="4" t="s">
        <v>153</v>
      </c>
      <c r="S132" s="4" t="s">
        <v>153</v>
      </c>
      <c r="T132" s="4" t="s">
        <v>153</v>
      </c>
      <c r="U132" s="4" t="s">
        <v>1845</v>
      </c>
      <c r="V132" s="4" t="s">
        <v>153</v>
      </c>
      <c r="W132" s="4" t="s">
        <v>1846</v>
      </c>
      <c r="X132" s="4" t="s">
        <v>1074</v>
      </c>
      <c r="Y132" s="4" t="s">
        <v>1847</v>
      </c>
      <c r="Z132" s="4" t="s">
        <v>1868</v>
      </c>
      <c r="AA132" s="4" t="s">
        <v>1849</v>
      </c>
      <c r="AB132" s="4" t="s">
        <v>1850</v>
      </c>
      <c r="AC132" s="4" t="s">
        <v>1851</v>
      </c>
      <c r="AD132" s="4" t="s">
        <v>1074</v>
      </c>
      <c r="AE132" s="4" t="s">
        <v>1852</v>
      </c>
      <c r="AF132" s="4" t="s">
        <v>1853</v>
      </c>
      <c r="AG132" s="4" t="s">
        <v>1854</v>
      </c>
      <c r="AH132" s="4" t="s">
        <v>153</v>
      </c>
      <c r="AI132" s="5"/>
      <c r="AJ132" t="s">
        <v>153</v>
      </c>
      <c r="AK132" s="4"/>
      <c r="AL132" t="s">
        <v>153</v>
      </c>
      <c r="AM132" t="s">
        <v>414</v>
      </c>
      <c r="AN132">
        <v>60</v>
      </c>
      <c r="AO132" t="s">
        <v>1869</v>
      </c>
      <c r="AP132" s="4">
        <v>934017654</v>
      </c>
      <c r="AQ132" t="s">
        <v>1870</v>
      </c>
      <c r="AR132" s="5"/>
      <c r="AT132" s="4" t="s">
        <v>153</v>
      </c>
      <c r="AU132" s="4" t="s">
        <v>153</v>
      </c>
      <c r="AV132" s="4" t="s">
        <v>153</v>
      </c>
      <c r="AW132" t="s">
        <v>153</v>
      </c>
      <c r="AX132" t="s">
        <v>153</v>
      </c>
      <c r="AY132" t="s">
        <v>153</v>
      </c>
      <c r="AZ132" t="s">
        <v>153</v>
      </c>
      <c r="BA132" t="s">
        <v>153</v>
      </c>
      <c r="BB132" t="s">
        <v>153</v>
      </c>
      <c r="BC132" t="s">
        <v>153</v>
      </c>
      <c r="BD132" s="4" t="s">
        <v>153</v>
      </c>
      <c r="BE132" s="4" t="s">
        <v>153</v>
      </c>
      <c r="BF132" t="s">
        <v>153</v>
      </c>
      <c r="BG132" s="4" t="s">
        <v>153</v>
      </c>
      <c r="BH132" t="s">
        <v>153</v>
      </c>
      <c r="BI132" s="4" t="s">
        <v>153</v>
      </c>
      <c r="BJ132" t="s">
        <v>153</v>
      </c>
      <c r="BK132" s="4" t="s">
        <v>153</v>
      </c>
      <c r="BL132" t="s">
        <v>153</v>
      </c>
      <c r="BM132" t="s">
        <v>153</v>
      </c>
      <c r="BN132" s="4" t="s">
        <v>153</v>
      </c>
      <c r="BO132" s="4" t="s">
        <v>153</v>
      </c>
      <c r="BP132" s="4" t="s">
        <v>153</v>
      </c>
      <c r="BQ132" s="4" t="s">
        <v>153</v>
      </c>
      <c r="BR132" s="4" t="s">
        <v>153</v>
      </c>
      <c r="BS132" s="4" t="s">
        <v>153</v>
      </c>
      <c r="BT132" s="4" t="s">
        <v>153</v>
      </c>
      <c r="BU132" s="4" t="s">
        <v>153</v>
      </c>
      <c r="BV132" s="4"/>
      <c r="BW132" s="4" t="s">
        <v>153</v>
      </c>
      <c r="BX132" s="4" t="s">
        <v>153</v>
      </c>
      <c r="BY132" s="4" t="s">
        <v>153</v>
      </c>
      <c r="BZ132" s="4" t="s">
        <v>153</v>
      </c>
      <c r="CA132" s="4" t="s">
        <v>153</v>
      </c>
      <c r="CB132" s="4"/>
      <c r="CC132" s="4" t="s">
        <v>153</v>
      </c>
      <c r="CD132" t="s">
        <v>153</v>
      </c>
      <c r="CE132" s="4" t="s">
        <v>153</v>
      </c>
      <c r="CF132" s="4" t="s">
        <v>153</v>
      </c>
      <c r="CG132" s="4" t="s">
        <v>153</v>
      </c>
      <c r="CH132" s="5"/>
      <c r="CI132" t="s">
        <v>153</v>
      </c>
      <c r="CJ132" s="4"/>
      <c r="CK132" t="s">
        <v>153</v>
      </c>
      <c r="CL132" t="s">
        <v>153</v>
      </c>
      <c r="CM132" t="s">
        <v>153</v>
      </c>
      <c r="CN132" t="s">
        <v>153</v>
      </c>
      <c r="CO132" s="5"/>
      <c r="CP132" s="4" t="s">
        <v>153</v>
      </c>
      <c r="CQ132" s="4" t="s">
        <v>153</v>
      </c>
      <c r="CR132" t="s">
        <v>153</v>
      </c>
      <c r="CS132" t="s">
        <v>153</v>
      </c>
      <c r="CT132" t="s">
        <v>153</v>
      </c>
      <c r="CU132" t="s">
        <v>153</v>
      </c>
      <c r="CV132" t="s">
        <v>153</v>
      </c>
      <c r="CW132" t="s">
        <v>153</v>
      </c>
      <c r="CX132" t="s">
        <v>153</v>
      </c>
      <c r="CY132" t="s">
        <v>153</v>
      </c>
      <c r="CZ132" t="s">
        <v>153</v>
      </c>
      <c r="DA132" t="s">
        <v>153</v>
      </c>
      <c r="DB132" t="s">
        <v>153</v>
      </c>
      <c r="DC132" t="s">
        <v>153</v>
      </c>
      <c r="DD132" t="s">
        <v>153</v>
      </c>
      <c r="DE132" t="s">
        <v>153</v>
      </c>
      <c r="DF132" t="s">
        <v>153</v>
      </c>
      <c r="DG132" t="s">
        <v>153</v>
      </c>
      <c r="DI132" t="s">
        <v>153</v>
      </c>
      <c r="DJ132" t="s">
        <v>153</v>
      </c>
      <c r="DK132" t="s">
        <v>153</v>
      </c>
      <c r="DL132" t="s">
        <v>153</v>
      </c>
      <c r="DN132" t="s">
        <v>153</v>
      </c>
      <c r="DO132" t="s">
        <v>153</v>
      </c>
      <c r="DP132" t="s">
        <v>153</v>
      </c>
      <c r="DQ132" t="s">
        <v>153</v>
      </c>
      <c r="DR132" t="s">
        <v>153</v>
      </c>
      <c r="DS132" t="s">
        <v>153</v>
      </c>
      <c r="DT132" t="s">
        <v>153</v>
      </c>
      <c r="DU132" t="s">
        <v>153</v>
      </c>
      <c r="DV132" t="s">
        <v>153</v>
      </c>
      <c r="DW132" t="s">
        <v>153</v>
      </c>
      <c r="DX132" s="2"/>
      <c r="DY132" t="s">
        <v>153</v>
      </c>
      <c r="DZ132" t="s">
        <v>153</v>
      </c>
      <c r="EA132" t="s">
        <v>153</v>
      </c>
      <c r="EB132" t="s">
        <v>153</v>
      </c>
      <c r="EC132" t="s">
        <v>153</v>
      </c>
      <c r="ED132" t="s">
        <v>153</v>
      </c>
      <c r="EE132" t="s">
        <v>153</v>
      </c>
      <c r="EF132" t="s">
        <v>153</v>
      </c>
      <c r="EH132" t="s">
        <v>153</v>
      </c>
      <c r="EI132" t="s">
        <v>153</v>
      </c>
      <c r="EJ132" t="s">
        <v>153</v>
      </c>
      <c r="EK132" t="s">
        <v>153</v>
      </c>
      <c r="EM132" t="s">
        <v>153</v>
      </c>
      <c r="EN132" t="s">
        <v>153</v>
      </c>
      <c r="EP132" s="4" t="s">
        <v>153</v>
      </c>
      <c r="EQ132" s="4" t="s">
        <v>153</v>
      </c>
      <c r="ER132" s="4" t="s">
        <v>191</v>
      </c>
      <c r="ES132" s="4" t="s">
        <v>153</v>
      </c>
      <c r="ET132" t="s">
        <v>1871</v>
      </c>
      <c r="EU132" t="s">
        <v>1856</v>
      </c>
      <c r="EV132" t="s">
        <v>909</v>
      </c>
      <c r="EW132">
        <v>1190574110</v>
      </c>
      <c r="EX132" t="s">
        <v>1093</v>
      </c>
    </row>
    <row r="133" spans="1:154" x14ac:dyDescent="0.25">
      <c r="A133" s="3">
        <v>45336.351909722223</v>
      </c>
      <c r="B133" s="4" t="s">
        <v>153</v>
      </c>
      <c r="C133" s="4" t="s">
        <v>641</v>
      </c>
      <c r="D133" s="4" t="s">
        <v>642</v>
      </c>
      <c r="E133" s="4" t="s">
        <v>643</v>
      </c>
      <c r="F133" s="4" t="s">
        <v>644</v>
      </c>
      <c r="G133" s="4" t="s">
        <v>948</v>
      </c>
      <c r="H133" s="4" t="s">
        <v>645</v>
      </c>
      <c r="I133" s="4" t="s">
        <v>153</v>
      </c>
      <c r="J133" s="4" t="s">
        <v>1872</v>
      </c>
      <c r="K133" s="5">
        <v>45336</v>
      </c>
      <c r="L133" s="4" t="s">
        <v>1873</v>
      </c>
      <c r="M133" s="4" t="s">
        <v>1874</v>
      </c>
      <c r="N133" s="4" t="s">
        <v>1875</v>
      </c>
      <c r="O133" s="4" t="s">
        <v>153</v>
      </c>
      <c r="P133" s="4" t="s">
        <v>153</v>
      </c>
      <c r="Q133" s="4" t="s">
        <v>153</v>
      </c>
      <c r="R133" s="4" t="s">
        <v>153</v>
      </c>
      <c r="S133" s="4" t="s">
        <v>153</v>
      </c>
      <c r="T133" s="4" t="s">
        <v>153</v>
      </c>
      <c r="U133" s="4" t="s">
        <v>153</v>
      </c>
      <c r="V133" s="4" t="s">
        <v>153</v>
      </c>
      <c r="W133" s="4" t="s">
        <v>153</v>
      </c>
      <c r="X133" s="4" t="s">
        <v>153</v>
      </c>
      <c r="Y133" s="4" t="s">
        <v>153</v>
      </c>
      <c r="Z133" s="4" t="s">
        <v>153</v>
      </c>
      <c r="AA133" s="4" t="s">
        <v>153</v>
      </c>
      <c r="AB133" s="4" t="s">
        <v>153</v>
      </c>
      <c r="AC133" s="4" t="s">
        <v>153</v>
      </c>
      <c r="AD133" s="4" t="s">
        <v>153</v>
      </c>
      <c r="AE133" s="4" t="s">
        <v>153</v>
      </c>
      <c r="AF133" s="4" t="s">
        <v>153</v>
      </c>
      <c r="AG133" s="4" t="s">
        <v>153</v>
      </c>
      <c r="AH133" s="4" t="s">
        <v>153</v>
      </c>
      <c r="AI133" s="5"/>
      <c r="AJ133" t="s">
        <v>153</v>
      </c>
      <c r="AK133" s="4"/>
      <c r="AL133" t="s">
        <v>153</v>
      </c>
      <c r="AM133" t="s">
        <v>153</v>
      </c>
      <c r="AO133" t="s">
        <v>153</v>
      </c>
      <c r="AP133" s="4"/>
      <c r="AQ133" t="s">
        <v>153</v>
      </c>
      <c r="AR133" s="5">
        <v>45323</v>
      </c>
      <c r="AS133">
        <v>1</v>
      </c>
      <c r="AT133" s="4" t="s">
        <v>763</v>
      </c>
      <c r="AU133" s="4" t="s">
        <v>764</v>
      </c>
      <c r="AV133" s="4" t="s">
        <v>153</v>
      </c>
      <c r="AW133" t="s">
        <v>153</v>
      </c>
      <c r="AX133" t="s">
        <v>153</v>
      </c>
      <c r="AY133" t="s">
        <v>153</v>
      </c>
      <c r="AZ133" t="s">
        <v>1876</v>
      </c>
      <c r="BA133" t="s">
        <v>153</v>
      </c>
      <c r="BB133" t="s">
        <v>153</v>
      </c>
      <c r="BC133" t="s">
        <v>153</v>
      </c>
      <c r="BD133" s="4" t="s">
        <v>1877</v>
      </c>
      <c r="BE133" s="4" t="s">
        <v>1878</v>
      </c>
      <c r="BF133" t="s">
        <v>242</v>
      </c>
      <c r="BG133" s="4" t="s">
        <v>1879</v>
      </c>
      <c r="BH133" t="s">
        <v>153</v>
      </c>
      <c r="BI133" s="4" t="s">
        <v>153</v>
      </c>
      <c r="BJ133" t="s">
        <v>153</v>
      </c>
      <c r="BK133" s="4" t="s">
        <v>153</v>
      </c>
      <c r="BL133" t="s">
        <v>153</v>
      </c>
      <c r="BM133" t="s">
        <v>153</v>
      </c>
      <c r="BN133" s="4" t="s">
        <v>153</v>
      </c>
      <c r="BO133" s="4" t="s">
        <v>153</v>
      </c>
      <c r="BP133" s="4" t="s">
        <v>153</v>
      </c>
      <c r="BQ133" s="4" t="s">
        <v>153</v>
      </c>
      <c r="BR133" s="4" t="s">
        <v>153</v>
      </c>
      <c r="BS133" s="4" t="s">
        <v>153</v>
      </c>
      <c r="BT133" s="4" t="s">
        <v>153</v>
      </c>
      <c r="BU133" s="4" t="s">
        <v>153</v>
      </c>
      <c r="BV133" s="4"/>
      <c r="BW133" s="4" t="s">
        <v>153</v>
      </c>
      <c r="BX133" s="4" t="s">
        <v>153</v>
      </c>
      <c r="BY133" s="4" t="s">
        <v>153</v>
      </c>
      <c r="BZ133" s="4" t="s">
        <v>153</v>
      </c>
      <c r="CA133" s="4" t="s">
        <v>153</v>
      </c>
      <c r="CB133" s="4"/>
      <c r="CC133" s="4" t="s">
        <v>153</v>
      </c>
      <c r="CD133" t="s">
        <v>153</v>
      </c>
      <c r="CE133" s="4" t="s">
        <v>153</v>
      </c>
      <c r="CF133" s="4" t="s">
        <v>153</v>
      </c>
      <c r="CG133" s="4" t="s">
        <v>153</v>
      </c>
      <c r="CH133" s="5"/>
      <c r="CI133" t="s">
        <v>153</v>
      </c>
      <c r="CJ133" s="4"/>
      <c r="CK133" t="s">
        <v>153</v>
      </c>
      <c r="CL133" t="s">
        <v>153</v>
      </c>
      <c r="CM133" t="s">
        <v>153</v>
      </c>
      <c r="CN133" t="s">
        <v>153</v>
      </c>
      <c r="CO133" s="5"/>
      <c r="CP133" s="4" t="s">
        <v>153</v>
      </c>
      <c r="CQ133" s="4" t="s">
        <v>153</v>
      </c>
      <c r="CR133" t="s">
        <v>153</v>
      </c>
      <c r="CS133" t="s">
        <v>153</v>
      </c>
      <c r="CT133" t="s">
        <v>153</v>
      </c>
      <c r="CU133" t="s">
        <v>153</v>
      </c>
      <c r="CV133" t="s">
        <v>153</v>
      </c>
      <c r="CW133" t="s">
        <v>153</v>
      </c>
      <c r="CX133" t="s">
        <v>153</v>
      </c>
      <c r="CY133" t="s">
        <v>153</v>
      </c>
      <c r="CZ133" t="s">
        <v>153</v>
      </c>
      <c r="DA133" t="s">
        <v>153</v>
      </c>
      <c r="DB133" t="s">
        <v>153</v>
      </c>
      <c r="DC133" t="s">
        <v>153</v>
      </c>
      <c r="DD133" t="s">
        <v>153</v>
      </c>
      <c r="DE133" t="s">
        <v>153</v>
      </c>
      <c r="DF133" t="s">
        <v>153</v>
      </c>
      <c r="DG133" t="s">
        <v>153</v>
      </c>
      <c r="DI133" t="s">
        <v>153</v>
      </c>
      <c r="DJ133" t="s">
        <v>153</v>
      </c>
      <c r="DK133" t="s">
        <v>153</v>
      </c>
      <c r="DL133" t="s">
        <v>153</v>
      </c>
      <c r="DN133" t="s">
        <v>153</v>
      </c>
      <c r="DO133" t="s">
        <v>153</v>
      </c>
      <c r="DP133" t="s">
        <v>153</v>
      </c>
      <c r="DQ133" t="s">
        <v>153</v>
      </c>
      <c r="DR133" t="s">
        <v>153</v>
      </c>
      <c r="DS133" t="s">
        <v>153</v>
      </c>
      <c r="DT133" t="s">
        <v>153</v>
      </c>
      <c r="DU133" t="s">
        <v>153</v>
      </c>
      <c r="DV133" t="s">
        <v>153</v>
      </c>
      <c r="DW133" t="s">
        <v>153</v>
      </c>
      <c r="DX133" s="2"/>
      <c r="DY133" t="s">
        <v>153</v>
      </c>
      <c r="DZ133" t="s">
        <v>153</v>
      </c>
      <c r="EA133" t="s">
        <v>153</v>
      </c>
      <c r="EB133" t="s">
        <v>153</v>
      </c>
      <c r="EC133" t="s">
        <v>153</v>
      </c>
      <c r="ED133" t="s">
        <v>153</v>
      </c>
      <c r="EE133" t="s">
        <v>153</v>
      </c>
      <c r="EF133" t="s">
        <v>153</v>
      </c>
      <c r="EH133" t="s">
        <v>153</v>
      </c>
      <c r="EI133" t="s">
        <v>153</v>
      </c>
      <c r="EJ133" t="s">
        <v>153</v>
      </c>
      <c r="EK133" t="s">
        <v>153</v>
      </c>
      <c r="EM133" t="s">
        <v>153</v>
      </c>
      <c r="EN133" t="s">
        <v>153</v>
      </c>
      <c r="EP133" s="4" t="s">
        <v>153</v>
      </c>
      <c r="EQ133" s="4" t="s">
        <v>153</v>
      </c>
      <c r="ER133" s="4" t="s">
        <v>191</v>
      </c>
      <c r="ES133" s="4" t="s">
        <v>153</v>
      </c>
      <c r="ET133" t="s">
        <v>1880</v>
      </c>
      <c r="EU133" t="s">
        <v>1881</v>
      </c>
      <c r="EV133" t="s">
        <v>1882</v>
      </c>
      <c r="EW133">
        <v>1194419137</v>
      </c>
      <c r="EX133" t="s">
        <v>1883</v>
      </c>
    </row>
    <row r="134" spans="1:154" x14ac:dyDescent="0.25">
      <c r="A134" s="3">
        <v>45351.501701388886</v>
      </c>
      <c r="B134" s="4" t="s">
        <v>153</v>
      </c>
      <c r="C134" s="4" t="s">
        <v>1884</v>
      </c>
      <c r="D134" s="4" t="s">
        <v>286</v>
      </c>
      <c r="E134" s="4" t="s">
        <v>287</v>
      </c>
      <c r="F134" s="4" t="s">
        <v>288</v>
      </c>
      <c r="G134" s="4" t="s">
        <v>185</v>
      </c>
      <c r="H134" s="4" t="s">
        <v>289</v>
      </c>
      <c r="I134" s="4" t="s">
        <v>153</v>
      </c>
      <c r="J134" s="4" t="s">
        <v>153</v>
      </c>
      <c r="K134" s="5"/>
      <c r="L134" s="4" t="s">
        <v>153</v>
      </c>
      <c r="M134" s="4" t="s">
        <v>1885</v>
      </c>
      <c r="N134" s="4" t="s">
        <v>1886</v>
      </c>
      <c r="O134" s="4" t="s">
        <v>1887</v>
      </c>
      <c r="P134" s="4" t="s">
        <v>1888</v>
      </c>
      <c r="Q134" s="4" t="s">
        <v>294</v>
      </c>
      <c r="R134" s="4" t="s">
        <v>191</v>
      </c>
      <c r="S134" s="4" t="s">
        <v>1889</v>
      </c>
      <c r="T134" s="4" t="s">
        <v>153</v>
      </c>
      <c r="U134" s="4" t="s">
        <v>1890</v>
      </c>
      <c r="V134" s="4" t="s">
        <v>153</v>
      </c>
      <c r="W134" s="4" t="s">
        <v>1891</v>
      </c>
      <c r="X134" s="4" t="s">
        <v>297</v>
      </c>
      <c r="Y134" s="4" t="s">
        <v>1892</v>
      </c>
      <c r="Z134" s="4" t="s">
        <v>237</v>
      </c>
      <c r="AA134" s="4" t="s">
        <v>1893</v>
      </c>
      <c r="AB134" s="4" t="s">
        <v>153</v>
      </c>
      <c r="AC134" s="4" t="s">
        <v>1891</v>
      </c>
      <c r="AD134" s="4" t="s">
        <v>297</v>
      </c>
      <c r="AE134" s="4" t="s">
        <v>1892</v>
      </c>
      <c r="AF134" s="4" t="s">
        <v>1894</v>
      </c>
      <c r="AG134" s="4" t="s">
        <v>1895</v>
      </c>
      <c r="AH134" s="4" t="s">
        <v>1896</v>
      </c>
      <c r="AI134" s="5">
        <v>45303</v>
      </c>
      <c r="AJ134" t="s">
        <v>1897</v>
      </c>
      <c r="AK134" s="4">
        <v>45</v>
      </c>
      <c r="AL134" t="s">
        <v>153</v>
      </c>
      <c r="AM134" t="s">
        <v>153</v>
      </c>
      <c r="AO134" t="s">
        <v>153</v>
      </c>
      <c r="AP134" s="4"/>
      <c r="AQ134" t="s">
        <v>153</v>
      </c>
      <c r="AR134" s="5"/>
      <c r="AT134" s="4" t="s">
        <v>153</v>
      </c>
      <c r="AU134" s="4" t="s">
        <v>153</v>
      </c>
      <c r="AV134" s="4" t="s">
        <v>153</v>
      </c>
      <c r="AW134" t="s">
        <v>153</v>
      </c>
      <c r="AX134" t="s">
        <v>153</v>
      </c>
      <c r="AY134" t="s">
        <v>153</v>
      </c>
      <c r="AZ134" t="s">
        <v>153</v>
      </c>
      <c r="BA134" t="s">
        <v>153</v>
      </c>
      <c r="BB134" t="s">
        <v>153</v>
      </c>
      <c r="BC134" t="s">
        <v>153</v>
      </c>
      <c r="BD134" s="4" t="s">
        <v>153</v>
      </c>
      <c r="BE134" s="4" t="s">
        <v>153</v>
      </c>
      <c r="BF134" t="s">
        <v>153</v>
      </c>
      <c r="BG134" s="4" t="s">
        <v>153</v>
      </c>
      <c r="BH134" t="s">
        <v>153</v>
      </c>
      <c r="BI134" s="4" t="s">
        <v>153</v>
      </c>
      <c r="BJ134" t="s">
        <v>153</v>
      </c>
      <c r="BK134" s="4" t="s">
        <v>153</v>
      </c>
      <c r="BL134" t="s">
        <v>153</v>
      </c>
      <c r="BM134" t="s">
        <v>153</v>
      </c>
      <c r="BN134" s="4" t="s">
        <v>153</v>
      </c>
      <c r="BO134" s="4" t="s">
        <v>153</v>
      </c>
      <c r="BP134" s="4" t="s">
        <v>153</v>
      </c>
      <c r="BQ134" s="4" t="s">
        <v>153</v>
      </c>
      <c r="BR134" s="4" t="s">
        <v>153</v>
      </c>
      <c r="BS134" s="4" t="s">
        <v>153</v>
      </c>
      <c r="BT134" s="4" t="s">
        <v>153</v>
      </c>
      <c r="BU134" s="4" t="s">
        <v>153</v>
      </c>
      <c r="BV134" s="4"/>
      <c r="BW134" s="4" t="s">
        <v>153</v>
      </c>
      <c r="BX134" s="4" t="s">
        <v>153</v>
      </c>
      <c r="BY134" s="4" t="s">
        <v>153</v>
      </c>
      <c r="BZ134" s="4" t="s">
        <v>153</v>
      </c>
      <c r="CA134" s="4" t="s">
        <v>153</v>
      </c>
      <c r="CB134" s="4"/>
      <c r="CC134" s="4" t="s">
        <v>153</v>
      </c>
      <c r="CD134" t="s">
        <v>153</v>
      </c>
      <c r="CE134" s="4" t="s">
        <v>153</v>
      </c>
      <c r="CF134" s="4" t="s">
        <v>153</v>
      </c>
      <c r="CG134" s="4" t="s">
        <v>153</v>
      </c>
      <c r="CH134" s="5"/>
      <c r="CI134" t="s">
        <v>153</v>
      </c>
      <c r="CJ134" s="4"/>
      <c r="CK134" t="s">
        <v>153</v>
      </c>
      <c r="CL134" t="s">
        <v>153</v>
      </c>
      <c r="CM134" t="s">
        <v>153</v>
      </c>
      <c r="CN134" t="s">
        <v>153</v>
      </c>
      <c r="CO134" s="5"/>
      <c r="CP134" s="4" t="s">
        <v>153</v>
      </c>
      <c r="CQ134" s="4" t="s">
        <v>153</v>
      </c>
      <c r="CR134" t="s">
        <v>153</v>
      </c>
      <c r="CS134" t="s">
        <v>153</v>
      </c>
      <c r="CT134" t="s">
        <v>153</v>
      </c>
      <c r="CU134" t="s">
        <v>153</v>
      </c>
      <c r="CV134" t="s">
        <v>153</v>
      </c>
      <c r="CW134" t="s">
        <v>153</v>
      </c>
      <c r="CX134" t="s">
        <v>153</v>
      </c>
      <c r="CY134" t="s">
        <v>153</v>
      </c>
      <c r="CZ134" t="s">
        <v>153</v>
      </c>
      <c r="DA134" t="s">
        <v>153</v>
      </c>
      <c r="DB134" t="s">
        <v>153</v>
      </c>
      <c r="DC134" t="s">
        <v>153</v>
      </c>
      <c r="DD134" t="s">
        <v>153</v>
      </c>
      <c r="DE134" t="s">
        <v>153</v>
      </c>
      <c r="DF134" t="s">
        <v>153</v>
      </c>
      <c r="DG134" t="s">
        <v>153</v>
      </c>
      <c r="DI134" t="s">
        <v>153</v>
      </c>
      <c r="DJ134" t="s">
        <v>153</v>
      </c>
      <c r="DK134" t="s">
        <v>153</v>
      </c>
      <c r="DL134" t="s">
        <v>153</v>
      </c>
      <c r="DN134" t="s">
        <v>153</v>
      </c>
      <c r="DO134" t="s">
        <v>153</v>
      </c>
      <c r="DP134" t="s">
        <v>153</v>
      </c>
      <c r="DQ134" t="s">
        <v>153</v>
      </c>
      <c r="DR134" t="s">
        <v>153</v>
      </c>
      <c r="DS134" t="s">
        <v>153</v>
      </c>
      <c r="DT134" t="s">
        <v>153</v>
      </c>
      <c r="DU134" t="s">
        <v>153</v>
      </c>
      <c r="DV134" t="s">
        <v>153</v>
      </c>
      <c r="DW134" t="s">
        <v>153</v>
      </c>
      <c r="DX134" s="2"/>
      <c r="DY134" t="s">
        <v>153</v>
      </c>
      <c r="DZ134" t="s">
        <v>153</v>
      </c>
      <c r="EA134" t="s">
        <v>153</v>
      </c>
      <c r="EB134" t="s">
        <v>153</v>
      </c>
      <c r="EC134" t="s">
        <v>153</v>
      </c>
      <c r="ED134" t="s">
        <v>153</v>
      </c>
      <c r="EE134" t="s">
        <v>153</v>
      </c>
      <c r="EF134" t="s">
        <v>153</v>
      </c>
      <c r="EH134" t="s">
        <v>153</v>
      </c>
      <c r="EI134" t="s">
        <v>153</v>
      </c>
      <c r="EJ134" t="s">
        <v>153</v>
      </c>
      <c r="EK134" t="s">
        <v>153</v>
      </c>
      <c r="EM134" t="s">
        <v>153</v>
      </c>
      <c r="EN134" t="s">
        <v>153</v>
      </c>
      <c r="EP134" s="4" t="s">
        <v>242</v>
      </c>
      <c r="EQ134" s="4" t="s">
        <v>153</v>
      </c>
      <c r="ER134" s="4" t="s">
        <v>191</v>
      </c>
      <c r="ES134" s="4" t="s">
        <v>153</v>
      </c>
      <c r="ET134" t="s">
        <v>153</v>
      </c>
      <c r="EU134" t="s">
        <v>1898</v>
      </c>
      <c r="EV134" t="s">
        <v>1899</v>
      </c>
      <c r="EW134">
        <v>1199831739</v>
      </c>
      <c r="EX134" t="s">
        <v>366</v>
      </c>
    </row>
    <row r="135" spans="1:154" x14ac:dyDescent="0.25">
      <c r="A135" s="3">
        <v>45352.581180555557</v>
      </c>
      <c r="B135" s="4" t="s">
        <v>153</v>
      </c>
      <c r="C135" s="4" t="s">
        <v>1900</v>
      </c>
      <c r="D135" s="4" t="s">
        <v>1901</v>
      </c>
      <c r="E135" s="4" t="s">
        <v>1902</v>
      </c>
      <c r="F135" s="4" t="s">
        <v>1903</v>
      </c>
      <c r="G135" s="4" t="s">
        <v>252</v>
      </c>
      <c r="H135" s="4" t="s">
        <v>1011</v>
      </c>
      <c r="I135" s="4" t="s">
        <v>153</v>
      </c>
      <c r="J135" s="4" t="s">
        <v>153</v>
      </c>
      <c r="K135" s="5"/>
      <c r="L135" s="4" t="s">
        <v>153</v>
      </c>
      <c r="M135" s="4" t="s">
        <v>153</v>
      </c>
      <c r="N135" s="4" t="s">
        <v>153</v>
      </c>
      <c r="O135" s="4" t="s">
        <v>153</v>
      </c>
      <c r="P135" s="4" t="s">
        <v>153</v>
      </c>
      <c r="Q135" s="4" t="s">
        <v>153</v>
      </c>
      <c r="R135" s="4" t="s">
        <v>153</v>
      </c>
      <c r="S135" s="4" t="s">
        <v>153</v>
      </c>
      <c r="T135" s="4" t="s">
        <v>153</v>
      </c>
      <c r="U135" s="4" t="s">
        <v>153</v>
      </c>
      <c r="V135" s="4" t="s">
        <v>153</v>
      </c>
      <c r="W135" s="4" t="s">
        <v>153</v>
      </c>
      <c r="X135" s="4" t="s">
        <v>153</v>
      </c>
      <c r="Y135" s="4" t="s">
        <v>153</v>
      </c>
      <c r="Z135" s="4" t="s">
        <v>153</v>
      </c>
      <c r="AA135" s="4" t="s">
        <v>153</v>
      </c>
      <c r="AB135" s="4" t="s">
        <v>153</v>
      </c>
      <c r="AC135" s="4" t="s">
        <v>153</v>
      </c>
      <c r="AD135" s="4" t="s">
        <v>153</v>
      </c>
      <c r="AE135" s="4" t="s">
        <v>153</v>
      </c>
      <c r="AF135" s="4" t="s">
        <v>153</v>
      </c>
      <c r="AG135" s="4" t="s">
        <v>153</v>
      </c>
      <c r="AH135" s="4" t="s">
        <v>153</v>
      </c>
      <c r="AI135" s="5"/>
      <c r="AJ135" t="s">
        <v>153</v>
      </c>
      <c r="AK135" s="4"/>
      <c r="AL135" t="s">
        <v>153</v>
      </c>
      <c r="AM135" t="s">
        <v>153</v>
      </c>
      <c r="AO135" t="s">
        <v>153</v>
      </c>
      <c r="AP135" s="4"/>
      <c r="AQ135" t="s">
        <v>153</v>
      </c>
      <c r="AR135" s="5">
        <v>45291</v>
      </c>
      <c r="AS135">
        <v>0</v>
      </c>
      <c r="AT135" s="4" t="s">
        <v>153</v>
      </c>
      <c r="AU135" s="4" t="s">
        <v>153</v>
      </c>
      <c r="AV135" s="4" t="s">
        <v>256</v>
      </c>
      <c r="AW135" t="s">
        <v>153</v>
      </c>
      <c r="AX135" t="s">
        <v>153</v>
      </c>
      <c r="AY135" t="s">
        <v>1904</v>
      </c>
      <c r="AZ135" t="s">
        <v>153</v>
      </c>
      <c r="BA135" t="s">
        <v>153</v>
      </c>
      <c r="BB135" t="s">
        <v>153</v>
      </c>
      <c r="BC135" t="s">
        <v>153</v>
      </c>
      <c r="BD135" s="4" t="s">
        <v>1905</v>
      </c>
      <c r="BE135" s="4" t="s">
        <v>1906</v>
      </c>
      <c r="BF135" t="s">
        <v>242</v>
      </c>
      <c r="BG135" s="4" t="s">
        <v>362</v>
      </c>
      <c r="BH135" t="s">
        <v>153</v>
      </c>
      <c r="BI135" s="4" t="s">
        <v>153</v>
      </c>
      <c r="BJ135" t="s">
        <v>153</v>
      </c>
      <c r="BK135" s="4" t="s">
        <v>153</v>
      </c>
      <c r="BL135" t="s">
        <v>153</v>
      </c>
      <c r="BM135" t="s">
        <v>153</v>
      </c>
      <c r="BN135" s="4" t="s">
        <v>153</v>
      </c>
      <c r="BO135" s="4" t="s">
        <v>153</v>
      </c>
      <c r="BP135" s="4" t="s">
        <v>153</v>
      </c>
      <c r="BQ135" s="4" t="s">
        <v>153</v>
      </c>
      <c r="BR135" s="4" t="s">
        <v>153</v>
      </c>
      <c r="BS135" s="4" t="s">
        <v>153</v>
      </c>
      <c r="BT135" s="4" t="s">
        <v>153</v>
      </c>
      <c r="BU135" s="4" t="s">
        <v>153</v>
      </c>
      <c r="BV135" s="4"/>
      <c r="BW135" s="4" t="s">
        <v>153</v>
      </c>
      <c r="BX135" s="4" t="s">
        <v>153</v>
      </c>
      <c r="BY135" s="4" t="s">
        <v>153</v>
      </c>
      <c r="BZ135" s="4" t="s">
        <v>153</v>
      </c>
      <c r="CA135" s="4" t="s">
        <v>153</v>
      </c>
      <c r="CB135" s="4"/>
      <c r="CC135" s="4" t="s">
        <v>153</v>
      </c>
      <c r="CD135" t="s">
        <v>153</v>
      </c>
      <c r="CE135" s="4" t="s">
        <v>153</v>
      </c>
      <c r="CF135" s="4" t="s">
        <v>153</v>
      </c>
      <c r="CG135" s="4" t="s">
        <v>153</v>
      </c>
      <c r="CH135" s="5"/>
      <c r="CI135" t="s">
        <v>153</v>
      </c>
      <c r="CJ135" s="4"/>
      <c r="CK135" t="s">
        <v>153</v>
      </c>
      <c r="CL135" t="s">
        <v>153</v>
      </c>
      <c r="CM135" t="s">
        <v>153</v>
      </c>
      <c r="CN135" t="s">
        <v>153</v>
      </c>
      <c r="CO135" s="5"/>
      <c r="CP135" s="4" t="s">
        <v>153</v>
      </c>
      <c r="CQ135" s="4" t="s">
        <v>153</v>
      </c>
      <c r="CR135" t="s">
        <v>153</v>
      </c>
      <c r="CS135" t="s">
        <v>153</v>
      </c>
      <c r="CT135" t="s">
        <v>153</v>
      </c>
      <c r="CU135" t="s">
        <v>153</v>
      </c>
      <c r="CV135" t="s">
        <v>153</v>
      </c>
      <c r="CW135" t="s">
        <v>153</v>
      </c>
      <c r="CX135" t="s">
        <v>153</v>
      </c>
      <c r="CY135" t="s">
        <v>153</v>
      </c>
      <c r="CZ135" t="s">
        <v>153</v>
      </c>
      <c r="DA135" t="s">
        <v>153</v>
      </c>
      <c r="DB135" t="s">
        <v>153</v>
      </c>
      <c r="DC135" t="s">
        <v>153</v>
      </c>
      <c r="DD135" t="s">
        <v>153</v>
      </c>
      <c r="DE135" t="s">
        <v>153</v>
      </c>
      <c r="DF135" t="s">
        <v>153</v>
      </c>
      <c r="DG135" t="s">
        <v>153</v>
      </c>
      <c r="DI135" t="s">
        <v>153</v>
      </c>
      <c r="DJ135" t="s">
        <v>153</v>
      </c>
      <c r="DK135" t="s">
        <v>153</v>
      </c>
      <c r="DL135" t="s">
        <v>153</v>
      </c>
      <c r="DN135" t="s">
        <v>153</v>
      </c>
      <c r="DO135" t="s">
        <v>153</v>
      </c>
      <c r="DP135" t="s">
        <v>153</v>
      </c>
      <c r="DQ135" t="s">
        <v>153</v>
      </c>
      <c r="DR135" t="s">
        <v>153</v>
      </c>
      <c r="DS135" t="s">
        <v>153</v>
      </c>
      <c r="DT135" t="s">
        <v>153</v>
      </c>
      <c r="DU135" t="s">
        <v>153</v>
      </c>
      <c r="DV135" t="s">
        <v>153</v>
      </c>
      <c r="DW135" t="s">
        <v>153</v>
      </c>
      <c r="DX135" s="2"/>
      <c r="DY135" t="s">
        <v>153</v>
      </c>
      <c r="DZ135" t="s">
        <v>153</v>
      </c>
      <c r="EA135" t="s">
        <v>153</v>
      </c>
      <c r="EB135" t="s">
        <v>153</v>
      </c>
      <c r="EC135" t="s">
        <v>153</v>
      </c>
      <c r="ED135" t="s">
        <v>153</v>
      </c>
      <c r="EE135" t="s">
        <v>153</v>
      </c>
      <c r="EF135" t="s">
        <v>153</v>
      </c>
      <c r="EH135" t="s">
        <v>153</v>
      </c>
      <c r="EI135" t="s">
        <v>153</v>
      </c>
      <c r="EJ135" t="s">
        <v>153</v>
      </c>
      <c r="EK135" t="s">
        <v>153</v>
      </c>
      <c r="EM135" t="s">
        <v>153</v>
      </c>
      <c r="EN135" t="s">
        <v>153</v>
      </c>
      <c r="EP135" s="4" t="s">
        <v>153</v>
      </c>
      <c r="EQ135" s="4" t="s">
        <v>153</v>
      </c>
      <c r="ER135" s="4" t="s">
        <v>153</v>
      </c>
      <c r="ES135" s="4" t="s">
        <v>153</v>
      </c>
      <c r="ET135" t="s">
        <v>1907</v>
      </c>
      <c r="EU135" t="s">
        <v>1908</v>
      </c>
      <c r="EV135" t="s">
        <v>1909</v>
      </c>
      <c r="EW135">
        <v>1200380102</v>
      </c>
      <c r="EX135" t="s">
        <v>1910</v>
      </c>
    </row>
    <row r="136" spans="1:154" x14ac:dyDescent="0.25">
      <c r="A136" s="3">
        <v>45359.444733796299</v>
      </c>
      <c r="B136" s="4" t="s">
        <v>153</v>
      </c>
      <c r="C136" s="4" t="s">
        <v>154</v>
      </c>
      <c r="D136" s="4" t="s">
        <v>155</v>
      </c>
      <c r="E136" s="4" t="s">
        <v>156</v>
      </c>
      <c r="F136" s="4" t="s">
        <v>157</v>
      </c>
      <c r="G136" s="4" t="s">
        <v>423</v>
      </c>
      <c r="H136" s="4" t="s">
        <v>159</v>
      </c>
      <c r="I136" s="4" t="s">
        <v>153</v>
      </c>
      <c r="J136" s="4" t="s">
        <v>1911</v>
      </c>
      <c r="K136" s="5"/>
      <c r="L136" s="4" t="s">
        <v>153</v>
      </c>
      <c r="M136" s="4" t="s">
        <v>153</v>
      </c>
      <c r="N136" s="4" t="s">
        <v>153</v>
      </c>
      <c r="O136" s="4" t="s">
        <v>153</v>
      </c>
      <c r="P136" s="4" t="s">
        <v>153</v>
      </c>
      <c r="Q136" s="4" t="s">
        <v>153</v>
      </c>
      <c r="R136" s="4" t="s">
        <v>153</v>
      </c>
      <c r="S136" s="4" t="s">
        <v>153</v>
      </c>
      <c r="T136" s="4" t="s">
        <v>153</v>
      </c>
      <c r="U136" s="4" t="s">
        <v>153</v>
      </c>
      <c r="V136" s="4" t="s">
        <v>153</v>
      </c>
      <c r="W136" s="4" t="s">
        <v>153</v>
      </c>
      <c r="X136" s="4" t="s">
        <v>153</v>
      </c>
      <c r="Y136" s="4" t="s">
        <v>153</v>
      </c>
      <c r="Z136" s="4" t="s">
        <v>153</v>
      </c>
      <c r="AA136" s="4" t="s">
        <v>153</v>
      </c>
      <c r="AB136" s="4" t="s">
        <v>153</v>
      </c>
      <c r="AC136" s="4" t="s">
        <v>153</v>
      </c>
      <c r="AD136" s="4" t="s">
        <v>153</v>
      </c>
      <c r="AE136" s="4" t="s">
        <v>153</v>
      </c>
      <c r="AF136" s="4" t="s">
        <v>153</v>
      </c>
      <c r="AG136" s="4" t="s">
        <v>153</v>
      </c>
      <c r="AH136" s="4" t="s">
        <v>153</v>
      </c>
      <c r="AI136" s="5"/>
      <c r="AJ136" t="s">
        <v>153</v>
      </c>
      <c r="AK136" s="4"/>
      <c r="AL136" t="s">
        <v>153</v>
      </c>
      <c r="AM136" t="s">
        <v>153</v>
      </c>
      <c r="AO136" t="s">
        <v>153</v>
      </c>
      <c r="AP136" s="4"/>
      <c r="AQ136" t="s">
        <v>153</v>
      </c>
      <c r="AR136" s="5"/>
      <c r="AT136" s="4" t="s">
        <v>153</v>
      </c>
      <c r="AU136" s="4" t="s">
        <v>153</v>
      </c>
      <c r="AV136" s="4" t="s">
        <v>153</v>
      </c>
      <c r="AW136" t="s">
        <v>153</v>
      </c>
      <c r="AX136" t="s">
        <v>153</v>
      </c>
      <c r="AY136" t="s">
        <v>153</v>
      </c>
      <c r="AZ136" t="s">
        <v>153</v>
      </c>
      <c r="BA136" t="s">
        <v>153</v>
      </c>
      <c r="BB136" t="s">
        <v>153</v>
      </c>
      <c r="BC136" t="s">
        <v>153</v>
      </c>
      <c r="BD136" s="4" t="s">
        <v>153</v>
      </c>
      <c r="BE136" s="4" t="s">
        <v>153</v>
      </c>
      <c r="BF136" t="s">
        <v>153</v>
      </c>
      <c r="BG136" s="4" t="s">
        <v>153</v>
      </c>
      <c r="BH136" t="s">
        <v>153</v>
      </c>
      <c r="BI136" s="4" t="s">
        <v>153</v>
      </c>
      <c r="BJ136" t="s">
        <v>1912</v>
      </c>
      <c r="BK136" s="4" t="s">
        <v>153</v>
      </c>
      <c r="BL136" t="s">
        <v>153</v>
      </c>
      <c r="BM136" t="s">
        <v>153</v>
      </c>
      <c r="BN136" s="4" t="s">
        <v>153</v>
      </c>
      <c r="BO136" s="4" t="s">
        <v>153</v>
      </c>
      <c r="BP136" s="4" t="s">
        <v>153</v>
      </c>
      <c r="BQ136" s="4" t="s">
        <v>153</v>
      </c>
      <c r="BR136" s="4" t="s">
        <v>153</v>
      </c>
      <c r="BS136" s="4" t="s">
        <v>153</v>
      </c>
      <c r="BT136" s="4" t="s">
        <v>153</v>
      </c>
      <c r="BU136" s="4" t="s">
        <v>153</v>
      </c>
      <c r="BV136" s="4"/>
      <c r="BW136" s="4" t="s">
        <v>430</v>
      </c>
      <c r="BX136" s="4" t="s">
        <v>153</v>
      </c>
      <c r="BY136" s="4" t="s">
        <v>153</v>
      </c>
      <c r="BZ136" s="4" t="s">
        <v>153</v>
      </c>
      <c r="CA136" s="4" t="s">
        <v>153</v>
      </c>
      <c r="CB136" s="4"/>
      <c r="CC136" s="4" t="s">
        <v>430</v>
      </c>
      <c r="CD136" t="s">
        <v>153</v>
      </c>
      <c r="CE136" s="4" t="s">
        <v>153</v>
      </c>
      <c r="CF136" s="4" t="s">
        <v>153</v>
      </c>
      <c r="CG136" s="4" t="s">
        <v>153</v>
      </c>
      <c r="CH136" s="5"/>
      <c r="CI136" t="s">
        <v>153</v>
      </c>
      <c r="CJ136" s="4"/>
      <c r="CK136" t="s">
        <v>153</v>
      </c>
      <c r="CL136" t="s">
        <v>153</v>
      </c>
      <c r="CM136" t="s">
        <v>153</v>
      </c>
      <c r="CN136" t="s">
        <v>153</v>
      </c>
      <c r="CO136" s="5"/>
      <c r="CP136" s="4" t="s">
        <v>153</v>
      </c>
      <c r="CQ136" s="4" t="s">
        <v>153</v>
      </c>
      <c r="CR136" t="s">
        <v>153</v>
      </c>
      <c r="CS136" t="s">
        <v>153</v>
      </c>
      <c r="CT136" t="s">
        <v>153</v>
      </c>
      <c r="CU136" t="s">
        <v>153</v>
      </c>
      <c r="CV136" t="s">
        <v>153</v>
      </c>
      <c r="CW136" t="s">
        <v>153</v>
      </c>
      <c r="CX136" t="s">
        <v>153</v>
      </c>
      <c r="CY136" t="s">
        <v>153</v>
      </c>
      <c r="CZ136" t="s">
        <v>153</v>
      </c>
      <c r="DA136" t="s">
        <v>153</v>
      </c>
      <c r="DB136" t="s">
        <v>153</v>
      </c>
      <c r="DC136" t="s">
        <v>153</v>
      </c>
      <c r="DD136" t="s">
        <v>153</v>
      </c>
      <c r="DE136" t="s">
        <v>153</v>
      </c>
      <c r="DF136" t="s">
        <v>153</v>
      </c>
      <c r="DG136" t="s">
        <v>153</v>
      </c>
      <c r="DI136" t="s">
        <v>153</v>
      </c>
      <c r="DJ136" t="s">
        <v>153</v>
      </c>
      <c r="DK136" t="s">
        <v>153</v>
      </c>
      <c r="DL136" t="s">
        <v>153</v>
      </c>
      <c r="DN136" t="s">
        <v>153</v>
      </c>
      <c r="DO136" t="s">
        <v>153</v>
      </c>
      <c r="DP136" t="s">
        <v>153</v>
      </c>
      <c r="DQ136" t="s">
        <v>153</v>
      </c>
      <c r="DR136" t="s">
        <v>153</v>
      </c>
      <c r="DS136" t="s">
        <v>153</v>
      </c>
      <c r="DT136" t="s">
        <v>153</v>
      </c>
      <c r="DU136" t="s">
        <v>153</v>
      </c>
      <c r="DV136" t="s">
        <v>153</v>
      </c>
      <c r="DW136" t="s">
        <v>153</v>
      </c>
      <c r="DX136" s="2"/>
      <c r="DY136" t="s">
        <v>153</v>
      </c>
      <c r="DZ136" t="s">
        <v>153</v>
      </c>
      <c r="EA136" t="s">
        <v>153</v>
      </c>
      <c r="EB136" t="s">
        <v>153</v>
      </c>
      <c r="EC136" t="s">
        <v>153</v>
      </c>
      <c r="ED136" t="s">
        <v>153</v>
      </c>
      <c r="EE136" t="s">
        <v>153</v>
      </c>
      <c r="EF136" t="s">
        <v>153</v>
      </c>
      <c r="EH136" t="s">
        <v>153</v>
      </c>
      <c r="EI136" t="s">
        <v>153</v>
      </c>
      <c r="EJ136" t="s">
        <v>153</v>
      </c>
      <c r="EK136" t="s">
        <v>153</v>
      </c>
      <c r="EM136" t="s">
        <v>153</v>
      </c>
      <c r="EN136" t="s">
        <v>153</v>
      </c>
      <c r="EP136" s="4" t="s">
        <v>153</v>
      </c>
      <c r="EQ136" s="4" t="s">
        <v>153</v>
      </c>
      <c r="ER136" s="4" t="s">
        <v>153</v>
      </c>
      <c r="ES136" s="4" t="s">
        <v>153</v>
      </c>
      <c r="ET136" t="s">
        <v>1913</v>
      </c>
      <c r="EU136" t="s">
        <v>1898</v>
      </c>
      <c r="EV136" t="s">
        <v>179</v>
      </c>
      <c r="EW136">
        <v>1202678627</v>
      </c>
      <c r="EX136" t="s">
        <v>1183</v>
      </c>
    </row>
    <row r="137" spans="1:154" x14ac:dyDescent="0.25">
      <c r="A137" s="3">
        <v>45359.448344907411</v>
      </c>
      <c r="B137" s="4" t="s">
        <v>153</v>
      </c>
      <c r="C137" s="4" t="s">
        <v>154</v>
      </c>
      <c r="D137" s="4" t="s">
        <v>155</v>
      </c>
      <c r="E137" s="4" t="s">
        <v>156</v>
      </c>
      <c r="F137" s="4" t="s">
        <v>157</v>
      </c>
      <c r="G137" s="4" t="s">
        <v>423</v>
      </c>
      <c r="H137" s="4" t="s">
        <v>159</v>
      </c>
      <c r="I137" s="4" t="s">
        <v>153</v>
      </c>
      <c r="J137" s="4" t="s">
        <v>1914</v>
      </c>
      <c r="K137" s="5"/>
      <c r="L137" s="4" t="s">
        <v>153</v>
      </c>
      <c r="M137" s="4" t="s">
        <v>153</v>
      </c>
      <c r="N137" s="4" t="s">
        <v>153</v>
      </c>
      <c r="O137" s="4" t="s">
        <v>153</v>
      </c>
      <c r="P137" s="4" t="s">
        <v>153</v>
      </c>
      <c r="Q137" s="4" t="s">
        <v>153</v>
      </c>
      <c r="R137" s="4" t="s">
        <v>153</v>
      </c>
      <c r="S137" s="4" t="s">
        <v>153</v>
      </c>
      <c r="T137" s="4" t="s">
        <v>153</v>
      </c>
      <c r="U137" s="4" t="s">
        <v>153</v>
      </c>
      <c r="V137" s="4" t="s">
        <v>153</v>
      </c>
      <c r="W137" s="4" t="s">
        <v>153</v>
      </c>
      <c r="X137" s="4" t="s">
        <v>153</v>
      </c>
      <c r="Y137" s="4" t="s">
        <v>153</v>
      </c>
      <c r="Z137" s="4" t="s">
        <v>153</v>
      </c>
      <c r="AA137" s="4" t="s">
        <v>153</v>
      </c>
      <c r="AB137" s="4" t="s">
        <v>153</v>
      </c>
      <c r="AC137" s="4" t="s">
        <v>153</v>
      </c>
      <c r="AD137" s="4" t="s">
        <v>153</v>
      </c>
      <c r="AE137" s="4" t="s">
        <v>153</v>
      </c>
      <c r="AF137" s="4" t="s">
        <v>153</v>
      </c>
      <c r="AG137" s="4" t="s">
        <v>153</v>
      </c>
      <c r="AH137" s="4" t="s">
        <v>153</v>
      </c>
      <c r="AI137" s="5"/>
      <c r="AJ137" t="s">
        <v>153</v>
      </c>
      <c r="AK137" s="4"/>
      <c r="AL137" t="s">
        <v>153</v>
      </c>
      <c r="AM137" t="s">
        <v>153</v>
      </c>
      <c r="AO137" t="s">
        <v>153</v>
      </c>
      <c r="AP137" s="4"/>
      <c r="AQ137" t="s">
        <v>153</v>
      </c>
      <c r="AR137" s="5"/>
      <c r="AT137" s="4" t="s">
        <v>153</v>
      </c>
      <c r="AU137" s="4" t="s">
        <v>153</v>
      </c>
      <c r="AV137" s="4" t="s">
        <v>153</v>
      </c>
      <c r="AW137" t="s">
        <v>153</v>
      </c>
      <c r="AX137" t="s">
        <v>153</v>
      </c>
      <c r="AY137" t="s">
        <v>153</v>
      </c>
      <c r="AZ137" t="s">
        <v>153</v>
      </c>
      <c r="BA137" t="s">
        <v>153</v>
      </c>
      <c r="BB137" t="s">
        <v>153</v>
      </c>
      <c r="BC137" t="s">
        <v>153</v>
      </c>
      <c r="BD137" s="4" t="s">
        <v>153</v>
      </c>
      <c r="BE137" s="4" t="s">
        <v>153</v>
      </c>
      <c r="BF137" t="s">
        <v>153</v>
      </c>
      <c r="BG137" s="4" t="s">
        <v>153</v>
      </c>
      <c r="BH137" t="s">
        <v>153</v>
      </c>
      <c r="BI137" s="4" t="s">
        <v>153</v>
      </c>
      <c r="BJ137" t="s">
        <v>153</v>
      </c>
      <c r="BK137" s="4" t="s">
        <v>153</v>
      </c>
      <c r="BL137" t="s">
        <v>153</v>
      </c>
      <c r="BM137" t="s">
        <v>153</v>
      </c>
      <c r="BN137" s="4" t="s">
        <v>153</v>
      </c>
      <c r="BO137" s="4" t="s">
        <v>153</v>
      </c>
      <c r="BP137" s="4" t="s">
        <v>153</v>
      </c>
      <c r="BQ137" s="4" t="s">
        <v>153</v>
      </c>
      <c r="BR137" s="4" t="s">
        <v>1915</v>
      </c>
      <c r="BS137" s="4" t="s">
        <v>153</v>
      </c>
      <c r="BT137" s="4" t="s">
        <v>1916</v>
      </c>
      <c r="BU137" s="4" t="s">
        <v>167</v>
      </c>
      <c r="BV137" s="4">
        <v>98007</v>
      </c>
      <c r="BW137" s="4" t="s">
        <v>430</v>
      </c>
      <c r="BX137" s="4" t="s">
        <v>1917</v>
      </c>
      <c r="BY137" s="4" t="s">
        <v>153</v>
      </c>
      <c r="BZ137" s="4" t="s">
        <v>1918</v>
      </c>
      <c r="CA137" s="4" t="s">
        <v>167</v>
      </c>
      <c r="CB137" s="4">
        <v>98056</v>
      </c>
      <c r="CC137" s="4" t="s">
        <v>430</v>
      </c>
      <c r="CD137" t="s">
        <v>153</v>
      </c>
      <c r="CE137" s="4" t="s">
        <v>1919</v>
      </c>
      <c r="CF137" s="4" t="s">
        <v>1920</v>
      </c>
      <c r="CG137" s="4" t="s">
        <v>153</v>
      </c>
      <c r="CH137" s="5"/>
      <c r="CI137" t="s">
        <v>153</v>
      </c>
      <c r="CJ137" s="4"/>
      <c r="CK137" t="s">
        <v>153</v>
      </c>
      <c r="CL137" t="s">
        <v>153</v>
      </c>
      <c r="CM137" t="s">
        <v>1921</v>
      </c>
      <c r="CN137" t="s">
        <v>153</v>
      </c>
      <c r="CO137" s="5"/>
      <c r="CP137" s="4" t="s">
        <v>153</v>
      </c>
      <c r="CQ137" s="4" t="s">
        <v>153</v>
      </c>
      <c r="CR137" t="s">
        <v>153</v>
      </c>
      <c r="CS137" t="s">
        <v>153</v>
      </c>
      <c r="CT137" t="s">
        <v>153</v>
      </c>
      <c r="CU137" t="s">
        <v>153</v>
      </c>
      <c r="CV137" t="s">
        <v>153</v>
      </c>
      <c r="CW137" t="s">
        <v>153</v>
      </c>
      <c r="CX137" t="s">
        <v>153</v>
      </c>
      <c r="CY137" t="s">
        <v>153</v>
      </c>
      <c r="CZ137" t="s">
        <v>153</v>
      </c>
      <c r="DA137" t="s">
        <v>153</v>
      </c>
      <c r="DB137" t="s">
        <v>153</v>
      </c>
      <c r="DC137" t="s">
        <v>153</v>
      </c>
      <c r="DD137" t="s">
        <v>153</v>
      </c>
      <c r="DE137" t="s">
        <v>153</v>
      </c>
      <c r="DF137" t="s">
        <v>153</v>
      </c>
      <c r="DG137" t="s">
        <v>153</v>
      </c>
      <c r="DI137" t="s">
        <v>153</v>
      </c>
      <c r="DJ137" t="s">
        <v>153</v>
      </c>
      <c r="DK137" t="s">
        <v>153</v>
      </c>
      <c r="DL137" t="s">
        <v>153</v>
      </c>
      <c r="DN137" t="s">
        <v>153</v>
      </c>
      <c r="DO137" t="s">
        <v>153</v>
      </c>
      <c r="DP137" t="s">
        <v>153</v>
      </c>
      <c r="DQ137" t="s">
        <v>153</v>
      </c>
      <c r="DR137" t="s">
        <v>153</v>
      </c>
      <c r="DS137" t="s">
        <v>153</v>
      </c>
      <c r="DT137" t="s">
        <v>153</v>
      </c>
      <c r="DU137" t="s">
        <v>153</v>
      </c>
      <c r="DV137" t="s">
        <v>153</v>
      </c>
      <c r="DW137" t="s">
        <v>153</v>
      </c>
      <c r="DX137" s="2"/>
      <c r="DY137" t="s">
        <v>153</v>
      </c>
      <c r="DZ137" t="s">
        <v>153</v>
      </c>
      <c r="EA137" t="s">
        <v>153</v>
      </c>
      <c r="EB137" t="s">
        <v>153</v>
      </c>
      <c r="EC137" t="s">
        <v>153</v>
      </c>
      <c r="ED137" t="s">
        <v>153</v>
      </c>
      <c r="EE137" t="s">
        <v>153</v>
      </c>
      <c r="EF137" t="s">
        <v>153</v>
      </c>
      <c r="EH137" t="s">
        <v>153</v>
      </c>
      <c r="EI137" t="s">
        <v>153</v>
      </c>
      <c r="EJ137" t="s">
        <v>153</v>
      </c>
      <c r="EK137" t="s">
        <v>153</v>
      </c>
      <c r="EM137" t="s">
        <v>153</v>
      </c>
      <c r="EN137" t="s">
        <v>153</v>
      </c>
      <c r="EP137" s="4" t="s">
        <v>153</v>
      </c>
      <c r="EQ137" s="4" t="s">
        <v>153</v>
      </c>
      <c r="ER137" s="4" t="s">
        <v>153</v>
      </c>
      <c r="ES137" s="4" t="s">
        <v>153</v>
      </c>
      <c r="ET137" t="s">
        <v>153</v>
      </c>
      <c r="EU137" t="s">
        <v>1898</v>
      </c>
      <c r="EV137" t="s">
        <v>179</v>
      </c>
      <c r="EW137">
        <v>1202680725</v>
      </c>
      <c r="EX137" t="s">
        <v>1183</v>
      </c>
    </row>
    <row r="138" spans="1:154" x14ac:dyDescent="0.25">
      <c r="A138" s="3">
        <v>45364.796041666668</v>
      </c>
      <c r="B138" s="4" t="s">
        <v>153</v>
      </c>
      <c r="C138" s="4" t="s">
        <v>877</v>
      </c>
      <c r="D138" s="4" t="s">
        <v>878</v>
      </c>
      <c r="E138" s="4" t="s">
        <v>879</v>
      </c>
      <c r="F138" s="4" t="s">
        <v>880</v>
      </c>
      <c r="G138" s="4" t="s">
        <v>158</v>
      </c>
      <c r="H138" s="4" t="s">
        <v>566</v>
      </c>
      <c r="I138" s="4" t="s">
        <v>153</v>
      </c>
      <c r="J138" s="4" t="s">
        <v>153</v>
      </c>
      <c r="K138" s="5"/>
      <c r="L138" s="4" t="s">
        <v>153</v>
      </c>
      <c r="M138" s="4" t="s">
        <v>153</v>
      </c>
      <c r="N138" s="4" t="s">
        <v>153</v>
      </c>
      <c r="O138" s="4" t="s">
        <v>153</v>
      </c>
      <c r="P138" s="4" t="s">
        <v>153</v>
      </c>
      <c r="Q138" s="4" t="s">
        <v>153</v>
      </c>
      <c r="R138" s="4" t="s">
        <v>153</v>
      </c>
      <c r="S138" s="4" t="s">
        <v>153</v>
      </c>
      <c r="T138" s="4" t="s">
        <v>153</v>
      </c>
      <c r="U138" s="4" t="s">
        <v>153</v>
      </c>
      <c r="V138" s="4" t="s">
        <v>153</v>
      </c>
      <c r="W138" s="4" t="s">
        <v>153</v>
      </c>
      <c r="X138" s="4" t="s">
        <v>153</v>
      </c>
      <c r="Y138" s="4" t="s">
        <v>153</v>
      </c>
      <c r="Z138" s="4" t="s">
        <v>153</v>
      </c>
      <c r="AA138" s="4" t="s">
        <v>153</v>
      </c>
      <c r="AB138" s="4" t="s">
        <v>153</v>
      </c>
      <c r="AC138" s="4" t="s">
        <v>153</v>
      </c>
      <c r="AD138" s="4" t="s">
        <v>153</v>
      </c>
      <c r="AE138" s="4" t="s">
        <v>153</v>
      </c>
      <c r="AF138" s="4" t="s">
        <v>153</v>
      </c>
      <c r="AG138" s="4" t="s">
        <v>153</v>
      </c>
      <c r="AH138" s="4" t="s">
        <v>153</v>
      </c>
      <c r="AI138" s="5"/>
      <c r="AJ138" t="s">
        <v>153</v>
      </c>
      <c r="AK138" s="4"/>
      <c r="AL138" t="s">
        <v>153</v>
      </c>
      <c r="AM138" t="s">
        <v>153</v>
      </c>
      <c r="AO138" t="s">
        <v>153</v>
      </c>
      <c r="AP138" s="4"/>
      <c r="AQ138" t="s">
        <v>153</v>
      </c>
      <c r="AR138" s="5"/>
      <c r="AT138" s="4" t="s">
        <v>153</v>
      </c>
      <c r="AU138" s="4" t="s">
        <v>153</v>
      </c>
      <c r="AV138" s="4" t="s">
        <v>153</v>
      </c>
      <c r="AW138" t="s">
        <v>153</v>
      </c>
      <c r="AX138" t="s">
        <v>153</v>
      </c>
      <c r="AY138" t="s">
        <v>153</v>
      </c>
      <c r="AZ138" t="s">
        <v>153</v>
      </c>
      <c r="BA138" t="s">
        <v>153</v>
      </c>
      <c r="BB138" t="s">
        <v>153</v>
      </c>
      <c r="BC138" t="s">
        <v>153</v>
      </c>
      <c r="BD138" s="4" t="s">
        <v>153</v>
      </c>
      <c r="BE138" s="4" t="s">
        <v>153</v>
      </c>
      <c r="BF138" t="s">
        <v>153</v>
      </c>
      <c r="BG138" s="4" t="s">
        <v>153</v>
      </c>
      <c r="BH138" t="s">
        <v>153</v>
      </c>
      <c r="BI138" s="4" t="s">
        <v>153</v>
      </c>
      <c r="BJ138" t="s">
        <v>153</v>
      </c>
      <c r="BK138" s="4" t="s">
        <v>153</v>
      </c>
      <c r="BL138" t="s">
        <v>153</v>
      </c>
      <c r="BM138" t="s">
        <v>153</v>
      </c>
      <c r="BN138" s="4" t="s">
        <v>153</v>
      </c>
      <c r="BO138" s="4" t="s">
        <v>153</v>
      </c>
      <c r="BP138" s="4" t="s">
        <v>153</v>
      </c>
      <c r="BQ138" s="4" t="s">
        <v>153</v>
      </c>
      <c r="BR138" s="4" t="s">
        <v>153</v>
      </c>
      <c r="BS138" s="4" t="s">
        <v>153</v>
      </c>
      <c r="BT138" s="4" t="s">
        <v>153</v>
      </c>
      <c r="BU138" s="4" t="s">
        <v>153</v>
      </c>
      <c r="BV138" s="4"/>
      <c r="BW138" s="4" t="s">
        <v>153</v>
      </c>
      <c r="BX138" s="4" t="s">
        <v>153</v>
      </c>
      <c r="BY138" s="4" t="s">
        <v>153</v>
      </c>
      <c r="BZ138" s="4" t="s">
        <v>153</v>
      </c>
      <c r="CA138" s="4" t="s">
        <v>153</v>
      </c>
      <c r="CB138" s="4"/>
      <c r="CC138" s="4" t="s">
        <v>153</v>
      </c>
      <c r="CD138" t="s">
        <v>153</v>
      </c>
      <c r="CE138" s="4" t="s">
        <v>153</v>
      </c>
      <c r="CF138" s="4" t="s">
        <v>153</v>
      </c>
      <c r="CG138" s="4" t="s">
        <v>153</v>
      </c>
      <c r="CH138" s="5"/>
      <c r="CI138" t="s">
        <v>153</v>
      </c>
      <c r="CJ138" s="4"/>
      <c r="CK138" t="s">
        <v>153</v>
      </c>
      <c r="CL138" t="s">
        <v>153</v>
      </c>
      <c r="CM138" t="s">
        <v>153</v>
      </c>
      <c r="CN138" t="s">
        <v>160</v>
      </c>
      <c r="CO138" s="5">
        <v>45357</v>
      </c>
      <c r="CP138" s="4" t="s">
        <v>1922</v>
      </c>
      <c r="CQ138" s="4" t="s">
        <v>1923</v>
      </c>
      <c r="CR138" t="s">
        <v>567</v>
      </c>
      <c r="CS138" t="s">
        <v>164</v>
      </c>
      <c r="CT138" t="s">
        <v>153</v>
      </c>
      <c r="CU138" t="s">
        <v>153</v>
      </c>
      <c r="CV138" t="s">
        <v>153</v>
      </c>
      <c r="CW138" t="s">
        <v>153</v>
      </c>
      <c r="CX138" t="s">
        <v>153</v>
      </c>
      <c r="CY138" t="s">
        <v>153</v>
      </c>
      <c r="CZ138" t="s">
        <v>153</v>
      </c>
      <c r="DA138" t="s">
        <v>153</v>
      </c>
      <c r="DB138" t="s">
        <v>153</v>
      </c>
      <c r="DC138" t="s">
        <v>153</v>
      </c>
      <c r="DD138" t="s">
        <v>1924</v>
      </c>
      <c r="DE138" t="s">
        <v>153</v>
      </c>
      <c r="DF138" t="s">
        <v>1925</v>
      </c>
      <c r="DG138" t="s">
        <v>429</v>
      </c>
      <c r="DH138">
        <v>49508</v>
      </c>
      <c r="DI138" t="s">
        <v>153</v>
      </c>
      <c r="DJ138" t="s">
        <v>153</v>
      </c>
      <c r="DK138" t="s">
        <v>153</v>
      </c>
      <c r="DL138" t="s">
        <v>153</v>
      </c>
      <c r="DN138" t="s">
        <v>562</v>
      </c>
      <c r="DO138" t="s">
        <v>563</v>
      </c>
      <c r="DP138" t="s">
        <v>533</v>
      </c>
      <c r="DQ138" t="s">
        <v>153</v>
      </c>
      <c r="DR138" t="s">
        <v>153</v>
      </c>
      <c r="DS138" t="s">
        <v>1926</v>
      </c>
      <c r="DT138" t="s">
        <v>153</v>
      </c>
      <c r="DU138" t="s">
        <v>1927</v>
      </c>
      <c r="DV138" t="s">
        <v>153</v>
      </c>
      <c r="DW138" t="s">
        <v>153</v>
      </c>
      <c r="DX138" s="2"/>
      <c r="DY138" t="s">
        <v>153</v>
      </c>
      <c r="DZ138" t="s">
        <v>153</v>
      </c>
      <c r="EA138" t="s">
        <v>153</v>
      </c>
      <c r="EB138" t="s">
        <v>153</v>
      </c>
      <c r="EC138" t="s">
        <v>153</v>
      </c>
      <c r="ED138" t="s">
        <v>153</v>
      </c>
      <c r="EE138" t="s">
        <v>153</v>
      </c>
      <c r="EF138" t="s">
        <v>153</v>
      </c>
      <c r="EH138" t="s">
        <v>153</v>
      </c>
      <c r="EI138" t="s">
        <v>153</v>
      </c>
      <c r="EJ138" t="s">
        <v>153</v>
      </c>
      <c r="EK138" t="s">
        <v>153</v>
      </c>
      <c r="EM138" t="s">
        <v>153</v>
      </c>
      <c r="EN138" t="s">
        <v>153</v>
      </c>
      <c r="EP138" s="4" t="s">
        <v>153</v>
      </c>
      <c r="EQ138" s="4" t="s">
        <v>153</v>
      </c>
      <c r="ER138" s="4" t="s">
        <v>191</v>
      </c>
      <c r="ES138" s="4" t="s">
        <v>153</v>
      </c>
      <c r="ET138" t="s">
        <v>1928</v>
      </c>
      <c r="EU138" t="s">
        <v>1898</v>
      </c>
      <c r="EV138" t="s">
        <v>1929</v>
      </c>
      <c r="EW138">
        <v>1204445074</v>
      </c>
      <c r="EX138" t="s">
        <v>1930</v>
      </c>
    </row>
    <row r="139" spans="1:154" x14ac:dyDescent="0.25">
      <c r="A139" s="3">
        <v>45376.633159722223</v>
      </c>
      <c r="B139" s="4" t="s">
        <v>153</v>
      </c>
      <c r="C139" s="4" t="s">
        <v>892</v>
      </c>
      <c r="D139" s="4" t="s">
        <v>893</v>
      </c>
      <c r="E139" s="4" t="s">
        <v>894</v>
      </c>
      <c r="F139" s="4" t="s">
        <v>895</v>
      </c>
      <c r="G139" s="4" t="s">
        <v>948</v>
      </c>
      <c r="H139" s="4" t="s">
        <v>542</v>
      </c>
      <c r="I139" s="4" t="s">
        <v>153</v>
      </c>
      <c r="J139" s="4" t="s">
        <v>1931</v>
      </c>
      <c r="K139" s="5">
        <v>45352</v>
      </c>
      <c r="L139" s="4" t="s">
        <v>327</v>
      </c>
      <c r="M139" s="4" t="s">
        <v>1932</v>
      </c>
      <c r="N139" s="4" t="s">
        <v>1933</v>
      </c>
      <c r="O139" s="4" t="s">
        <v>1934</v>
      </c>
      <c r="P139" s="4" t="s">
        <v>1544</v>
      </c>
      <c r="Q139" s="4" t="s">
        <v>153</v>
      </c>
      <c r="R139" s="4" t="s">
        <v>191</v>
      </c>
      <c r="S139" s="4" t="s">
        <v>1935</v>
      </c>
      <c r="T139" s="4" t="s">
        <v>153</v>
      </c>
      <c r="U139" s="4" t="s">
        <v>1545</v>
      </c>
      <c r="V139" s="4" t="s">
        <v>153</v>
      </c>
      <c r="W139" s="4" t="s">
        <v>1546</v>
      </c>
      <c r="X139" s="4" t="s">
        <v>1074</v>
      </c>
      <c r="Y139" s="4" t="s">
        <v>1547</v>
      </c>
      <c r="Z139" s="4" t="s">
        <v>197</v>
      </c>
      <c r="AA139" s="4" t="s">
        <v>1936</v>
      </c>
      <c r="AB139" s="4" t="s">
        <v>153</v>
      </c>
      <c r="AC139" s="4" t="s">
        <v>1937</v>
      </c>
      <c r="AD139" s="4" t="s">
        <v>1074</v>
      </c>
      <c r="AE139" s="4" t="s">
        <v>1938</v>
      </c>
      <c r="AF139" s="4" t="s">
        <v>1551</v>
      </c>
      <c r="AG139" s="4" t="s">
        <v>1939</v>
      </c>
      <c r="AH139" s="4" t="s">
        <v>153</v>
      </c>
      <c r="AI139" s="5"/>
      <c r="AJ139" t="s">
        <v>153</v>
      </c>
      <c r="AK139" s="4">
        <v>1</v>
      </c>
      <c r="AL139" t="s">
        <v>153</v>
      </c>
      <c r="AM139" t="s">
        <v>153</v>
      </c>
      <c r="AO139" t="s">
        <v>153</v>
      </c>
      <c r="AP139" s="4"/>
      <c r="AQ139" t="s">
        <v>153</v>
      </c>
      <c r="AR139" s="5"/>
      <c r="AT139" s="4" t="s">
        <v>153</v>
      </c>
      <c r="AU139" s="4" t="s">
        <v>153</v>
      </c>
      <c r="AV139" s="4" t="s">
        <v>153</v>
      </c>
      <c r="AW139" t="s">
        <v>153</v>
      </c>
      <c r="AX139" t="s">
        <v>153</v>
      </c>
      <c r="AY139" t="s">
        <v>153</v>
      </c>
      <c r="AZ139" t="s">
        <v>153</v>
      </c>
      <c r="BA139" t="s">
        <v>153</v>
      </c>
      <c r="BB139" t="s">
        <v>153</v>
      </c>
      <c r="BC139" t="s">
        <v>153</v>
      </c>
      <c r="BD139" s="4" t="s">
        <v>153</v>
      </c>
      <c r="BE139" s="4" t="s">
        <v>153</v>
      </c>
      <c r="BF139" t="s">
        <v>153</v>
      </c>
      <c r="BG139" s="4" t="s">
        <v>153</v>
      </c>
      <c r="BH139" t="s">
        <v>153</v>
      </c>
      <c r="BI139" s="4" t="s">
        <v>153</v>
      </c>
      <c r="BJ139" t="s">
        <v>153</v>
      </c>
      <c r="BK139" s="4" t="s">
        <v>153</v>
      </c>
      <c r="BL139" t="s">
        <v>153</v>
      </c>
      <c r="BM139" t="s">
        <v>153</v>
      </c>
      <c r="BN139" s="4" t="s">
        <v>153</v>
      </c>
      <c r="BO139" s="4" t="s">
        <v>153</v>
      </c>
      <c r="BP139" s="4" t="s">
        <v>153</v>
      </c>
      <c r="BQ139" s="4" t="s">
        <v>153</v>
      </c>
      <c r="BR139" s="4" t="s">
        <v>153</v>
      </c>
      <c r="BS139" s="4" t="s">
        <v>153</v>
      </c>
      <c r="BT139" s="4" t="s">
        <v>153</v>
      </c>
      <c r="BU139" s="4" t="s">
        <v>153</v>
      </c>
      <c r="BV139" s="4"/>
      <c r="BW139" s="4" t="s">
        <v>153</v>
      </c>
      <c r="BX139" s="4" t="s">
        <v>153</v>
      </c>
      <c r="BY139" s="4" t="s">
        <v>153</v>
      </c>
      <c r="BZ139" s="4" t="s">
        <v>153</v>
      </c>
      <c r="CA139" s="4" t="s">
        <v>153</v>
      </c>
      <c r="CB139" s="4"/>
      <c r="CC139" s="4" t="s">
        <v>153</v>
      </c>
      <c r="CD139" t="s">
        <v>153</v>
      </c>
      <c r="CE139" s="4" t="s">
        <v>153</v>
      </c>
      <c r="CF139" s="4" t="s">
        <v>153</v>
      </c>
      <c r="CG139" s="4" t="s">
        <v>153</v>
      </c>
      <c r="CH139" s="5"/>
      <c r="CI139" t="s">
        <v>153</v>
      </c>
      <c r="CJ139" s="4"/>
      <c r="CK139" t="s">
        <v>153</v>
      </c>
      <c r="CL139" t="s">
        <v>153</v>
      </c>
      <c r="CM139" t="s">
        <v>153</v>
      </c>
      <c r="CN139" t="s">
        <v>153</v>
      </c>
      <c r="CO139" s="5"/>
      <c r="CP139" s="4" t="s">
        <v>153</v>
      </c>
      <c r="CQ139" s="4" t="s">
        <v>153</v>
      </c>
      <c r="CR139" t="s">
        <v>153</v>
      </c>
      <c r="CS139" t="s">
        <v>153</v>
      </c>
      <c r="CT139" t="s">
        <v>153</v>
      </c>
      <c r="CU139" t="s">
        <v>153</v>
      </c>
      <c r="CV139" t="s">
        <v>153</v>
      </c>
      <c r="CW139" t="s">
        <v>153</v>
      </c>
      <c r="CX139" t="s">
        <v>153</v>
      </c>
      <c r="CY139" t="s">
        <v>153</v>
      </c>
      <c r="CZ139" t="s">
        <v>153</v>
      </c>
      <c r="DA139" t="s">
        <v>153</v>
      </c>
      <c r="DB139" t="s">
        <v>153</v>
      </c>
      <c r="DC139" t="s">
        <v>153</v>
      </c>
      <c r="DD139" t="s">
        <v>153</v>
      </c>
      <c r="DE139" t="s">
        <v>153</v>
      </c>
      <c r="DF139" t="s">
        <v>153</v>
      </c>
      <c r="DG139" t="s">
        <v>153</v>
      </c>
      <c r="DI139" t="s">
        <v>153</v>
      </c>
      <c r="DJ139" t="s">
        <v>153</v>
      </c>
      <c r="DK139" t="s">
        <v>153</v>
      </c>
      <c r="DL139" t="s">
        <v>153</v>
      </c>
      <c r="DN139" t="s">
        <v>153</v>
      </c>
      <c r="DO139" t="s">
        <v>153</v>
      </c>
      <c r="DP139" t="s">
        <v>153</v>
      </c>
      <c r="DQ139" t="s">
        <v>153</v>
      </c>
      <c r="DR139" t="s">
        <v>153</v>
      </c>
      <c r="DS139" t="s">
        <v>153</v>
      </c>
      <c r="DT139" t="s">
        <v>153</v>
      </c>
      <c r="DU139" t="s">
        <v>153</v>
      </c>
      <c r="DV139" t="s">
        <v>153</v>
      </c>
      <c r="DW139" t="s">
        <v>153</v>
      </c>
      <c r="DX139" s="2"/>
      <c r="DY139" t="s">
        <v>153</v>
      </c>
      <c r="DZ139" t="s">
        <v>153</v>
      </c>
      <c r="EA139" t="s">
        <v>153</v>
      </c>
      <c r="EB139" t="s">
        <v>153</v>
      </c>
      <c r="EC139" t="s">
        <v>153</v>
      </c>
      <c r="ED139" t="s">
        <v>153</v>
      </c>
      <c r="EE139" t="s">
        <v>153</v>
      </c>
      <c r="EF139" t="s">
        <v>153</v>
      </c>
      <c r="EH139" t="s">
        <v>153</v>
      </c>
      <c r="EI139" t="s">
        <v>153</v>
      </c>
      <c r="EJ139" t="s">
        <v>153</v>
      </c>
      <c r="EK139" t="s">
        <v>153</v>
      </c>
      <c r="EM139" t="s">
        <v>153</v>
      </c>
      <c r="EN139" t="s">
        <v>153</v>
      </c>
      <c r="EP139" s="4" t="s">
        <v>153</v>
      </c>
      <c r="EQ139" s="4" t="s">
        <v>153</v>
      </c>
      <c r="ER139" s="4" t="s">
        <v>191</v>
      </c>
      <c r="ES139" s="4" t="s">
        <v>153</v>
      </c>
      <c r="ET139" t="s">
        <v>1940</v>
      </c>
      <c r="EU139" t="s">
        <v>1941</v>
      </c>
      <c r="EV139" t="s">
        <v>909</v>
      </c>
      <c r="EW139">
        <v>1208442429</v>
      </c>
      <c r="EX139" t="s">
        <v>1093</v>
      </c>
    </row>
    <row r="140" spans="1:154" x14ac:dyDescent="0.25">
      <c r="A140" s="3">
        <v>45401.501435185186</v>
      </c>
      <c r="B140" s="4" t="s">
        <v>153</v>
      </c>
      <c r="C140" s="4" t="s">
        <v>892</v>
      </c>
      <c r="D140" s="4" t="s">
        <v>893</v>
      </c>
      <c r="E140" s="4" t="s">
        <v>894</v>
      </c>
      <c r="F140" s="4" t="s">
        <v>895</v>
      </c>
      <c r="G140" s="4" t="s">
        <v>185</v>
      </c>
      <c r="H140" s="4" t="s">
        <v>542</v>
      </c>
      <c r="I140" s="4" t="s">
        <v>153</v>
      </c>
      <c r="J140" s="4" t="s">
        <v>153</v>
      </c>
      <c r="K140" s="5"/>
      <c r="L140" s="4" t="s">
        <v>153</v>
      </c>
      <c r="M140" s="4" t="s">
        <v>1942</v>
      </c>
      <c r="N140" s="4" t="s">
        <v>1943</v>
      </c>
      <c r="O140" s="4" t="s">
        <v>1565</v>
      </c>
      <c r="P140" s="4" t="s">
        <v>1944</v>
      </c>
      <c r="Q140" s="4" t="s">
        <v>327</v>
      </c>
      <c r="R140" s="4" t="s">
        <v>191</v>
      </c>
      <c r="S140" s="4" t="s">
        <v>1945</v>
      </c>
      <c r="T140" s="4" t="s">
        <v>153</v>
      </c>
      <c r="U140" s="4" t="s">
        <v>1946</v>
      </c>
      <c r="V140" s="4" t="s">
        <v>153</v>
      </c>
      <c r="W140" s="4" t="s">
        <v>1769</v>
      </c>
      <c r="X140" s="4" t="s">
        <v>722</v>
      </c>
      <c r="Y140" s="4" t="s">
        <v>1770</v>
      </c>
      <c r="Z140" s="4" t="s">
        <v>153</v>
      </c>
      <c r="AA140" s="4" t="s">
        <v>1947</v>
      </c>
      <c r="AB140" s="4" t="s">
        <v>1948</v>
      </c>
      <c r="AC140" s="4" t="s">
        <v>1769</v>
      </c>
      <c r="AD140" s="4" t="s">
        <v>722</v>
      </c>
      <c r="AE140" s="4" t="s">
        <v>1949</v>
      </c>
      <c r="AF140" s="4" t="s">
        <v>1950</v>
      </c>
      <c r="AG140" s="4" t="s">
        <v>1951</v>
      </c>
      <c r="AH140" s="4" t="s">
        <v>153</v>
      </c>
      <c r="AI140" s="5">
        <v>45240</v>
      </c>
      <c r="AJ140" t="s">
        <v>153</v>
      </c>
      <c r="AK140" s="4"/>
      <c r="AL140" t="s">
        <v>153</v>
      </c>
      <c r="AM140" t="s">
        <v>153</v>
      </c>
      <c r="AO140" t="s">
        <v>153</v>
      </c>
      <c r="AP140" s="4"/>
      <c r="AQ140" t="s">
        <v>153</v>
      </c>
      <c r="AR140" s="5"/>
      <c r="AT140" s="4" t="s">
        <v>153</v>
      </c>
      <c r="AU140" s="4" t="s">
        <v>153</v>
      </c>
      <c r="AV140" s="4" t="s">
        <v>153</v>
      </c>
      <c r="AW140" t="s">
        <v>153</v>
      </c>
      <c r="AX140" t="s">
        <v>153</v>
      </c>
      <c r="AY140" t="s">
        <v>153</v>
      </c>
      <c r="AZ140" t="s">
        <v>153</v>
      </c>
      <c r="BA140" t="s">
        <v>153</v>
      </c>
      <c r="BB140" t="s">
        <v>153</v>
      </c>
      <c r="BC140" t="s">
        <v>153</v>
      </c>
      <c r="BD140" s="4" t="s">
        <v>153</v>
      </c>
      <c r="BE140" s="4" t="s">
        <v>153</v>
      </c>
      <c r="BF140" t="s">
        <v>153</v>
      </c>
      <c r="BG140" s="4" t="s">
        <v>153</v>
      </c>
      <c r="BH140" t="s">
        <v>153</v>
      </c>
      <c r="BI140" s="4" t="s">
        <v>153</v>
      </c>
      <c r="BJ140" t="s">
        <v>153</v>
      </c>
      <c r="BK140" s="4" t="s">
        <v>153</v>
      </c>
      <c r="BL140" t="s">
        <v>153</v>
      </c>
      <c r="BM140" t="s">
        <v>153</v>
      </c>
      <c r="BN140" s="4" t="s">
        <v>153</v>
      </c>
      <c r="BO140" s="4" t="s">
        <v>153</v>
      </c>
      <c r="BP140" s="4" t="s">
        <v>153</v>
      </c>
      <c r="BQ140" s="4" t="s">
        <v>153</v>
      </c>
      <c r="BR140" s="4" t="s">
        <v>153</v>
      </c>
      <c r="BS140" s="4" t="s">
        <v>153</v>
      </c>
      <c r="BT140" s="4" t="s">
        <v>153</v>
      </c>
      <c r="BU140" s="4" t="s">
        <v>153</v>
      </c>
      <c r="BV140" s="4"/>
      <c r="BW140" s="4" t="s">
        <v>153</v>
      </c>
      <c r="BX140" s="4" t="s">
        <v>153</v>
      </c>
      <c r="BY140" s="4" t="s">
        <v>153</v>
      </c>
      <c r="BZ140" s="4" t="s">
        <v>153</v>
      </c>
      <c r="CA140" s="4" t="s">
        <v>153</v>
      </c>
      <c r="CB140" s="4"/>
      <c r="CC140" s="4" t="s">
        <v>153</v>
      </c>
      <c r="CD140" t="s">
        <v>153</v>
      </c>
      <c r="CE140" s="4" t="s">
        <v>153</v>
      </c>
      <c r="CF140" s="4" t="s">
        <v>153</v>
      </c>
      <c r="CG140" s="4" t="s">
        <v>153</v>
      </c>
      <c r="CH140" s="5"/>
      <c r="CI140" t="s">
        <v>153</v>
      </c>
      <c r="CJ140" s="4"/>
      <c r="CK140" t="s">
        <v>153</v>
      </c>
      <c r="CL140" t="s">
        <v>153</v>
      </c>
      <c r="CM140" t="s">
        <v>153</v>
      </c>
      <c r="CN140" t="s">
        <v>153</v>
      </c>
      <c r="CO140" s="5"/>
      <c r="CP140" s="4" t="s">
        <v>153</v>
      </c>
      <c r="CQ140" s="4" t="s">
        <v>153</v>
      </c>
      <c r="CR140" t="s">
        <v>153</v>
      </c>
      <c r="CS140" t="s">
        <v>153</v>
      </c>
      <c r="CT140" t="s">
        <v>153</v>
      </c>
      <c r="CU140" t="s">
        <v>153</v>
      </c>
      <c r="CV140" t="s">
        <v>153</v>
      </c>
      <c r="CW140" t="s">
        <v>153</v>
      </c>
      <c r="CX140" t="s">
        <v>153</v>
      </c>
      <c r="CY140" t="s">
        <v>153</v>
      </c>
      <c r="CZ140" t="s">
        <v>153</v>
      </c>
      <c r="DA140" t="s">
        <v>153</v>
      </c>
      <c r="DB140" t="s">
        <v>153</v>
      </c>
      <c r="DC140" t="s">
        <v>153</v>
      </c>
      <c r="DD140" t="s">
        <v>153</v>
      </c>
      <c r="DE140" t="s">
        <v>153</v>
      </c>
      <c r="DF140" t="s">
        <v>153</v>
      </c>
      <c r="DG140" t="s">
        <v>153</v>
      </c>
      <c r="DI140" t="s">
        <v>153</v>
      </c>
      <c r="DJ140" t="s">
        <v>153</v>
      </c>
      <c r="DK140" t="s">
        <v>153</v>
      </c>
      <c r="DL140" t="s">
        <v>153</v>
      </c>
      <c r="DN140" t="s">
        <v>153</v>
      </c>
      <c r="DO140" t="s">
        <v>153</v>
      </c>
      <c r="DP140" t="s">
        <v>153</v>
      </c>
      <c r="DQ140" t="s">
        <v>153</v>
      </c>
      <c r="DR140" t="s">
        <v>153</v>
      </c>
      <c r="DS140" t="s">
        <v>153</v>
      </c>
      <c r="DT140" t="s">
        <v>153</v>
      </c>
      <c r="DU140" t="s">
        <v>153</v>
      </c>
      <c r="DV140" t="s">
        <v>153</v>
      </c>
      <c r="DW140" t="s">
        <v>153</v>
      </c>
      <c r="DX140" s="2"/>
      <c r="DY140" t="s">
        <v>153</v>
      </c>
      <c r="DZ140" t="s">
        <v>153</v>
      </c>
      <c r="EA140" t="s">
        <v>153</v>
      </c>
      <c r="EB140" t="s">
        <v>153</v>
      </c>
      <c r="EC140" t="s">
        <v>153</v>
      </c>
      <c r="ED140" t="s">
        <v>153</v>
      </c>
      <c r="EE140" t="s">
        <v>153</v>
      </c>
      <c r="EF140" t="s">
        <v>153</v>
      </c>
      <c r="EH140" t="s">
        <v>153</v>
      </c>
      <c r="EI140" t="s">
        <v>153</v>
      </c>
      <c r="EJ140" t="s">
        <v>153</v>
      </c>
      <c r="EK140" t="s">
        <v>153</v>
      </c>
      <c r="EM140" t="s">
        <v>153</v>
      </c>
      <c r="EN140" t="s">
        <v>153</v>
      </c>
      <c r="EP140" s="4" t="s">
        <v>242</v>
      </c>
      <c r="EQ140" s="4" t="s">
        <v>153</v>
      </c>
      <c r="ER140" s="4" t="s">
        <v>243</v>
      </c>
      <c r="ES140" s="4" t="s">
        <v>244</v>
      </c>
      <c r="ET140" t="s">
        <v>1952</v>
      </c>
      <c r="EU140" t="s">
        <v>1941</v>
      </c>
      <c r="EV140" t="s">
        <v>909</v>
      </c>
      <c r="EW140">
        <v>1216959005</v>
      </c>
      <c r="EX140" t="s">
        <v>1093</v>
      </c>
    </row>
    <row r="141" spans="1:154" x14ac:dyDescent="0.25">
      <c r="A141" s="3">
        <v>45401.691655092596</v>
      </c>
      <c r="B141" s="4" t="s">
        <v>153</v>
      </c>
      <c r="C141" s="4" t="s">
        <v>892</v>
      </c>
      <c r="D141" s="4" t="s">
        <v>893</v>
      </c>
      <c r="E141" s="4" t="s">
        <v>894</v>
      </c>
      <c r="F141" s="4" t="s">
        <v>895</v>
      </c>
      <c r="G141" s="4" t="s">
        <v>185</v>
      </c>
      <c r="H141" s="4" t="s">
        <v>542</v>
      </c>
      <c r="I141" s="4" t="s">
        <v>153</v>
      </c>
      <c r="J141" s="4" t="s">
        <v>153</v>
      </c>
      <c r="K141" s="5"/>
      <c r="L141" s="4" t="s">
        <v>153</v>
      </c>
      <c r="M141" s="4" t="s">
        <v>1953</v>
      </c>
      <c r="N141" s="4" t="s">
        <v>153</v>
      </c>
      <c r="O141" s="4" t="s">
        <v>1954</v>
      </c>
      <c r="P141" s="4" t="s">
        <v>1955</v>
      </c>
      <c r="Q141" s="4" t="s">
        <v>403</v>
      </c>
      <c r="R141" s="4" t="s">
        <v>153</v>
      </c>
      <c r="S141" s="4" t="s">
        <v>153</v>
      </c>
      <c r="T141" s="4" t="s">
        <v>153</v>
      </c>
      <c r="U141" s="4" t="s">
        <v>1956</v>
      </c>
      <c r="V141" s="4" t="s">
        <v>153</v>
      </c>
      <c r="W141" s="4" t="s">
        <v>1957</v>
      </c>
      <c r="X141" s="4" t="s">
        <v>722</v>
      </c>
      <c r="Y141" s="4" t="s">
        <v>1958</v>
      </c>
      <c r="Z141" s="4" t="s">
        <v>237</v>
      </c>
      <c r="AA141" s="4" t="s">
        <v>1956</v>
      </c>
      <c r="AB141" s="4" t="s">
        <v>153</v>
      </c>
      <c r="AC141" s="4" t="s">
        <v>1957</v>
      </c>
      <c r="AD141" s="4" t="s">
        <v>722</v>
      </c>
      <c r="AE141" s="4" t="s">
        <v>1958</v>
      </c>
      <c r="AF141" s="4" t="s">
        <v>1959</v>
      </c>
      <c r="AG141" s="4" t="s">
        <v>1960</v>
      </c>
      <c r="AH141" s="4" t="s">
        <v>153</v>
      </c>
      <c r="AI141" s="5">
        <v>45377</v>
      </c>
      <c r="AJ141" t="s">
        <v>153</v>
      </c>
      <c r="AK141" s="4">
        <v>1</v>
      </c>
      <c r="AL141" t="s">
        <v>153</v>
      </c>
      <c r="AM141" t="s">
        <v>1961</v>
      </c>
      <c r="AO141" t="s">
        <v>1962</v>
      </c>
      <c r="AP141" s="4">
        <v>592369456</v>
      </c>
      <c r="AQ141" t="s">
        <v>1963</v>
      </c>
      <c r="AR141" s="5"/>
      <c r="AT141" s="4" t="s">
        <v>153</v>
      </c>
      <c r="AU141" s="4" t="s">
        <v>153</v>
      </c>
      <c r="AV141" s="4" t="s">
        <v>153</v>
      </c>
      <c r="AW141" t="s">
        <v>153</v>
      </c>
      <c r="AX141" t="s">
        <v>153</v>
      </c>
      <c r="AY141" t="s">
        <v>153</v>
      </c>
      <c r="AZ141" t="s">
        <v>153</v>
      </c>
      <c r="BA141" t="s">
        <v>153</v>
      </c>
      <c r="BB141" t="s">
        <v>153</v>
      </c>
      <c r="BC141" t="s">
        <v>153</v>
      </c>
      <c r="BD141" s="4" t="s">
        <v>153</v>
      </c>
      <c r="BE141" s="4" t="s">
        <v>153</v>
      </c>
      <c r="BF141" t="s">
        <v>153</v>
      </c>
      <c r="BG141" s="4" t="s">
        <v>153</v>
      </c>
      <c r="BH141" t="s">
        <v>153</v>
      </c>
      <c r="BI141" s="4" t="s">
        <v>153</v>
      </c>
      <c r="BJ141" t="s">
        <v>153</v>
      </c>
      <c r="BK141" s="4" t="s">
        <v>153</v>
      </c>
      <c r="BL141" t="s">
        <v>153</v>
      </c>
      <c r="BM141" t="s">
        <v>153</v>
      </c>
      <c r="BN141" s="4" t="s">
        <v>153</v>
      </c>
      <c r="BO141" s="4" t="s">
        <v>153</v>
      </c>
      <c r="BP141" s="4" t="s">
        <v>153</v>
      </c>
      <c r="BQ141" s="4" t="s">
        <v>153</v>
      </c>
      <c r="BR141" s="4" t="s">
        <v>153</v>
      </c>
      <c r="BS141" s="4" t="s">
        <v>153</v>
      </c>
      <c r="BT141" s="4" t="s">
        <v>153</v>
      </c>
      <c r="BU141" s="4" t="s">
        <v>153</v>
      </c>
      <c r="BV141" s="4"/>
      <c r="BW141" s="4" t="s">
        <v>153</v>
      </c>
      <c r="BX141" s="4" t="s">
        <v>153</v>
      </c>
      <c r="BY141" s="4" t="s">
        <v>153</v>
      </c>
      <c r="BZ141" s="4" t="s">
        <v>153</v>
      </c>
      <c r="CA141" s="4" t="s">
        <v>153</v>
      </c>
      <c r="CB141" s="4"/>
      <c r="CC141" s="4" t="s">
        <v>153</v>
      </c>
      <c r="CD141" t="s">
        <v>153</v>
      </c>
      <c r="CE141" s="4" t="s">
        <v>153</v>
      </c>
      <c r="CF141" s="4" t="s">
        <v>153</v>
      </c>
      <c r="CG141" s="4" t="s">
        <v>153</v>
      </c>
      <c r="CH141" s="5"/>
      <c r="CI141" t="s">
        <v>153</v>
      </c>
      <c r="CJ141" s="4"/>
      <c r="CK141" t="s">
        <v>153</v>
      </c>
      <c r="CL141" t="s">
        <v>153</v>
      </c>
      <c r="CM141" t="s">
        <v>153</v>
      </c>
      <c r="CN141" t="s">
        <v>153</v>
      </c>
      <c r="CO141" s="5"/>
      <c r="CP141" s="4" t="s">
        <v>153</v>
      </c>
      <c r="CQ141" s="4" t="s">
        <v>153</v>
      </c>
      <c r="CR141" t="s">
        <v>153</v>
      </c>
      <c r="CS141" t="s">
        <v>153</v>
      </c>
      <c r="CT141" t="s">
        <v>153</v>
      </c>
      <c r="CU141" t="s">
        <v>153</v>
      </c>
      <c r="CV141" t="s">
        <v>153</v>
      </c>
      <c r="CW141" t="s">
        <v>153</v>
      </c>
      <c r="CX141" t="s">
        <v>153</v>
      </c>
      <c r="CY141" t="s">
        <v>153</v>
      </c>
      <c r="CZ141" t="s">
        <v>153</v>
      </c>
      <c r="DA141" t="s">
        <v>153</v>
      </c>
      <c r="DB141" t="s">
        <v>153</v>
      </c>
      <c r="DC141" t="s">
        <v>153</v>
      </c>
      <c r="DD141" t="s">
        <v>153</v>
      </c>
      <c r="DE141" t="s">
        <v>153</v>
      </c>
      <c r="DF141" t="s">
        <v>153</v>
      </c>
      <c r="DG141" t="s">
        <v>153</v>
      </c>
      <c r="DI141" t="s">
        <v>153</v>
      </c>
      <c r="DJ141" t="s">
        <v>153</v>
      </c>
      <c r="DK141" t="s">
        <v>153</v>
      </c>
      <c r="DL141" t="s">
        <v>153</v>
      </c>
      <c r="DN141" t="s">
        <v>153</v>
      </c>
      <c r="DO141" t="s">
        <v>153</v>
      </c>
      <c r="DP141" t="s">
        <v>153</v>
      </c>
      <c r="DQ141" t="s">
        <v>153</v>
      </c>
      <c r="DR141" t="s">
        <v>153</v>
      </c>
      <c r="DS141" t="s">
        <v>153</v>
      </c>
      <c r="DT141" t="s">
        <v>153</v>
      </c>
      <c r="DU141" t="s">
        <v>153</v>
      </c>
      <c r="DV141" t="s">
        <v>153</v>
      </c>
      <c r="DW141" t="s">
        <v>153</v>
      </c>
      <c r="DX141" s="2"/>
      <c r="DY141" t="s">
        <v>153</v>
      </c>
      <c r="DZ141" t="s">
        <v>153</v>
      </c>
      <c r="EA141" t="s">
        <v>153</v>
      </c>
      <c r="EB141" t="s">
        <v>153</v>
      </c>
      <c r="EC141" t="s">
        <v>153</v>
      </c>
      <c r="ED141" t="s">
        <v>153</v>
      </c>
      <c r="EE141" t="s">
        <v>153</v>
      </c>
      <c r="EF141" t="s">
        <v>153</v>
      </c>
      <c r="EH141" t="s">
        <v>153</v>
      </c>
      <c r="EI141" t="s">
        <v>153</v>
      </c>
      <c r="EJ141" t="s">
        <v>153</v>
      </c>
      <c r="EK141" t="s">
        <v>153</v>
      </c>
      <c r="EM141" t="s">
        <v>153</v>
      </c>
      <c r="EN141" t="s">
        <v>153</v>
      </c>
      <c r="EP141" s="4" t="s">
        <v>153</v>
      </c>
      <c r="EQ141" s="4" t="s">
        <v>153</v>
      </c>
      <c r="ER141" s="4" t="s">
        <v>153</v>
      </c>
      <c r="ES141" s="4" t="s">
        <v>153</v>
      </c>
      <c r="ET141" t="s">
        <v>1964</v>
      </c>
      <c r="EU141" t="s">
        <v>1965</v>
      </c>
      <c r="EV141" t="s">
        <v>909</v>
      </c>
      <c r="EW141">
        <v>1217066477</v>
      </c>
      <c r="EX141" t="s">
        <v>1093</v>
      </c>
    </row>
    <row r="142" spans="1:154" x14ac:dyDescent="0.25">
      <c r="A142" s="3">
        <v>45407.675138888888</v>
      </c>
      <c r="B142" s="4" t="s">
        <v>153</v>
      </c>
      <c r="C142" s="4" t="s">
        <v>248</v>
      </c>
      <c r="D142" s="4" t="s">
        <v>249</v>
      </c>
      <c r="E142" s="4" t="s">
        <v>250</v>
      </c>
      <c r="F142" s="4" t="s">
        <v>251</v>
      </c>
      <c r="G142" s="4" t="s">
        <v>252</v>
      </c>
      <c r="H142" s="4" t="s">
        <v>253</v>
      </c>
      <c r="I142" s="4" t="s">
        <v>153</v>
      </c>
      <c r="J142" s="4" t="s">
        <v>1966</v>
      </c>
      <c r="K142" s="5"/>
      <c r="L142" s="4" t="s">
        <v>153</v>
      </c>
      <c r="M142" s="4" t="s">
        <v>153</v>
      </c>
      <c r="N142" s="4" t="s">
        <v>153</v>
      </c>
      <c r="O142" s="4" t="s">
        <v>153</v>
      </c>
      <c r="P142" s="4" t="s">
        <v>153</v>
      </c>
      <c r="Q142" s="4" t="s">
        <v>153</v>
      </c>
      <c r="R142" s="4" t="s">
        <v>153</v>
      </c>
      <c r="S142" s="4" t="s">
        <v>153</v>
      </c>
      <c r="T142" s="4" t="s">
        <v>153</v>
      </c>
      <c r="U142" s="4" t="s">
        <v>153</v>
      </c>
      <c r="V142" s="4" t="s">
        <v>153</v>
      </c>
      <c r="W142" s="4" t="s">
        <v>153</v>
      </c>
      <c r="X142" s="4" t="s">
        <v>153</v>
      </c>
      <c r="Y142" s="4" t="s">
        <v>153</v>
      </c>
      <c r="Z142" s="4" t="s">
        <v>153</v>
      </c>
      <c r="AA142" s="4" t="s">
        <v>153</v>
      </c>
      <c r="AB142" s="4" t="s">
        <v>153</v>
      </c>
      <c r="AC142" s="4" t="s">
        <v>153</v>
      </c>
      <c r="AD142" s="4" t="s">
        <v>153</v>
      </c>
      <c r="AE142" s="4" t="s">
        <v>153</v>
      </c>
      <c r="AF142" s="4" t="s">
        <v>153</v>
      </c>
      <c r="AG142" s="4" t="s">
        <v>153</v>
      </c>
      <c r="AH142" s="4" t="s">
        <v>153</v>
      </c>
      <c r="AI142" s="5"/>
      <c r="AJ142" t="s">
        <v>153</v>
      </c>
      <c r="AK142" s="4"/>
      <c r="AL142" t="s">
        <v>153</v>
      </c>
      <c r="AM142" t="s">
        <v>153</v>
      </c>
      <c r="AO142" t="s">
        <v>153</v>
      </c>
      <c r="AP142" s="4"/>
      <c r="AQ142" t="s">
        <v>153</v>
      </c>
      <c r="AR142" s="5">
        <v>45109</v>
      </c>
      <c r="AS142">
        <v>1</v>
      </c>
      <c r="AT142" s="4" t="s">
        <v>1967</v>
      </c>
      <c r="AU142" s="4" t="s">
        <v>1968</v>
      </c>
      <c r="AV142" s="4" t="s">
        <v>256</v>
      </c>
      <c r="AW142" t="s">
        <v>153</v>
      </c>
      <c r="AX142" t="s">
        <v>153</v>
      </c>
      <c r="AY142" t="s">
        <v>153</v>
      </c>
      <c r="AZ142" t="s">
        <v>1098</v>
      </c>
      <c r="BA142" t="s">
        <v>153</v>
      </c>
      <c r="BB142" t="s">
        <v>153</v>
      </c>
      <c r="BC142" t="s">
        <v>153</v>
      </c>
      <c r="BD142" s="4" t="s">
        <v>1969</v>
      </c>
      <c r="BE142" s="4" t="s">
        <v>1970</v>
      </c>
      <c r="BF142" t="s">
        <v>243</v>
      </c>
      <c r="BG142" s="4" t="s">
        <v>153</v>
      </c>
      <c r="BH142" t="s">
        <v>153</v>
      </c>
      <c r="BI142" s="4" t="s">
        <v>153</v>
      </c>
      <c r="BJ142" t="s">
        <v>153</v>
      </c>
      <c r="BK142" s="4" t="s">
        <v>153</v>
      </c>
      <c r="BL142" t="s">
        <v>153</v>
      </c>
      <c r="BM142" t="s">
        <v>153</v>
      </c>
      <c r="BN142" s="4" t="s">
        <v>153</v>
      </c>
      <c r="BO142" s="4" t="s">
        <v>153</v>
      </c>
      <c r="BP142" s="4" t="s">
        <v>153</v>
      </c>
      <c r="BQ142" s="4" t="s">
        <v>153</v>
      </c>
      <c r="BR142" s="4" t="s">
        <v>153</v>
      </c>
      <c r="BS142" s="4" t="s">
        <v>153</v>
      </c>
      <c r="BT142" s="4" t="s">
        <v>153</v>
      </c>
      <c r="BU142" s="4" t="s">
        <v>153</v>
      </c>
      <c r="BV142" s="4"/>
      <c r="BW142" s="4" t="s">
        <v>153</v>
      </c>
      <c r="BX142" s="4" t="s">
        <v>153</v>
      </c>
      <c r="BY142" s="4" t="s">
        <v>153</v>
      </c>
      <c r="BZ142" s="4" t="s">
        <v>153</v>
      </c>
      <c r="CA142" s="4" t="s">
        <v>153</v>
      </c>
      <c r="CB142" s="4"/>
      <c r="CC142" s="4" t="s">
        <v>153</v>
      </c>
      <c r="CD142" t="s">
        <v>153</v>
      </c>
      <c r="CE142" s="4" t="s">
        <v>153</v>
      </c>
      <c r="CF142" s="4" t="s">
        <v>153</v>
      </c>
      <c r="CG142" s="4" t="s">
        <v>153</v>
      </c>
      <c r="CH142" s="5"/>
      <c r="CI142" t="s">
        <v>153</v>
      </c>
      <c r="CJ142" s="4"/>
      <c r="CK142" t="s">
        <v>153</v>
      </c>
      <c r="CL142" t="s">
        <v>153</v>
      </c>
      <c r="CM142" t="s">
        <v>153</v>
      </c>
      <c r="CN142" t="s">
        <v>153</v>
      </c>
      <c r="CO142" s="5"/>
      <c r="CP142" s="4" t="s">
        <v>153</v>
      </c>
      <c r="CQ142" s="4" t="s">
        <v>153</v>
      </c>
      <c r="CR142" t="s">
        <v>153</v>
      </c>
      <c r="CS142" t="s">
        <v>153</v>
      </c>
      <c r="CT142" t="s">
        <v>153</v>
      </c>
      <c r="CU142" t="s">
        <v>153</v>
      </c>
      <c r="CV142" t="s">
        <v>153</v>
      </c>
      <c r="CW142" t="s">
        <v>153</v>
      </c>
      <c r="CX142" t="s">
        <v>153</v>
      </c>
      <c r="CY142" t="s">
        <v>153</v>
      </c>
      <c r="CZ142" t="s">
        <v>153</v>
      </c>
      <c r="DA142" t="s">
        <v>153</v>
      </c>
      <c r="DB142" t="s">
        <v>153</v>
      </c>
      <c r="DC142" t="s">
        <v>153</v>
      </c>
      <c r="DD142" t="s">
        <v>153</v>
      </c>
      <c r="DE142" t="s">
        <v>153</v>
      </c>
      <c r="DF142" t="s">
        <v>153</v>
      </c>
      <c r="DG142" t="s">
        <v>153</v>
      </c>
      <c r="DI142" t="s">
        <v>153</v>
      </c>
      <c r="DJ142" t="s">
        <v>153</v>
      </c>
      <c r="DK142" t="s">
        <v>153</v>
      </c>
      <c r="DL142" t="s">
        <v>153</v>
      </c>
      <c r="DN142" t="s">
        <v>153</v>
      </c>
      <c r="DO142" t="s">
        <v>153</v>
      </c>
      <c r="DP142" t="s">
        <v>153</v>
      </c>
      <c r="DQ142" t="s">
        <v>153</v>
      </c>
      <c r="DR142" t="s">
        <v>153</v>
      </c>
      <c r="DS142" t="s">
        <v>153</v>
      </c>
      <c r="DT142" t="s">
        <v>153</v>
      </c>
      <c r="DU142" t="s">
        <v>153</v>
      </c>
      <c r="DV142" t="s">
        <v>153</v>
      </c>
      <c r="DW142" t="s">
        <v>153</v>
      </c>
      <c r="DX142" s="2"/>
      <c r="DY142" t="s">
        <v>153</v>
      </c>
      <c r="DZ142" t="s">
        <v>153</v>
      </c>
      <c r="EA142" t="s">
        <v>153</v>
      </c>
      <c r="EB142" t="s">
        <v>153</v>
      </c>
      <c r="EC142" t="s">
        <v>153</v>
      </c>
      <c r="ED142" t="s">
        <v>153</v>
      </c>
      <c r="EE142" t="s">
        <v>153</v>
      </c>
      <c r="EF142" t="s">
        <v>153</v>
      </c>
      <c r="EH142" t="s">
        <v>153</v>
      </c>
      <c r="EI142" t="s">
        <v>153</v>
      </c>
      <c r="EJ142" t="s">
        <v>153</v>
      </c>
      <c r="EK142" t="s">
        <v>153</v>
      </c>
      <c r="EM142" t="s">
        <v>153</v>
      </c>
      <c r="EN142" t="s">
        <v>153</v>
      </c>
      <c r="EP142" s="4" t="s">
        <v>153</v>
      </c>
      <c r="EQ142" s="4" t="s">
        <v>153</v>
      </c>
      <c r="ER142" s="4" t="s">
        <v>153</v>
      </c>
      <c r="ES142" s="4" t="s">
        <v>153</v>
      </c>
      <c r="ET142" t="s">
        <v>153</v>
      </c>
      <c r="EU142" t="s">
        <v>1971</v>
      </c>
      <c r="EV142" t="s">
        <v>1972</v>
      </c>
      <c r="EW142">
        <v>1219028401</v>
      </c>
      <c r="EX142" t="s">
        <v>1496</v>
      </c>
    </row>
    <row r="143" spans="1:154" x14ac:dyDescent="0.25">
      <c r="A143" s="3">
        <v>45408.511319444442</v>
      </c>
      <c r="B143" s="4" t="s">
        <v>153</v>
      </c>
      <c r="C143" s="4" t="s">
        <v>285</v>
      </c>
      <c r="D143" s="4" t="s">
        <v>286</v>
      </c>
      <c r="E143" s="4" t="s">
        <v>287</v>
      </c>
      <c r="F143" s="4" t="s">
        <v>288</v>
      </c>
      <c r="G143" s="4" t="s">
        <v>185</v>
      </c>
      <c r="H143" s="4" t="s">
        <v>289</v>
      </c>
      <c r="I143" s="4" t="s">
        <v>153</v>
      </c>
      <c r="J143" s="4" t="s">
        <v>153</v>
      </c>
      <c r="K143" s="5"/>
      <c r="L143" s="4" t="s">
        <v>153</v>
      </c>
      <c r="M143" s="4" t="s">
        <v>1973</v>
      </c>
      <c r="N143" s="4" t="s">
        <v>153</v>
      </c>
      <c r="O143" s="4" t="s">
        <v>1974</v>
      </c>
      <c r="P143" s="4" t="s">
        <v>1975</v>
      </c>
      <c r="Q143" s="4" t="s">
        <v>294</v>
      </c>
      <c r="R143" s="4" t="s">
        <v>191</v>
      </c>
      <c r="S143" s="4" t="s">
        <v>153</v>
      </c>
      <c r="T143" s="4" t="s">
        <v>153</v>
      </c>
      <c r="U143" s="4" t="s">
        <v>1976</v>
      </c>
      <c r="V143" s="4" t="s">
        <v>153</v>
      </c>
      <c r="W143" s="4" t="s">
        <v>1973</v>
      </c>
      <c r="X143" s="4" t="s">
        <v>195</v>
      </c>
      <c r="Y143" s="4" t="s">
        <v>1977</v>
      </c>
      <c r="Z143" s="4" t="s">
        <v>237</v>
      </c>
      <c r="AA143" s="4" t="s">
        <v>1978</v>
      </c>
      <c r="AB143" s="4" t="s">
        <v>153</v>
      </c>
      <c r="AC143" s="4" t="s">
        <v>1973</v>
      </c>
      <c r="AD143" s="4" t="s">
        <v>195</v>
      </c>
      <c r="AE143" s="4" t="s">
        <v>1977</v>
      </c>
      <c r="AF143" s="4" t="s">
        <v>1979</v>
      </c>
      <c r="AG143" s="4" t="s">
        <v>1980</v>
      </c>
      <c r="AH143" s="4" t="s">
        <v>153</v>
      </c>
      <c r="AI143" s="5">
        <v>45403</v>
      </c>
      <c r="AJ143" t="s">
        <v>1897</v>
      </c>
      <c r="AK143" s="4"/>
      <c r="AL143" t="s">
        <v>153</v>
      </c>
      <c r="AM143" t="s">
        <v>153</v>
      </c>
      <c r="AO143" t="s">
        <v>153</v>
      </c>
      <c r="AP143" s="4"/>
      <c r="AQ143" t="s">
        <v>153</v>
      </c>
      <c r="AR143" s="5"/>
      <c r="AT143" s="4" t="s">
        <v>153</v>
      </c>
      <c r="AU143" s="4" t="s">
        <v>153</v>
      </c>
      <c r="AV143" s="4" t="s">
        <v>153</v>
      </c>
      <c r="AW143" t="s">
        <v>153</v>
      </c>
      <c r="AX143" t="s">
        <v>153</v>
      </c>
      <c r="AY143" t="s">
        <v>153</v>
      </c>
      <c r="AZ143" t="s">
        <v>153</v>
      </c>
      <c r="BA143" t="s">
        <v>153</v>
      </c>
      <c r="BB143" t="s">
        <v>153</v>
      </c>
      <c r="BC143" t="s">
        <v>153</v>
      </c>
      <c r="BD143" s="4" t="s">
        <v>153</v>
      </c>
      <c r="BE143" s="4" t="s">
        <v>153</v>
      </c>
      <c r="BF143" t="s">
        <v>153</v>
      </c>
      <c r="BG143" s="4" t="s">
        <v>153</v>
      </c>
      <c r="BH143" t="s">
        <v>153</v>
      </c>
      <c r="BI143" s="4" t="s">
        <v>153</v>
      </c>
      <c r="BJ143" t="s">
        <v>153</v>
      </c>
      <c r="BK143" s="4" t="s">
        <v>153</v>
      </c>
      <c r="BL143" t="s">
        <v>153</v>
      </c>
      <c r="BM143" t="s">
        <v>153</v>
      </c>
      <c r="BN143" s="4" t="s">
        <v>153</v>
      </c>
      <c r="BO143" s="4" t="s">
        <v>153</v>
      </c>
      <c r="BP143" s="4" t="s">
        <v>153</v>
      </c>
      <c r="BQ143" s="4" t="s">
        <v>153</v>
      </c>
      <c r="BR143" s="4" t="s">
        <v>153</v>
      </c>
      <c r="BS143" s="4" t="s">
        <v>153</v>
      </c>
      <c r="BT143" s="4" t="s">
        <v>153</v>
      </c>
      <c r="BU143" s="4" t="s">
        <v>153</v>
      </c>
      <c r="BV143" s="4"/>
      <c r="BW143" s="4" t="s">
        <v>153</v>
      </c>
      <c r="BX143" s="4" t="s">
        <v>153</v>
      </c>
      <c r="BY143" s="4" t="s">
        <v>153</v>
      </c>
      <c r="BZ143" s="4" t="s">
        <v>153</v>
      </c>
      <c r="CA143" s="4" t="s">
        <v>153</v>
      </c>
      <c r="CB143" s="4"/>
      <c r="CC143" s="4" t="s">
        <v>153</v>
      </c>
      <c r="CD143" t="s">
        <v>153</v>
      </c>
      <c r="CE143" s="4" t="s">
        <v>153</v>
      </c>
      <c r="CF143" s="4" t="s">
        <v>153</v>
      </c>
      <c r="CG143" s="4" t="s">
        <v>153</v>
      </c>
      <c r="CH143" s="5"/>
      <c r="CI143" t="s">
        <v>153</v>
      </c>
      <c r="CJ143" s="4"/>
      <c r="CK143" t="s">
        <v>153</v>
      </c>
      <c r="CL143" t="s">
        <v>153</v>
      </c>
      <c r="CM143" t="s">
        <v>153</v>
      </c>
      <c r="CN143" t="s">
        <v>153</v>
      </c>
      <c r="CO143" s="5"/>
      <c r="CP143" s="4" t="s">
        <v>153</v>
      </c>
      <c r="CQ143" s="4" t="s">
        <v>153</v>
      </c>
      <c r="CR143" t="s">
        <v>153</v>
      </c>
      <c r="CS143" t="s">
        <v>153</v>
      </c>
      <c r="CT143" t="s">
        <v>153</v>
      </c>
      <c r="CU143" t="s">
        <v>153</v>
      </c>
      <c r="CV143" t="s">
        <v>153</v>
      </c>
      <c r="CW143" t="s">
        <v>153</v>
      </c>
      <c r="CX143" t="s">
        <v>153</v>
      </c>
      <c r="CY143" t="s">
        <v>153</v>
      </c>
      <c r="CZ143" t="s">
        <v>153</v>
      </c>
      <c r="DA143" t="s">
        <v>153</v>
      </c>
      <c r="DB143" t="s">
        <v>153</v>
      </c>
      <c r="DC143" t="s">
        <v>153</v>
      </c>
      <c r="DD143" t="s">
        <v>153</v>
      </c>
      <c r="DE143" t="s">
        <v>153</v>
      </c>
      <c r="DF143" t="s">
        <v>153</v>
      </c>
      <c r="DG143" t="s">
        <v>153</v>
      </c>
      <c r="DI143" t="s">
        <v>153</v>
      </c>
      <c r="DJ143" t="s">
        <v>153</v>
      </c>
      <c r="DK143" t="s">
        <v>153</v>
      </c>
      <c r="DL143" t="s">
        <v>153</v>
      </c>
      <c r="DN143" t="s">
        <v>153</v>
      </c>
      <c r="DO143" t="s">
        <v>153</v>
      </c>
      <c r="DP143" t="s">
        <v>153</v>
      </c>
      <c r="DQ143" t="s">
        <v>153</v>
      </c>
      <c r="DR143" t="s">
        <v>153</v>
      </c>
      <c r="DS143" t="s">
        <v>153</v>
      </c>
      <c r="DT143" t="s">
        <v>153</v>
      </c>
      <c r="DU143" t="s">
        <v>153</v>
      </c>
      <c r="DV143" t="s">
        <v>153</v>
      </c>
      <c r="DW143" t="s">
        <v>153</v>
      </c>
      <c r="DX143" s="2"/>
      <c r="DY143" t="s">
        <v>153</v>
      </c>
      <c r="DZ143" t="s">
        <v>153</v>
      </c>
      <c r="EA143" t="s">
        <v>153</v>
      </c>
      <c r="EB143" t="s">
        <v>153</v>
      </c>
      <c r="EC143" t="s">
        <v>153</v>
      </c>
      <c r="ED143" t="s">
        <v>153</v>
      </c>
      <c r="EE143" t="s">
        <v>153</v>
      </c>
      <c r="EF143" t="s">
        <v>153</v>
      </c>
      <c r="EH143" t="s">
        <v>153</v>
      </c>
      <c r="EI143" t="s">
        <v>153</v>
      </c>
      <c r="EJ143" t="s">
        <v>153</v>
      </c>
      <c r="EK143" t="s">
        <v>153</v>
      </c>
      <c r="EM143" t="s">
        <v>153</v>
      </c>
      <c r="EN143" t="s">
        <v>153</v>
      </c>
      <c r="EP143" s="4" t="s">
        <v>153</v>
      </c>
      <c r="EQ143" s="4" t="s">
        <v>153</v>
      </c>
      <c r="ER143" s="4" t="s">
        <v>153</v>
      </c>
      <c r="ES143" s="4" t="s">
        <v>153</v>
      </c>
      <c r="ET143" t="s">
        <v>153</v>
      </c>
      <c r="EU143" t="s">
        <v>1965</v>
      </c>
      <c r="EV143" t="s">
        <v>1899</v>
      </c>
      <c r="EW143">
        <v>1219348999</v>
      </c>
      <c r="EX143" t="s">
        <v>366</v>
      </c>
    </row>
    <row r="144" spans="1:154" x14ac:dyDescent="0.25">
      <c r="A144" s="3">
        <v>45408.516516203701</v>
      </c>
      <c r="B144" s="4" t="s">
        <v>153</v>
      </c>
      <c r="C144" s="4" t="s">
        <v>285</v>
      </c>
      <c r="D144" s="4" t="s">
        <v>286</v>
      </c>
      <c r="E144" s="4" t="s">
        <v>287</v>
      </c>
      <c r="F144" s="4" t="s">
        <v>288</v>
      </c>
      <c r="G144" s="4" t="s">
        <v>185</v>
      </c>
      <c r="H144" s="4" t="s">
        <v>289</v>
      </c>
      <c r="I144" s="4" t="s">
        <v>153</v>
      </c>
      <c r="J144" s="4" t="s">
        <v>153</v>
      </c>
      <c r="K144" s="5"/>
      <c r="L144" s="4" t="s">
        <v>153</v>
      </c>
      <c r="M144" s="4" t="s">
        <v>1981</v>
      </c>
      <c r="N144" s="4" t="s">
        <v>153</v>
      </c>
      <c r="O144" s="4" t="s">
        <v>1982</v>
      </c>
      <c r="P144" s="4" t="s">
        <v>1983</v>
      </c>
      <c r="Q144" s="4" t="s">
        <v>294</v>
      </c>
      <c r="R144" s="4" t="s">
        <v>191</v>
      </c>
      <c r="S144" s="4" t="s">
        <v>153</v>
      </c>
      <c r="T144" s="4" t="s">
        <v>153</v>
      </c>
      <c r="U144" s="4" t="s">
        <v>1984</v>
      </c>
      <c r="V144" s="4" t="s">
        <v>153</v>
      </c>
      <c r="W144" s="4" t="s">
        <v>1985</v>
      </c>
      <c r="X144" s="4" t="s">
        <v>195</v>
      </c>
      <c r="Y144" s="4" t="s">
        <v>1986</v>
      </c>
      <c r="Z144" s="4" t="s">
        <v>237</v>
      </c>
      <c r="AA144" s="4" t="s">
        <v>1987</v>
      </c>
      <c r="AB144" s="4" t="s">
        <v>153</v>
      </c>
      <c r="AC144" s="4" t="s">
        <v>1985</v>
      </c>
      <c r="AD144" s="4" t="s">
        <v>195</v>
      </c>
      <c r="AE144" s="4" t="s">
        <v>1986</v>
      </c>
      <c r="AF144" s="4" t="s">
        <v>1988</v>
      </c>
      <c r="AG144" s="4" t="s">
        <v>1989</v>
      </c>
      <c r="AH144" s="4" t="s">
        <v>153</v>
      </c>
      <c r="AI144" s="5">
        <v>45403</v>
      </c>
      <c r="AJ144" t="s">
        <v>1897</v>
      </c>
      <c r="AK144" s="4"/>
      <c r="AL144" t="s">
        <v>153</v>
      </c>
      <c r="AM144" t="s">
        <v>153</v>
      </c>
      <c r="AO144" t="s">
        <v>153</v>
      </c>
      <c r="AP144" s="4"/>
      <c r="AQ144" t="s">
        <v>153</v>
      </c>
      <c r="AR144" s="5"/>
      <c r="AT144" s="4" t="s">
        <v>153</v>
      </c>
      <c r="AU144" s="4" t="s">
        <v>153</v>
      </c>
      <c r="AV144" s="4" t="s">
        <v>153</v>
      </c>
      <c r="AW144" t="s">
        <v>153</v>
      </c>
      <c r="AX144" t="s">
        <v>153</v>
      </c>
      <c r="AY144" t="s">
        <v>153</v>
      </c>
      <c r="AZ144" t="s">
        <v>153</v>
      </c>
      <c r="BA144" t="s">
        <v>153</v>
      </c>
      <c r="BB144" t="s">
        <v>153</v>
      </c>
      <c r="BC144" t="s">
        <v>153</v>
      </c>
      <c r="BD144" s="4" t="s">
        <v>153</v>
      </c>
      <c r="BE144" s="4" t="s">
        <v>153</v>
      </c>
      <c r="BF144" t="s">
        <v>153</v>
      </c>
      <c r="BG144" s="4" t="s">
        <v>153</v>
      </c>
      <c r="BH144" t="s">
        <v>153</v>
      </c>
      <c r="BI144" s="4" t="s">
        <v>153</v>
      </c>
      <c r="BJ144" t="s">
        <v>153</v>
      </c>
      <c r="BK144" s="4" t="s">
        <v>153</v>
      </c>
      <c r="BL144" t="s">
        <v>153</v>
      </c>
      <c r="BM144" t="s">
        <v>153</v>
      </c>
      <c r="BN144" s="4" t="s">
        <v>153</v>
      </c>
      <c r="BO144" s="4" t="s">
        <v>153</v>
      </c>
      <c r="BP144" s="4" t="s">
        <v>153</v>
      </c>
      <c r="BQ144" s="4" t="s">
        <v>153</v>
      </c>
      <c r="BR144" s="4" t="s">
        <v>153</v>
      </c>
      <c r="BS144" s="4" t="s">
        <v>153</v>
      </c>
      <c r="BT144" s="4" t="s">
        <v>153</v>
      </c>
      <c r="BU144" s="4" t="s">
        <v>153</v>
      </c>
      <c r="BV144" s="4"/>
      <c r="BW144" s="4" t="s">
        <v>153</v>
      </c>
      <c r="BX144" s="4" t="s">
        <v>153</v>
      </c>
      <c r="BY144" s="4" t="s">
        <v>153</v>
      </c>
      <c r="BZ144" s="4" t="s">
        <v>153</v>
      </c>
      <c r="CA144" s="4" t="s">
        <v>153</v>
      </c>
      <c r="CB144" s="4"/>
      <c r="CC144" s="4" t="s">
        <v>153</v>
      </c>
      <c r="CD144" t="s">
        <v>153</v>
      </c>
      <c r="CE144" s="4" t="s">
        <v>153</v>
      </c>
      <c r="CF144" s="4" t="s">
        <v>153</v>
      </c>
      <c r="CG144" s="4" t="s">
        <v>153</v>
      </c>
      <c r="CH144" s="5"/>
      <c r="CI144" t="s">
        <v>153</v>
      </c>
      <c r="CJ144" s="4"/>
      <c r="CK144" t="s">
        <v>153</v>
      </c>
      <c r="CL144" t="s">
        <v>153</v>
      </c>
      <c r="CM144" t="s">
        <v>153</v>
      </c>
      <c r="CN144" t="s">
        <v>153</v>
      </c>
      <c r="CO144" s="5"/>
      <c r="CP144" s="4" t="s">
        <v>153</v>
      </c>
      <c r="CQ144" s="4" t="s">
        <v>153</v>
      </c>
      <c r="CR144" t="s">
        <v>153</v>
      </c>
      <c r="CS144" t="s">
        <v>153</v>
      </c>
      <c r="CT144" t="s">
        <v>153</v>
      </c>
      <c r="CU144" t="s">
        <v>153</v>
      </c>
      <c r="CV144" t="s">
        <v>153</v>
      </c>
      <c r="CW144" t="s">
        <v>153</v>
      </c>
      <c r="CX144" t="s">
        <v>153</v>
      </c>
      <c r="CY144" t="s">
        <v>153</v>
      </c>
      <c r="CZ144" t="s">
        <v>153</v>
      </c>
      <c r="DA144" t="s">
        <v>153</v>
      </c>
      <c r="DB144" t="s">
        <v>153</v>
      </c>
      <c r="DC144" t="s">
        <v>153</v>
      </c>
      <c r="DD144" t="s">
        <v>153</v>
      </c>
      <c r="DE144" t="s">
        <v>153</v>
      </c>
      <c r="DF144" t="s">
        <v>153</v>
      </c>
      <c r="DG144" t="s">
        <v>153</v>
      </c>
      <c r="DI144" t="s">
        <v>153</v>
      </c>
      <c r="DJ144" t="s">
        <v>153</v>
      </c>
      <c r="DK144" t="s">
        <v>153</v>
      </c>
      <c r="DL144" t="s">
        <v>153</v>
      </c>
      <c r="DN144" t="s">
        <v>153</v>
      </c>
      <c r="DO144" t="s">
        <v>153</v>
      </c>
      <c r="DP144" t="s">
        <v>153</v>
      </c>
      <c r="DQ144" t="s">
        <v>153</v>
      </c>
      <c r="DR144" t="s">
        <v>153</v>
      </c>
      <c r="DS144" t="s">
        <v>153</v>
      </c>
      <c r="DT144" t="s">
        <v>153</v>
      </c>
      <c r="DU144" t="s">
        <v>153</v>
      </c>
      <c r="DV144" t="s">
        <v>153</v>
      </c>
      <c r="DW144" t="s">
        <v>153</v>
      </c>
      <c r="DX144" s="2"/>
      <c r="DY144" t="s">
        <v>153</v>
      </c>
      <c r="DZ144" t="s">
        <v>153</v>
      </c>
      <c r="EA144" t="s">
        <v>153</v>
      </c>
      <c r="EB144" t="s">
        <v>153</v>
      </c>
      <c r="EC144" t="s">
        <v>153</v>
      </c>
      <c r="ED144" t="s">
        <v>153</v>
      </c>
      <c r="EE144" t="s">
        <v>153</v>
      </c>
      <c r="EF144" t="s">
        <v>153</v>
      </c>
      <c r="EH144" t="s">
        <v>153</v>
      </c>
      <c r="EI144" t="s">
        <v>153</v>
      </c>
      <c r="EJ144" t="s">
        <v>153</v>
      </c>
      <c r="EK144" t="s">
        <v>153</v>
      </c>
      <c r="EM144" t="s">
        <v>153</v>
      </c>
      <c r="EN144" t="s">
        <v>153</v>
      </c>
      <c r="EP144" s="4" t="s">
        <v>242</v>
      </c>
      <c r="EQ144" s="4" t="s">
        <v>153</v>
      </c>
      <c r="ER144" s="4" t="s">
        <v>191</v>
      </c>
      <c r="ES144" s="4" t="s">
        <v>153</v>
      </c>
      <c r="ET144" t="s">
        <v>153</v>
      </c>
      <c r="EU144" t="s">
        <v>1965</v>
      </c>
      <c r="EV144" t="s">
        <v>1899</v>
      </c>
      <c r="EW144">
        <v>1219352186</v>
      </c>
      <c r="EX144" t="s">
        <v>366</v>
      </c>
    </row>
    <row r="145" spans="1:154" x14ac:dyDescent="0.25">
      <c r="A145" s="3">
        <v>45412.784548611111</v>
      </c>
      <c r="B145" s="4" t="s">
        <v>153</v>
      </c>
      <c r="C145" s="4" t="s">
        <v>1990</v>
      </c>
      <c r="D145" s="4" t="s">
        <v>1991</v>
      </c>
      <c r="E145" s="4" t="s">
        <v>1992</v>
      </c>
      <c r="F145" s="4" t="s">
        <v>1993</v>
      </c>
      <c r="G145" s="4" t="s">
        <v>158</v>
      </c>
      <c r="H145" s="4" t="s">
        <v>159</v>
      </c>
      <c r="I145" s="4" t="s">
        <v>153</v>
      </c>
      <c r="J145" s="4" t="s">
        <v>153</v>
      </c>
      <c r="K145" s="5"/>
      <c r="L145" s="4" t="s">
        <v>153</v>
      </c>
      <c r="M145" s="4" t="s">
        <v>153</v>
      </c>
      <c r="N145" s="4" t="s">
        <v>153</v>
      </c>
      <c r="O145" s="4" t="s">
        <v>153</v>
      </c>
      <c r="P145" s="4" t="s">
        <v>153</v>
      </c>
      <c r="Q145" s="4" t="s">
        <v>153</v>
      </c>
      <c r="R145" s="4" t="s">
        <v>153</v>
      </c>
      <c r="S145" s="4" t="s">
        <v>153</v>
      </c>
      <c r="T145" s="4" t="s">
        <v>153</v>
      </c>
      <c r="U145" s="4" t="s">
        <v>153</v>
      </c>
      <c r="V145" s="4" t="s">
        <v>153</v>
      </c>
      <c r="W145" s="4" t="s">
        <v>153</v>
      </c>
      <c r="X145" s="4" t="s">
        <v>153</v>
      </c>
      <c r="Y145" s="4" t="s">
        <v>153</v>
      </c>
      <c r="Z145" s="4" t="s">
        <v>153</v>
      </c>
      <c r="AA145" s="4" t="s">
        <v>153</v>
      </c>
      <c r="AB145" s="4" t="s">
        <v>153</v>
      </c>
      <c r="AC145" s="4" t="s">
        <v>153</v>
      </c>
      <c r="AD145" s="4" t="s">
        <v>153</v>
      </c>
      <c r="AE145" s="4" t="s">
        <v>153</v>
      </c>
      <c r="AF145" s="4" t="s">
        <v>153</v>
      </c>
      <c r="AG145" s="4" t="s">
        <v>153</v>
      </c>
      <c r="AH145" s="4" t="s">
        <v>153</v>
      </c>
      <c r="AI145" s="5"/>
      <c r="AJ145" t="s">
        <v>153</v>
      </c>
      <c r="AK145" s="4"/>
      <c r="AL145" t="s">
        <v>153</v>
      </c>
      <c r="AM145" t="s">
        <v>153</v>
      </c>
      <c r="AO145" t="s">
        <v>153</v>
      </c>
      <c r="AP145" s="4"/>
      <c r="AQ145" t="s">
        <v>153</v>
      </c>
      <c r="AR145" s="5"/>
      <c r="AT145" s="4" t="s">
        <v>153</v>
      </c>
      <c r="AU145" s="4" t="s">
        <v>153</v>
      </c>
      <c r="AV145" s="4" t="s">
        <v>153</v>
      </c>
      <c r="AW145" t="s">
        <v>153</v>
      </c>
      <c r="AX145" t="s">
        <v>153</v>
      </c>
      <c r="AY145" t="s">
        <v>153</v>
      </c>
      <c r="AZ145" t="s">
        <v>153</v>
      </c>
      <c r="BA145" t="s">
        <v>153</v>
      </c>
      <c r="BB145" t="s">
        <v>153</v>
      </c>
      <c r="BC145" t="s">
        <v>153</v>
      </c>
      <c r="BD145" s="4" t="s">
        <v>153</v>
      </c>
      <c r="BE145" s="4" t="s">
        <v>153</v>
      </c>
      <c r="BF145" t="s">
        <v>153</v>
      </c>
      <c r="BG145" s="4" t="s">
        <v>153</v>
      </c>
      <c r="BH145" t="s">
        <v>153</v>
      </c>
      <c r="BI145" s="4" t="s">
        <v>153</v>
      </c>
      <c r="BJ145" t="s">
        <v>153</v>
      </c>
      <c r="BK145" s="4" t="s">
        <v>153</v>
      </c>
      <c r="BL145" t="s">
        <v>153</v>
      </c>
      <c r="BM145" t="s">
        <v>153</v>
      </c>
      <c r="BN145" s="4" t="s">
        <v>153</v>
      </c>
      <c r="BO145" s="4" t="s">
        <v>153</v>
      </c>
      <c r="BP145" s="4" t="s">
        <v>153</v>
      </c>
      <c r="BQ145" s="4" t="s">
        <v>153</v>
      </c>
      <c r="BR145" s="4" t="s">
        <v>153</v>
      </c>
      <c r="BS145" s="4" t="s">
        <v>153</v>
      </c>
      <c r="BT145" s="4" t="s">
        <v>153</v>
      </c>
      <c r="BU145" s="4" t="s">
        <v>153</v>
      </c>
      <c r="BV145" s="4"/>
      <c r="BW145" s="4" t="s">
        <v>153</v>
      </c>
      <c r="BX145" s="4" t="s">
        <v>153</v>
      </c>
      <c r="BY145" s="4" t="s">
        <v>153</v>
      </c>
      <c r="BZ145" s="4" t="s">
        <v>153</v>
      </c>
      <c r="CA145" s="4" t="s">
        <v>153</v>
      </c>
      <c r="CB145" s="4"/>
      <c r="CC145" s="4" t="s">
        <v>153</v>
      </c>
      <c r="CD145" t="s">
        <v>153</v>
      </c>
      <c r="CE145" s="4" t="s">
        <v>153</v>
      </c>
      <c r="CF145" s="4" t="s">
        <v>153</v>
      </c>
      <c r="CG145" s="4" t="s">
        <v>153</v>
      </c>
      <c r="CH145" s="5"/>
      <c r="CI145" t="s">
        <v>153</v>
      </c>
      <c r="CJ145" s="4"/>
      <c r="CK145" t="s">
        <v>153</v>
      </c>
      <c r="CL145" t="s">
        <v>153</v>
      </c>
      <c r="CM145" t="s">
        <v>153</v>
      </c>
      <c r="CN145" t="s">
        <v>160</v>
      </c>
      <c r="CO145" s="5">
        <v>45323</v>
      </c>
      <c r="CP145" s="4" t="s">
        <v>1994</v>
      </c>
      <c r="CQ145" s="4" t="s">
        <v>934</v>
      </c>
      <c r="CR145" t="s">
        <v>934</v>
      </c>
      <c r="CS145" t="s">
        <v>164</v>
      </c>
      <c r="CT145" t="s">
        <v>153</v>
      </c>
      <c r="CU145" t="s">
        <v>153</v>
      </c>
      <c r="CV145" t="s">
        <v>153</v>
      </c>
      <c r="CW145" t="s">
        <v>153</v>
      </c>
      <c r="CX145" t="s">
        <v>153</v>
      </c>
      <c r="CY145" t="s">
        <v>153</v>
      </c>
      <c r="CZ145" t="s">
        <v>153</v>
      </c>
      <c r="DA145" t="s">
        <v>153</v>
      </c>
      <c r="DB145" t="s">
        <v>153</v>
      </c>
      <c r="DC145" t="s">
        <v>153</v>
      </c>
      <c r="DD145" t="s">
        <v>1995</v>
      </c>
      <c r="DE145" t="s">
        <v>153</v>
      </c>
      <c r="DF145" t="s">
        <v>1996</v>
      </c>
      <c r="DG145" t="s">
        <v>167</v>
      </c>
      <c r="DH145">
        <v>98223</v>
      </c>
      <c r="DI145" t="s">
        <v>1997</v>
      </c>
      <c r="DJ145" t="s">
        <v>153</v>
      </c>
      <c r="DK145" t="s">
        <v>1998</v>
      </c>
      <c r="DL145" t="s">
        <v>167</v>
      </c>
      <c r="DM145">
        <v>98270</v>
      </c>
      <c r="DN145" t="s">
        <v>1999</v>
      </c>
      <c r="DO145" t="s">
        <v>936</v>
      </c>
      <c r="DP145" t="s">
        <v>171</v>
      </c>
      <c r="DQ145" t="s">
        <v>2000</v>
      </c>
      <c r="DR145" t="s">
        <v>2001</v>
      </c>
      <c r="DS145" t="s">
        <v>2002</v>
      </c>
      <c r="DT145" t="s">
        <v>153</v>
      </c>
      <c r="DU145" t="s">
        <v>2003</v>
      </c>
      <c r="DV145" t="s">
        <v>153</v>
      </c>
      <c r="DW145" t="s">
        <v>153</v>
      </c>
      <c r="DX145" s="2"/>
      <c r="DY145" t="s">
        <v>153</v>
      </c>
      <c r="DZ145" t="s">
        <v>153</v>
      </c>
      <c r="EA145" t="s">
        <v>153</v>
      </c>
      <c r="EB145" t="s">
        <v>153</v>
      </c>
      <c r="EC145" t="s">
        <v>153</v>
      </c>
      <c r="ED145" t="s">
        <v>153</v>
      </c>
      <c r="EE145" t="s">
        <v>153</v>
      </c>
      <c r="EF145" t="s">
        <v>153</v>
      </c>
      <c r="EH145" t="s">
        <v>153</v>
      </c>
      <c r="EI145" t="s">
        <v>153</v>
      </c>
      <c r="EJ145" t="s">
        <v>153</v>
      </c>
      <c r="EK145" t="s">
        <v>153</v>
      </c>
      <c r="EM145" t="s">
        <v>153</v>
      </c>
      <c r="EN145" t="s">
        <v>153</v>
      </c>
      <c r="EP145" s="4" t="s">
        <v>153</v>
      </c>
      <c r="EQ145" s="4" t="s">
        <v>153</v>
      </c>
      <c r="ER145" s="4" t="s">
        <v>191</v>
      </c>
      <c r="ES145" s="4" t="s">
        <v>153</v>
      </c>
      <c r="ET145" t="s">
        <v>2004</v>
      </c>
      <c r="EU145" t="s">
        <v>2005</v>
      </c>
      <c r="EV145" t="s">
        <v>2006</v>
      </c>
      <c r="EW145">
        <v>1220656477</v>
      </c>
      <c r="EX145" t="s">
        <v>2007</v>
      </c>
    </row>
    <row r="146" spans="1:154" x14ac:dyDescent="0.25">
      <c r="A146" s="3">
        <v>45415.491990740738</v>
      </c>
      <c r="B146" s="4" t="s">
        <v>153</v>
      </c>
      <c r="C146" s="4" t="s">
        <v>549</v>
      </c>
      <c r="D146" s="4" t="s">
        <v>550</v>
      </c>
      <c r="E146" s="4" t="s">
        <v>551</v>
      </c>
      <c r="F146" s="4" t="s">
        <v>552</v>
      </c>
      <c r="G146" s="4" t="s">
        <v>185</v>
      </c>
      <c r="H146" s="4" t="s">
        <v>553</v>
      </c>
      <c r="I146" s="4" t="s">
        <v>153</v>
      </c>
      <c r="J146" s="4" t="s">
        <v>153</v>
      </c>
      <c r="K146" s="5"/>
      <c r="L146" s="4" t="s">
        <v>153</v>
      </c>
      <c r="M146" s="4" t="s">
        <v>2008</v>
      </c>
      <c r="N146" s="4" t="s">
        <v>2008</v>
      </c>
      <c r="O146" s="4" t="s">
        <v>2009</v>
      </c>
      <c r="P146" s="4" t="s">
        <v>2010</v>
      </c>
      <c r="Q146" s="4" t="s">
        <v>294</v>
      </c>
      <c r="R146" s="4" t="s">
        <v>191</v>
      </c>
      <c r="S146" s="4" t="s">
        <v>2011</v>
      </c>
      <c r="T146" s="4" t="s">
        <v>480</v>
      </c>
      <c r="U146" s="4" t="s">
        <v>2012</v>
      </c>
      <c r="V146" s="4" t="s">
        <v>153</v>
      </c>
      <c r="W146" s="4" t="s">
        <v>2013</v>
      </c>
      <c r="X146" s="4" t="s">
        <v>1302</v>
      </c>
      <c r="Y146" s="4" t="s">
        <v>2014</v>
      </c>
      <c r="Z146" s="4" t="s">
        <v>197</v>
      </c>
      <c r="AA146" s="4" t="s">
        <v>2015</v>
      </c>
      <c r="AB146" s="4" t="s">
        <v>153</v>
      </c>
      <c r="AC146" s="4" t="s">
        <v>2013</v>
      </c>
      <c r="AD146" s="4" t="s">
        <v>1302</v>
      </c>
      <c r="AE146" s="4" t="s">
        <v>2014</v>
      </c>
      <c r="AF146" s="4" t="s">
        <v>2016</v>
      </c>
      <c r="AG146" s="4" t="s">
        <v>2017</v>
      </c>
      <c r="AH146" s="4" t="s">
        <v>153</v>
      </c>
      <c r="AI146" s="5">
        <v>45213</v>
      </c>
      <c r="AJ146" t="s">
        <v>153</v>
      </c>
      <c r="AK146" s="4">
        <v>5</v>
      </c>
      <c r="AL146" t="s">
        <v>153</v>
      </c>
      <c r="AM146" t="s">
        <v>153</v>
      </c>
      <c r="AO146" t="s">
        <v>153</v>
      </c>
      <c r="AP146" s="4"/>
      <c r="AQ146" t="s">
        <v>153</v>
      </c>
      <c r="AR146" s="5"/>
      <c r="AT146" s="4" t="s">
        <v>153</v>
      </c>
      <c r="AU146" s="4" t="s">
        <v>153</v>
      </c>
      <c r="AV146" s="4" t="s">
        <v>153</v>
      </c>
      <c r="AW146" t="s">
        <v>153</v>
      </c>
      <c r="AX146" t="s">
        <v>153</v>
      </c>
      <c r="AY146" t="s">
        <v>153</v>
      </c>
      <c r="AZ146" t="s">
        <v>153</v>
      </c>
      <c r="BA146" t="s">
        <v>153</v>
      </c>
      <c r="BB146" t="s">
        <v>153</v>
      </c>
      <c r="BC146" t="s">
        <v>153</v>
      </c>
      <c r="BD146" s="4" t="s">
        <v>153</v>
      </c>
      <c r="BE146" s="4" t="s">
        <v>153</v>
      </c>
      <c r="BF146" t="s">
        <v>153</v>
      </c>
      <c r="BG146" s="4" t="s">
        <v>153</v>
      </c>
      <c r="BH146" t="s">
        <v>153</v>
      </c>
      <c r="BI146" s="4" t="s">
        <v>153</v>
      </c>
      <c r="BJ146" t="s">
        <v>153</v>
      </c>
      <c r="BK146" s="4" t="s">
        <v>153</v>
      </c>
      <c r="BL146" t="s">
        <v>153</v>
      </c>
      <c r="BM146" t="s">
        <v>153</v>
      </c>
      <c r="BN146" s="4" t="s">
        <v>153</v>
      </c>
      <c r="BO146" s="4" t="s">
        <v>153</v>
      </c>
      <c r="BP146" s="4" t="s">
        <v>153</v>
      </c>
      <c r="BQ146" s="4" t="s">
        <v>153</v>
      </c>
      <c r="BR146" s="4" t="s">
        <v>153</v>
      </c>
      <c r="BS146" s="4" t="s">
        <v>153</v>
      </c>
      <c r="BT146" s="4" t="s">
        <v>153</v>
      </c>
      <c r="BU146" s="4" t="s">
        <v>153</v>
      </c>
      <c r="BV146" s="4"/>
      <c r="BW146" s="4" t="s">
        <v>153</v>
      </c>
      <c r="BX146" s="4" t="s">
        <v>153</v>
      </c>
      <c r="BY146" s="4" t="s">
        <v>153</v>
      </c>
      <c r="BZ146" s="4" t="s">
        <v>153</v>
      </c>
      <c r="CA146" s="4" t="s">
        <v>153</v>
      </c>
      <c r="CB146" s="4"/>
      <c r="CC146" s="4" t="s">
        <v>153</v>
      </c>
      <c r="CD146" t="s">
        <v>153</v>
      </c>
      <c r="CE146" s="4" t="s">
        <v>153</v>
      </c>
      <c r="CF146" s="4" t="s">
        <v>153</v>
      </c>
      <c r="CG146" s="4" t="s">
        <v>153</v>
      </c>
      <c r="CH146" s="5"/>
      <c r="CI146" t="s">
        <v>153</v>
      </c>
      <c r="CJ146" s="4"/>
      <c r="CK146" t="s">
        <v>153</v>
      </c>
      <c r="CL146" t="s">
        <v>153</v>
      </c>
      <c r="CM146" t="s">
        <v>153</v>
      </c>
      <c r="CN146" t="s">
        <v>153</v>
      </c>
      <c r="CO146" s="5"/>
      <c r="CP146" s="4" t="s">
        <v>153</v>
      </c>
      <c r="CQ146" s="4" t="s">
        <v>153</v>
      </c>
      <c r="CR146" t="s">
        <v>153</v>
      </c>
      <c r="CS146" t="s">
        <v>153</v>
      </c>
      <c r="CT146" t="s">
        <v>153</v>
      </c>
      <c r="CU146" t="s">
        <v>153</v>
      </c>
      <c r="CV146" t="s">
        <v>153</v>
      </c>
      <c r="CW146" t="s">
        <v>153</v>
      </c>
      <c r="CX146" t="s">
        <v>153</v>
      </c>
      <c r="CY146" t="s">
        <v>153</v>
      </c>
      <c r="CZ146" t="s">
        <v>153</v>
      </c>
      <c r="DA146" t="s">
        <v>153</v>
      </c>
      <c r="DB146" t="s">
        <v>153</v>
      </c>
      <c r="DC146" t="s">
        <v>153</v>
      </c>
      <c r="DD146" t="s">
        <v>153</v>
      </c>
      <c r="DE146" t="s">
        <v>153</v>
      </c>
      <c r="DF146" t="s">
        <v>153</v>
      </c>
      <c r="DG146" t="s">
        <v>153</v>
      </c>
      <c r="DI146" t="s">
        <v>153</v>
      </c>
      <c r="DJ146" t="s">
        <v>153</v>
      </c>
      <c r="DK146" t="s">
        <v>153</v>
      </c>
      <c r="DL146" t="s">
        <v>153</v>
      </c>
      <c r="DN146" t="s">
        <v>153</v>
      </c>
      <c r="DO146" t="s">
        <v>153</v>
      </c>
      <c r="DP146" t="s">
        <v>153</v>
      </c>
      <c r="DQ146" t="s">
        <v>153</v>
      </c>
      <c r="DR146" t="s">
        <v>153</v>
      </c>
      <c r="DS146" t="s">
        <v>153</v>
      </c>
      <c r="DT146" t="s">
        <v>153</v>
      </c>
      <c r="DU146" t="s">
        <v>153</v>
      </c>
      <c r="DV146" t="s">
        <v>153</v>
      </c>
      <c r="DW146" t="s">
        <v>153</v>
      </c>
      <c r="DX146" s="2"/>
      <c r="DY146" t="s">
        <v>153</v>
      </c>
      <c r="DZ146" t="s">
        <v>153</v>
      </c>
      <c r="EA146" t="s">
        <v>153</v>
      </c>
      <c r="EB146" t="s">
        <v>153</v>
      </c>
      <c r="EC146" t="s">
        <v>153</v>
      </c>
      <c r="ED146" t="s">
        <v>153</v>
      </c>
      <c r="EE146" t="s">
        <v>153</v>
      </c>
      <c r="EF146" t="s">
        <v>153</v>
      </c>
      <c r="EH146" t="s">
        <v>153</v>
      </c>
      <c r="EI146" t="s">
        <v>153</v>
      </c>
      <c r="EJ146" t="s">
        <v>153</v>
      </c>
      <c r="EK146" t="s">
        <v>153</v>
      </c>
      <c r="EM146" t="s">
        <v>153</v>
      </c>
      <c r="EN146" t="s">
        <v>153</v>
      </c>
      <c r="EP146" s="4" t="s">
        <v>243</v>
      </c>
      <c r="EQ146" s="4" t="s">
        <v>356</v>
      </c>
      <c r="ER146" s="4" t="s">
        <v>191</v>
      </c>
      <c r="ES146" s="4" t="s">
        <v>153</v>
      </c>
      <c r="ET146" t="s">
        <v>153</v>
      </c>
      <c r="EU146" t="s">
        <v>1965</v>
      </c>
      <c r="EV146" t="s">
        <v>2018</v>
      </c>
      <c r="EW146">
        <v>1221734560</v>
      </c>
      <c r="EX146" t="s">
        <v>2019</v>
      </c>
    </row>
    <row r="147" spans="1:154" x14ac:dyDescent="0.25">
      <c r="A147" s="3">
        <v>45418.7425</v>
      </c>
      <c r="B147" s="4" t="s">
        <v>153</v>
      </c>
      <c r="C147" s="4" t="s">
        <v>419</v>
      </c>
      <c r="D147" s="4" t="s">
        <v>1599</v>
      </c>
      <c r="E147" s="4" t="s">
        <v>1600</v>
      </c>
      <c r="F147" s="4" t="s">
        <v>1601</v>
      </c>
      <c r="G147" s="4" t="s">
        <v>185</v>
      </c>
      <c r="H147" s="4" t="s">
        <v>1393</v>
      </c>
      <c r="I147" s="4" t="s">
        <v>153</v>
      </c>
      <c r="J147" s="4" t="s">
        <v>153</v>
      </c>
      <c r="K147" s="5"/>
      <c r="L147" s="4" t="s">
        <v>153</v>
      </c>
      <c r="M147" s="4" t="s">
        <v>2020</v>
      </c>
      <c r="N147" s="4" t="s">
        <v>153</v>
      </c>
      <c r="O147" s="4" t="s">
        <v>2021</v>
      </c>
      <c r="P147" s="4" t="s">
        <v>2022</v>
      </c>
      <c r="Q147" s="4" t="s">
        <v>190</v>
      </c>
      <c r="R147" s="4" t="s">
        <v>191</v>
      </c>
      <c r="S147" s="4" t="s">
        <v>2023</v>
      </c>
      <c r="T147" s="4" t="s">
        <v>1607</v>
      </c>
      <c r="U147" s="4" t="s">
        <v>2024</v>
      </c>
      <c r="V147" s="4" t="s">
        <v>153</v>
      </c>
      <c r="W147" s="4" t="s">
        <v>2025</v>
      </c>
      <c r="X147" s="4" t="s">
        <v>754</v>
      </c>
      <c r="Y147" s="4" t="s">
        <v>2026</v>
      </c>
      <c r="Z147" s="4" t="s">
        <v>237</v>
      </c>
      <c r="AA147" s="4" t="s">
        <v>2024</v>
      </c>
      <c r="AB147" s="4" t="s">
        <v>153</v>
      </c>
      <c r="AC147" s="4" t="s">
        <v>2025</v>
      </c>
      <c r="AD147" s="4" t="s">
        <v>754</v>
      </c>
      <c r="AE147" s="4" t="s">
        <v>2026</v>
      </c>
      <c r="AF147" s="4" t="s">
        <v>2027</v>
      </c>
      <c r="AG147" s="4" t="s">
        <v>2028</v>
      </c>
      <c r="AH147" s="4" t="s">
        <v>153</v>
      </c>
      <c r="AI147" s="5">
        <v>44986</v>
      </c>
      <c r="AJ147" t="s">
        <v>153</v>
      </c>
      <c r="AK147" s="4"/>
      <c r="AL147" t="s">
        <v>2029</v>
      </c>
      <c r="AM147" t="s">
        <v>153</v>
      </c>
      <c r="AO147" t="s">
        <v>153</v>
      </c>
      <c r="AP147" s="4"/>
      <c r="AQ147" t="s">
        <v>153</v>
      </c>
      <c r="AR147" s="5"/>
      <c r="AT147" s="4" t="s">
        <v>153</v>
      </c>
      <c r="AU147" s="4" t="s">
        <v>153</v>
      </c>
      <c r="AV147" s="4" t="s">
        <v>153</v>
      </c>
      <c r="AW147" t="s">
        <v>153</v>
      </c>
      <c r="AX147" t="s">
        <v>153</v>
      </c>
      <c r="AY147" t="s">
        <v>153</v>
      </c>
      <c r="AZ147" t="s">
        <v>153</v>
      </c>
      <c r="BA147" t="s">
        <v>153</v>
      </c>
      <c r="BB147" t="s">
        <v>153</v>
      </c>
      <c r="BC147" t="s">
        <v>153</v>
      </c>
      <c r="BD147" s="4" t="s">
        <v>153</v>
      </c>
      <c r="BE147" s="4" t="s">
        <v>153</v>
      </c>
      <c r="BF147" t="s">
        <v>153</v>
      </c>
      <c r="BG147" s="4" t="s">
        <v>153</v>
      </c>
      <c r="BH147" t="s">
        <v>153</v>
      </c>
      <c r="BI147" s="4" t="s">
        <v>153</v>
      </c>
      <c r="BJ147" t="s">
        <v>153</v>
      </c>
      <c r="BK147" s="4" t="s">
        <v>153</v>
      </c>
      <c r="BL147" t="s">
        <v>153</v>
      </c>
      <c r="BM147" t="s">
        <v>153</v>
      </c>
      <c r="BN147" s="4" t="s">
        <v>153</v>
      </c>
      <c r="BO147" s="4" t="s">
        <v>153</v>
      </c>
      <c r="BP147" s="4" t="s">
        <v>153</v>
      </c>
      <c r="BQ147" s="4" t="s">
        <v>153</v>
      </c>
      <c r="BR147" s="4" t="s">
        <v>153</v>
      </c>
      <c r="BS147" s="4" t="s">
        <v>153</v>
      </c>
      <c r="BT147" s="4" t="s">
        <v>153</v>
      </c>
      <c r="BU147" s="4" t="s">
        <v>153</v>
      </c>
      <c r="BV147" s="4"/>
      <c r="BW147" s="4" t="s">
        <v>153</v>
      </c>
      <c r="BX147" s="4" t="s">
        <v>153</v>
      </c>
      <c r="BY147" s="4" t="s">
        <v>153</v>
      </c>
      <c r="BZ147" s="4" t="s">
        <v>153</v>
      </c>
      <c r="CA147" s="4" t="s">
        <v>153</v>
      </c>
      <c r="CB147" s="4"/>
      <c r="CC147" s="4" t="s">
        <v>153</v>
      </c>
      <c r="CD147" t="s">
        <v>153</v>
      </c>
      <c r="CE147" s="4" t="s">
        <v>153</v>
      </c>
      <c r="CF147" s="4" t="s">
        <v>153</v>
      </c>
      <c r="CG147" s="4" t="s">
        <v>153</v>
      </c>
      <c r="CH147" s="5"/>
      <c r="CI147" t="s">
        <v>153</v>
      </c>
      <c r="CJ147" s="4"/>
      <c r="CK147" t="s">
        <v>153</v>
      </c>
      <c r="CL147" t="s">
        <v>153</v>
      </c>
      <c r="CM147" t="s">
        <v>153</v>
      </c>
      <c r="CN147" t="s">
        <v>153</v>
      </c>
      <c r="CO147" s="5"/>
      <c r="CP147" s="4" t="s">
        <v>153</v>
      </c>
      <c r="CQ147" s="4" t="s">
        <v>153</v>
      </c>
      <c r="CR147" t="s">
        <v>153</v>
      </c>
      <c r="CS147" t="s">
        <v>153</v>
      </c>
      <c r="CT147" t="s">
        <v>153</v>
      </c>
      <c r="CU147" t="s">
        <v>153</v>
      </c>
      <c r="CV147" t="s">
        <v>153</v>
      </c>
      <c r="CW147" t="s">
        <v>153</v>
      </c>
      <c r="CX147" t="s">
        <v>153</v>
      </c>
      <c r="CY147" t="s">
        <v>153</v>
      </c>
      <c r="CZ147" t="s">
        <v>153</v>
      </c>
      <c r="DA147" t="s">
        <v>153</v>
      </c>
      <c r="DB147" t="s">
        <v>153</v>
      </c>
      <c r="DC147" t="s">
        <v>153</v>
      </c>
      <c r="DD147" t="s">
        <v>153</v>
      </c>
      <c r="DE147" t="s">
        <v>153</v>
      </c>
      <c r="DF147" t="s">
        <v>153</v>
      </c>
      <c r="DG147" t="s">
        <v>153</v>
      </c>
      <c r="DI147" t="s">
        <v>153</v>
      </c>
      <c r="DJ147" t="s">
        <v>153</v>
      </c>
      <c r="DK147" t="s">
        <v>153</v>
      </c>
      <c r="DL147" t="s">
        <v>153</v>
      </c>
      <c r="DN147" t="s">
        <v>153</v>
      </c>
      <c r="DO147" t="s">
        <v>153</v>
      </c>
      <c r="DP147" t="s">
        <v>153</v>
      </c>
      <c r="DQ147" t="s">
        <v>153</v>
      </c>
      <c r="DR147" t="s">
        <v>153</v>
      </c>
      <c r="DS147" t="s">
        <v>153</v>
      </c>
      <c r="DT147" t="s">
        <v>153</v>
      </c>
      <c r="DU147" t="s">
        <v>153</v>
      </c>
      <c r="DV147" t="s">
        <v>153</v>
      </c>
      <c r="DW147" t="s">
        <v>153</v>
      </c>
      <c r="DX147" s="2"/>
      <c r="DY147" t="s">
        <v>153</v>
      </c>
      <c r="DZ147" t="s">
        <v>153</v>
      </c>
      <c r="EA147" t="s">
        <v>153</v>
      </c>
      <c r="EB147" t="s">
        <v>153</v>
      </c>
      <c r="EC147" t="s">
        <v>153</v>
      </c>
      <c r="ED147" t="s">
        <v>153</v>
      </c>
      <c r="EE147" t="s">
        <v>153</v>
      </c>
      <c r="EF147" t="s">
        <v>153</v>
      </c>
      <c r="EH147" t="s">
        <v>153</v>
      </c>
      <c r="EI147" t="s">
        <v>153</v>
      </c>
      <c r="EJ147" t="s">
        <v>153</v>
      </c>
      <c r="EK147" t="s">
        <v>153</v>
      </c>
      <c r="EM147" t="s">
        <v>153</v>
      </c>
      <c r="EN147" t="s">
        <v>153</v>
      </c>
      <c r="EP147" s="4" t="s">
        <v>243</v>
      </c>
      <c r="EQ147" s="4" t="s">
        <v>842</v>
      </c>
      <c r="ER147" s="4" t="s">
        <v>176</v>
      </c>
      <c r="ES147" s="4" t="s">
        <v>153</v>
      </c>
      <c r="ET147" t="s">
        <v>153</v>
      </c>
      <c r="EU147" t="s">
        <v>1614</v>
      </c>
      <c r="EV147" t="s">
        <v>1615</v>
      </c>
      <c r="EW147">
        <v>1222674592</v>
      </c>
      <c r="EX147" t="s">
        <v>1616</v>
      </c>
    </row>
    <row r="148" spans="1:154" x14ac:dyDescent="0.25">
      <c r="A148" s="3">
        <v>45419.44604166667</v>
      </c>
      <c r="B148" s="4" t="s">
        <v>153</v>
      </c>
      <c r="C148" s="4" t="s">
        <v>549</v>
      </c>
      <c r="D148" s="4" t="s">
        <v>550</v>
      </c>
      <c r="E148" s="4" t="s">
        <v>551</v>
      </c>
      <c r="F148" s="4" t="s">
        <v>552</v>
      </c>
      <c r="G148" s="4" t="s">
        <v>252</v>
      </c>
      <c r="H148" s="4" t="s">
        <v>553</v>
      </c>
      <c r="I148" s="4" t="s">
        <v>153</v>
      </c>
      <c r="J148" s="4" t="s">
        <v>2030</v>
      </c>
      <c r="K148" s="5"/>
      <c r="L148" s="4" t="s">
        <v>153</v>
      </c>
      <c r="M148" s="4" t="s">
        <v>153</v>
      </c>
      <c r="N148" s="4" t="s">
        <v>153</v>
      </c>
      <c r="O148" s="4" t="s">
        <v>153</v>
      </c>
      <c r="P148" s="4" t="s">
        <v>153</v>
      </c>
      <c r="Q148" s="4" t="s">
        <v>153</v>
      </c>
      <c r="R148" s="4" t="s">
        <v>153</v>
      </c>
      <c r="S148" s="4" t="s">
        <v>153</v>
      </c>
      <c r="T148" s="4" t="s">
        <v>153</v>
      </c>
      <c r="U148" s="4" t="s">
        <v>153</v>
      </c>
      <c r="V148" s="4" t="s">
        <v>153</v>
      </c>
      <c r="W148" s="4" t="s">
        <v>153</v>
      </c>
      <c r="X148" s="4" t="s">
        <v>153</v>
      </c>
      <c r="Y148" s="4" t="s">
        <v>153</v>
      </c>
      <c r="Z148" s="4" t="s">
        <v>153</v>
      </c>
      <c r="AA148" s="4" t="s">
        <v>153</v>
      </c>
      <c r="AB148" s="4" t="s">
        <v>153</v>
      </c>
      <c r="AC148" s="4" t="s">
        <v>153</v>
      </c>
      <c r="AD148" s="4" t="s">
        <v>153</v>
      </c>
      <c r="AE148" s="4" t="s">
        <v>153</v>
      </c>
      <c r="AF148" s="4" t="s">
        <v>153</v>
      </c>
      <c r="AG148" s="4" t="s">
        <v>153</v>
      </c>
      <c r="AH148" s="4" t="s">
        <v>153</v>
      </c>
      <c r="AI148" s="5"/>
      <c r="AJ148" t="s">
        <v>153</v>
      </c>
      <c r="AK148" s="4"/>
      <c r="AL148" t="s">
        <v>153</v>
      </c>
      <c r="AM148" t="s">
        <v>153</v>
      </c>
      <c r="AO148" t="s">
        <v>153</v>
      </c>
      <c r="AP148" s="4"/>
      <c r="AQ148" t="s">
        <v>153</v>
      </c>
      <c r="AR148" s="5">
        <v>45193</v>
      </c>
      <c r="AS148">
        <v>0</v>
      </c>
      <c r="AT148" s="4" t="s">
        <v>153</v>
      </c>
      <c r="AU148" s="4" t="s">
        <v>153</v>
      </c>
      <c r="AV148" s="4" t="s">
        <v>2031</v>
      </c>
      <c r="AW148" t="s">
        <v>2032</v>
      </c>
      <c r="AX148" t="s">
        <v>153</v>
      </c>
      <c r="AY148" t="s">
        <v>153</v>
      </c>
      <c r="AZ148" t="s">
        <v>153</v>
      </c>
      <c r="BA148" t="s">
        <v>153</v>
      </c>
      <c r="BB148" t="s">
        <v>153</v>
      </c>
      <c r="BC148" t="s">
        <v>153</v>
      </c>
      <c r="BD148" s="4" t="s">
        <v>2033</v>
      </c>
      <c r="BE148" s="4" t="s">
        <v>2034</v>
      </c>
      <c r="BF148" t="s">
        <v>242</v>
      </c>
      <c r="BG148" s="4" t="s">
        <v>927</v>
      </c>
      <c r="BH148" t="s">
        <v>153</v>
      </c>
      <c r="BI148" s="4" t="s">
        <v>153</v>
      </c>
      <c r="BJ148" t="s">
        <v>153</v>
      </c>
      <c r="BK148" s="4" t="s">
        <v>153</v>
      </c>
      <c r="BL148" t="s">
        <v>153</v>
      </c>
      <c r="BM148" t="s">
        <v>153</v>
      </c>
      <c r="BN148" s="4" t="s">
        <v>153</v>
      </c>
      <c r="BO148" s="4" t="s">
        <v>153</v>
      </c>
      <c r="BP148" s="4" t="s">
        <v>153</v>
      </c>
      <c r="BQ148" s="4" t="s">
        <v>153</v>
      </c>
      <c r="BR148" s="4" t="s">
        <v>153</v>
      </c>
      <c r="BS148" s="4" t="s">
        <v>153</v>
      </c>
      <c r="BT148" s="4" t="s">
        <v>153</v>
      </c>
      <c r="BU148" s="4" t="s">
        <v>153</v>
      </c>
      <c r="BV148" s="4"/>
      <c r="BW148" s="4" t="s">
        <v>153</v>
      </c>
      <c r="BX148" s="4" t="s">
        <v>153</v>
      </c>
      <c r="BY148" s="4" t="s">
        <v>153</v>
      </c>
      <c r="BZ148" s="4" t="s">
        <v>153</v>
      </c>
      <c r="CA148" s="4" t="s">
        <v>153</v>
      </c>
      <c r="CB148" s="4"/>
      <c r="CC148" s="4" t="s">
        <v>153</v>
      </c>
      <c r="CD148" t="s">
        <v>153</v>
      </c>
      <c r="CE148" s="4" t="s">
        <v>153</v>
      </c>
      <c r="CF148" s="4" t="s">
        <v>153</v>
      </c>
      <c r="CG148" s="4" t="s">
        <v>153</v>
      </c>
      <c r="CH148" s="5"/>
      <c r="CI148" t="s">
        <v>153</v>
      </c>
      <c r="CJ148" s="4"/>
      <c r="CK148" t="s">
        <v>153</v>
      </c>
      <c r="CL148" t="s">
        <v>153</v>
      </c>
      <c r="CM148" t="s">
        <v>153</v>
      </c>
      <c r="CN148" t="s">
        <v>153</v>
      </c>
      <c r="CO148" s="5"/>
      <c r="CP148" s="4" t="s">
        <v>153</v>
      </c>
      <c r="CQ148" s="4" t="s">
        <v>153</v>
      </c>
      <c r="CR148" t="s">
        <v>153</v>
      </c>
      <c r="CS148" t="s">
        <v>153</v>
      </c>
      <c r="CT148" t="s">
        <v>153</v>
      </c>
      <c r="CU148" t="s">
        <v>153</v>
      </c>
      <c r="CV148" t="s">
        <v>153</v>
      </c>
      <c r="CW148" t="s">
        <v>153</v>
      </c>
      <c r="CX148" t="s">
        <v>153</v>
      </c>
      <c r="CY148" t="s">
        <v>153</v>
      </c>
      <c r="CZ148" t="s">
        <v>153</v>
      </c>
      <c r="DA148" t="s">
        <v>153</v>
      </c>
      <c r="DB148" t="s">
        <v>153</v>
      </c>
      <c r="DC148" t="s">
        <v>153</v>
      </c>
      <c r="DD148" t="s">
        <v>153</v>
      </c>
      <c r="DE148" t="s">
        <v>153</v>
      </c>
      <c r="DF148" t="s">
        <v>153</v>
      </c>
      <c r="DG148" t="s">
        <v>153</v>
      </c>
      <c r="DI148" t="s">
        <v>153</v>
      </c>
      <c r="DJ148" t="s">
        <v>153</v>
      </c>
      <c r="DK148" t="s">
        <v>153</v>
      </c>
      <c r="DL148" t="s">
        <v>153</v>
      </c>
      <c r="DN148" t="s">
        <v>153</v>
      </c>
      <c r="DO148" t="s">
        <v>153</v>
      </c>
      <c r="DP148" t="s">
        <v>153</v>
      </c>
      <c r="DQ148" t="s">
        <v>153</v>
      </c>
      <c r="DR148" t="s">
        <v>153</v>
      </c>
      <c r="DS148" t="s">
        <v>153</v>
      </c>
      <c r="DT148" t="s">
        <v>153</v>
      </c>
      <c r="DU148" t="s">
        <v>153</v>
      </c>
      <c r="DV148" t="s">
        <v>153</v>
      </c>
      <c r="DW148" t="s">
        <v>153</v>
      </c>
      <c r="DX148" s="2"/>
      <c r="DY148" t="s">
        <v>153</v>
      </c>
      <c r="DZ148" t="s">
        <v>153</v>
      </c>
      <c r="EA148" t="s">
        <v>153</v>
      </c>
      <c r="EB148" t="s">
        <v>153</v>
      </c>
      <c r="EC148" t="s">
        <v>153</v>
      </c>
      <c r="ED148" t="s">
        <v>153</v>
      </c>
      <c r="EE148" t="s">
        <v>153</v>
      </c>
      <c r="EF148" t="s">
        <v>153</v>
      </c>
      <c r="EH148" t="s">
        <v>153</v>
      </c>
      <c r="EI148" t="s">
        <v>153</v>
      </c>
      <c r="EJ148" t="s">
        <v>153</v>
      </c>
      <c r="EK148" t="s">
        <v>153</v>
      </c>
      <c r="EM148" t="s">
        <v>153</v>
      </c>
      <c r="EN148" t="s">
        <v>153</v>
      </c>
      <c r="EP148" s="4" t="s">
        <v>153</v>
      </c>
      <c r="EQ148" s="4" t="s">
        <v>153</v>
      </c>
      <c r="ER148" s="4" t="s">
        <v>153</v>
      </c>
      <c r="ES148" s="4" t="s">
        <v>153</v>
      </c>
      <c r="ET148" t="s">
        <v>153</v>
      </c>
      <c r="EU148" t="s">
        <v>1965</v>
      </c>
      <c r="EV148" t="s">
        <v>2018</v>
      </c>
      <c r="EW148">
        <v>1222884960</v>
      </c>
      <c r="EX148" t="s">
        <v>2019</v>
      </c>
    </row>
    <row r="149" spans="1:154" x14ac:dyDescent="0.25">
      <c r="A149" s="3">
        <v>45420.511273148149</v>
      </c>
      <c r="B149" s="4" t="s">
        <v>153</v>
      </c>
      <c r="C149" s="4" t="s">
        <v>1028</v>
      </c>
      <c r="D149" s="4" t="s">
        <v>1029</v>
      </c>
      <c r="E149" s="4" t="s">
        <v>1030</v>
      </c>
      <c r="F149" s="4" t="s">
        <v>1031</v>
      </c>
      <c r="G149" s="4" t="s">
        <v>1392</v>
      </c>
      <c r="H149" s="4" t="s">
        <v>1032</v>
      </c>
      <c r="I149" s="4" t="s">
        <v>153</v>
      </c>
      <c r="J149" s="4" t="s">
        <v>2035</v>
      </c>
      <c r="K149" s="5"/>
      <c r="L149" s="4" t="s">
        <v>153</v>
      </c>
      <c r="M149" s="4" t="s">
        <v>153</v>
      </c>
      <c r="N149" s="4" t="s">
        <v>153</v>
      </c>
      <c r="O149" s="4" t="s">
        <v>153</v>
      </c>
      <c r="P149" s="4" t="s">
        <v>153</v>
      </c>
      <c r="Q149" s="4" t="s">
        <v>153</v>
      </c>
      <c r="R149" s="4" t="s">
        <v>153</v>
      </c>
      <c r="S149" s="4" t="s">
        <v>153</v>
      </c>
      <c r="T149" s="4" t="s">
        <v>153</v>
      </c>
      <c r="U149" s="4" t="s">
        <v>153</v>
      </c>
      <c r="V149" s="4" t="s">
        <v>153</v>
      </c>
      <c r="W149" s="4" t="s">
        <v>153</v>
      </c>
      <c r="X149" s="4" t="s">
        <v>153</v>
      </c>
      <c r="Y149" s="4" t="s">
        <v>153</v>
      </c>
      <c r="Z149" s="4" t="s">
        <v>153</v>
      </c>
      <c r="AA149" s="4" t="s">
        <v>153</v>
      </c>
      <c r="AB149" s="4" t="s">
        <v>153</v>
      </c>
      <c r="AC149" s="4" t="s">
        <v>153</v>
      </c>
      <c r="AD149" s="4" t="s">
        <v>153</v>
      </c>
      <c r="AE149" s="4" t="s">
        <v>153</v>
      </c>
      <c r="AF149" s="4" t="s">
        <v>153</v>
      </c>
      <c r="AG149" s="4" t="s">
        <v>153</v>
      </c>
      <c r="AH149" s="4" t="s">
        <v>153</v>
      </c>
      <c r="AI149" s="5"/>
      <c r="AJ149" t="s">
        <v>153</v>
      </c>
      <c r="AK149" s="4"/>
      <c r="AL149" t="s">
        <v>153</v>
      </c>
      <c r="AM149" t="s">
        <v>153</v>
      </c>
      <c r="AO149" t="s">
        <v>153</v>
      </c>
      <c r="AP149" s="4"/>
      <c r="AQ149" t="s">
        <v>153</v>
      </c>
      <c r="AR149" s="5"/>
      <c r="AT149" s="4" t="s">
        <v>153</v>
      </c>
      <c r="AU149" s="4" t="s">
        <v>153</v>
      </c>
      <c r="AV149" s="4" t="s">
        <v>153</v>
      </c>
      <c r="AW149" t="s">
        <v>153</v>
      </c>
      <c r="AX149" t="s">
        <v>153</v>
      </c>
      <c r="AY149" t="s">
        <v>153</v>
      </c>
      <c r="AZ149" t="s">
        <v>153</v>
      </c>
      <c r="BA149" t="s">
        <v>153</v>
      </c>
      <c r="BB149" t="s">
        <v>153</v>
      </c>
      <c r="BC149" t="s">
        <v>153</v>
      </c>
      <c r="BD149" s="4" t="s">
        <v>153</v>
      </c>
      <c r="BE149" s="4" t="s">
        <v>153</v>
      </c>
      <c r="BF149" t="s">
        <v>153</v>
      </c>
      <c r="BG149" s="4" t="s">
        <v>153</v>
      </c>
      <c r="BH149" t="s">
        <v>153</v>
      </c>
      <c r="BI149" s="4" t="s">
        <v>153</v>
      </c>
      <c r="BJ149" t="s">
        <v>153</v>
      </c>
      <c r="BK149" s="4" t="s">
        <v>153</v>
      </c>
      <c r="BL149" t="s">
        <v>153</v>
      </c>
      <c r="BM149" t="s">
        <v>153</v>
      </c>
      <c r="BN149" s="4" t="s">
        <v>153</v>
      </c>
      <c r="BO149" s="4" t="s">
        <v>153</v>
      </c>
      <c r="BP149" s="4" t="s">
        <v>153</v>
      </c>
      <c r="BQ149" s="4" t="s">
        <v>153</v>
      </c>
      <c r="BR149" s="4" t="s">
        <v>153</v>
      </c>
      <c r="BS149" s="4" t="s">
        <v>153</v>
      </c>
      <c r="BT149" s="4" t="s">
        <v>153</v>
      </c>
      <c r="BU149" s="4" t="s">
        <v>153</v>
      </c>
      <c r="BV149" s="4"/>
      <c r="BW149" s="4" t="s">
        <v>153</v>
      </c>
      <c r="BX149" s="4" t="s">
        <v>153</v>
      </c>
      <c r="BY149" s="4" t="s">
        <v>153</v>
      </c>
      <c r="BZ149" s="4" t="s">
        <v>153</v>
      </c>
      <c r="CA149" s="4" t="s">
        <v>153</v>
      </c>
      <c r="CB149" s="4"/>
      <c r="CC149" s="4" t="s">
        <v>153</v>
      </c>
      <c r="CD149" t="s">
        <v>153</v>
      </c>
      <c r="CE149" s="4" t="s">
        <v>153</v>
      </c>
      <c r="CF149" s="4" t="s">
        <v>153</v>
      </c>
      <c r="CG149" s="4" t="s">
        <v>153</v>
      </c>
      <c r="CH149" s="5"/>
      <c r="CI149" t="s">
        <v>153</v>
      </c>
      <c r="CJ149" s="4"/>
      <c r="CK149" t="s">
        <v>153</v>
      </c>
      <c r="CL149" t="s">
        <v>153</v>
      </c>
      <c r="CM149" t="s">
        <v>153</v>
      </c>
      <c r="CN149" t="s">
        <v>153</v>
      </c>
      <c r="CO149" s="5"/>
      <c r="CP149" s="4" t="s">
        <v>153</v>
      </c>
      <c r="CQ149" s="4" t="s">
        <v>153</v>
      </c>
      <c r="CR149" t="s">
        <v>153</v>
      </c>
      <c r="CS149" t="s">
        <v>153</v>
      </c>
      <c r="CT149" t="s">
        <v>153</v>
      </c>
      <c r="CU149" t="s">
        <v>153</v>
      </c>
      <c r="CV149" t="s">
        <v>153</v>
      </c>
      <c r="CW149" t="s">
        <v>153</v>
      </c>
      <c r="CX149" t="s">
        <v>153</v>
      </c>
      <c r="CY149" t="s">
        <v>153</v>
      </c>
      <c r="CZ149" t="s">
        <v>153</v>
      </c>
      <c r="DA149" t="s">
        <v>153</v>
      </c>
      <c r="DB149" t="s">
        <v>153</v>
      </c>
      <c r="DC149" t="s">
        <v>153</v>
      </c>
      <c r="DD149" t="s">
        <v>153</v>
      </c>
      <c r="DE149" t="s">
        <v>153</v>
      </c>
      <c r="DF149" t="s">
        <v>153</v>
      </c>
      <c r="DG149" t="s">
        <v>153</v>
      </c>
      <c r="DI149" t="s">
        <v>153</v>
      </c>
      <c r="DJ149" t="s">
        <v>153</v>
      </c>
      <c r="DK149" t="s">
        <v>153</v>
      </c>
      <c r="DL149" t="s">
        <v>153</v>
      </c>
      <c r="DN149" t="s">
        <v>153</v>
      </c>
      <c r="DO149" t="s">
        <v>153</v>
      </c>
      <c r="DP149" t="s">
        <v>153</v>
      </c>
      <c r="DQ149" t="s">
        <v>153</v>
      </c>
      <c r="DR149" t="s">
        <v>153</v>
      </c>
      <c r="DS149" t="s">
        <v>153</v>
      </c>
      <c r="DT149" t="s">
        <v>153</v>
      </c>
      <c r="DU149" t="s">
        <v>153</v>
      </c>
      <c r="DV149" t="s">
        <v>2036</v>
      </c>
      <c r="DW149" t="s">
        <v>153</v>
      </c>
      <c r="DX149" s="2">
        <v>45396</v>
      </c>
      <c r="DY149" t="s">
        <v>2037</v>
      </c>
      <c r="DZ149" t="s">
        <v>242</v>
      </c>
      <c r="EA149" t="s">
        <v>2038</v>
      </c>
      <c r="EB149" t="s">
        <v>2039</v>
      </c>
      <c r="EC149" t="s">
        <v>2040</v>
      </c>
      <c r="ED149" t="s">
        <v>153</v>
      </c>
      <c r="EE149" t="s">
        <v>2041</v>
      </c>
      <c r="EF149" t="s">
        <v>870</v>
      </c>
      <c r="EG149">
        <v>97385</v>
      </c>
      <c r="EH149" t="s">
        <v>2042</v>
      </c>
      <c r="EI149" t="s">
        <v>153</v>
      </c>
      <c r="EJ149" t="s">
        <v>2043</v>
      </c>
      <c r="EK149" t="s">
        <v>870</v>
      </c>
      <c r="EL149">
        <v>97385</v>
      </c>
      <c r="EM149" t="s">
        <v>1031</v>
      </c>
      <c r="EN149" t="s">
        <v>1030</v>
      </c>
      <c r="EP149" s="4" t="s">
        <v>153</v>
      </c>
      <c r="EQ149" s="4" t="s">
        <v>153</v>
      </c>
      <c r="ER149" s="4" t="s">
        <v>191</v>
      </c>
      <c r="ES149" s="4" t="s">
        <v>153</v>
      </c>
      <c r="ET149" t="s">
        <v>2044</v>
      </c>
      <c r="EU149" t="s">
        <v>1965</v>
      </c>
      <c r="EV149" t="s">
        <v>2045</v>
      </c>
      <c r="EW149">
        <v>1223313454</v>
      </c>
      <c r="EX149" t="s">
        <v>2046</v>
      </c>
    </row>
    <row r="150" spans="1:154" x14ac:dyDescent="0.25">
      <c r="A150" s="3">
        <v>45420.658148148148</v>
      </c>
      <c r="B150" s="4" t="s">
        <v>153</v>
      </c>
      <c r="C150" s="4" t="s">
        <v>892</v>
      </c>
      <c r="D150" s="4" t="s">
        <v>893</v>
      </c>
      <c r="E150" s="4" t="s">
        <v>894</v>
      </c>
      <c r="F150" s="4" t="s">
        <v>895</v>
      </c>
      <c r="G150" s="4" t="s">
        <v>185</v>
      </c>
      <c r="H150" s="4" t="s">
        <v>542</v>
      </c>
      <c r="I150" s="4" t="s">
        <v>153</v>
      </c>
      <c r="J150" s="4" t="s">
        <v>153</v>
      </c>
      <c r="K150" s="5"/>
      <c r="L150" s="4" t="s">
        <v>153</v>
      </c>
      <c r="M150" s="4" t="s">
        <v>2047</v>
      </c>
      <c r="N150" s="4" t="s">
        <v>2048</v>
      </c>
      <c r="O150" s="4" t="s">
        <v>1667</v>
      </c>
      <c r="P150" s="4" t="s">
        <v>2049</v>
      </c>
      <c r="Q150" s="4" t="s">
        <v>327</v>
      </c>
      <c r="R150" s="4" t="s">
        <v>191</v>
      </c>
      <c r="S150" s="4" t="s">
        <v>2050</v>
      </c>
      <c r="T150" s="4" t="s">
        <v>153</v>
      </c>
      <c r="U150" s="4" t="s">
        <v>2051</v>
      </c>
      <c r="V150" s="4" t="s">
        <v>153</v>
      </c>
      <c r="W150" s="4" t="s">
        <v>2052</v>
      </c>
      <c r="X150" s="4" t="s">
        <v>722</v>
      </c>
      <c r="Y150" s="4" t="s">
        <v>2053</v>
      </c>
      <c r="Z150" s="4" t="s">
        <v>1812</v>
      </c>
      <c r="AA150" s="4" t="s">
        <v>2051</v>
      </c>
      <c r="AB150" s="4" t="s">
        <v>153</v>
      </c>
      <c r="AC150" s="4" t="s">
        <v>2052</v>
      </c>
      <c r="AD150" s="4" t="s">
        <v>722</v>
      </c>
      <c r="AE150" s="4" t="s">
        <v>2053</v>
      </c>
      <c r="AF150" s="4" t="s">
        <v>2054</v>
      </c>
      <c r="AG150" s="4" t="s">
        <v>2055</v>
      </c>
      <c r="AH150" s="4" t="s">
        <v>153</v>
      </c>
      <c r="AI150" s="5">
        <v>44720</v>
      </c>
      <c r="AJ150" t="s">
        <v>153</v>
      </c>
      <c r="AK150" s="4"/>
      <c r="AL150" t="s">
        <v>153</v>
      </c>
      <c r="AM150" t="s">
        <v>153</v>
      </c>
      <c r="AO150" t="s">
        <v>153</v>
      </c>
      <c r="AP150" s="4"/>
      <c r="AQ150" t="s">
        <v>153</v>
      </c>
      <c r="AR150" s="5"/>
      <c r="AT150" s="4" t="s">
        <v>153</v>
      </c>
      <c r="AU150" s="4" t="s">
        <v>153</v>
      </c>
      <c r="AV150" s="4" t="s">
        <v>153</v>
      </c>
      <c r="AW150" t="s">
        <v>153</v>
      </c>
      <c r="AX150" t="s">
        <v>153</v>
      </c>
      <c r="AY150" t="s">
        <v>153</v>
      </c>
      <c r="AZ150" t="s">
        <v>153</v>
      </c>
      <c r="BA150" t="s">
        <v>153</v>
      </c>
      <c r="BB150" t="s">
        <v>153</v>
      </c>
      <c r="BC150" t="s">
        <v>153</v>
      </c>
      <c r="BD150" s="4" t="s">
        <v>153</v>
      </c>
      <c r="BE150" s="4" t="s">
        <v>153</v>
      </c>
      <c r="BF150" t="s">
        <v>153</v>
      </c>
      <c r="BG150" s="4" t="s">
        <v>153</v>
      </c>
      <c r="BH150" t="s">
        <v>153</v>
      </c>
      <c r="BI150" s="4" t="s">
        <v>153</v>
      </c>
      <c r="BJ150" t="s">
        <v>153</v>
      </c>
      <c r="BK150" s="4" t="s">
        <v>153</v>
      </c>
      <c r="BL150" t="s">
        <v>153</v>
      </c>
      <c r="BM150" t="s">
        <v>153</v>
      </c>
      <c r="BN150" s="4" t="s">
        <v>153</v>
      </c>
      <c r="BO150" s="4" t="s">
        <v>153</v>
      </c>
      <c r="BP150" s="4" t="s">
        <v>153</v>
      </c>
      <c r="BQ150" s="4" t="s">
        <v>153</v>
      </c>
      <c r="BR150" s="4" t="s">
        <v>153</v>
      </c>
      <c r="BS150" s="4" t="s">
        <v>153</v>
      </c>
      <c r="BT150" s="4" t="s">
        <v>153</v>
      </c>
      <c r="BU150" s="4" t="s">
        <v>153</v>
      </c>
      <c r="BV150" s="4"/>
      <c r="BW150" s="4" t="s">
        <v>153</v>
      </c>
      <c r="BX150" s="4" t="s">
        <v>153</v>
      </c>
      <c r="BY150" s="4" t="s">
        <v>153</v>
      </c>
      <c r="BZ150" s="4" t="s">
        <v>153</v>
      </c>
      <c r="CA150" s="4" t="s">
        <v>153</v>
      </c>
      <c r="CB150" s="4"/>
      <c r="CC150" s="4" t="s">
        <v>153</v>
      </c>
      <c r="CD150" t="s">
        <v>153</v>
      </c>
      <c r="CE150" s="4" t="s">
        <v>153</v>
      </c>
      <c r="CF150" s="4" t="s">
        <v>153</v>
      </c>
      <c r="CG150" s="4" t="s">
        <v>153</v>
      </c>
      <c r="CH150" s="5"/>
      <c r="CI150" t="s">
        <v>153</v>
      </c>
      <c r="CJ150" s="4"/>
      <c r="CK150" t="s">
        <v>153</v>
      </c>
      <c r="CL150" t="s">
        <v>153</v>
      </c>
      <c r="CM150" t="s">
        <v>153</v>
      </c>
      <c r="CN150" t="s">
        <v>153</v>
      </c>
      <c r="CO150" s="5"/>
      <c r="CP150" s="4" t="s">
        <v>153</v>
      </c>
      <c r="CQ150" s="4" t="s">
        <v>153</v>
      </c>
      <c r="CR150" t="s">
        <v>153</v>
      </c>
      <c r="CS150" t="s">
        <v>153</v>
      </c>
      <c r="CT150" t="s">
        <v>153</v>
      </c>
      <c r="CU150" t="s">
        <v>153</v>
      </c>
      <c r="CV150" t="s">
        <v>153</v>
      </c>
      <c r="CW150" t="s">
        <v>153</v>
      </c>
      <c r="CX150" t="s">
        <v>153</v>
      </c>
      <c r="CY150" t="s">
        <v>153</v>
      </c>
      <c r="CZ150" t="s">
        <v>153</v>
      </c>
      <c r="DA150" t="s">
        <v>153</v>
      </c>
      <c r="DB150" t="s">
        <v>153</v>
      </c>
      <c r="DC150" t="s">
        <v>153</v>
      </c>
      <c r="DD150" t="s">
        <v>153</v>
      </c>
      <c r="DE150" t="s">
        <v>153</v>
      </c>
      <c r="DF150" t="s">
        <v>153</v>
      </c>
      <c r="DG150" t="s">
        <v>153</v>
      </c>
      <c r="DI150" t="s">
        <v>153</v>
      </c>
      <c r="DJ150" t="s">
        <v>153</v>
      </c>
      <c r="DK150" t="s">
        <v>153</v>
      </c>
      <c r="DL150" t="s">
        <v>153</v>
      </c>
      <c r="DN150" t="s">
        <v>153</v>
      </c>
      <c r="DO150" t="s">
        <v>153</v>
      </c>
      <c r="DP150" t="s">
        <v>153</v>
      </c>
      <c r="DQ150" t="s">
        <v>153</v>
      </c>
      <c r="DR150" t="s">
        <v>153</v>
      </c>
      <c r="DS150" t="s">
        <v>153</v>
      </c>
      <c r="DT150" t="s">
        <v>153</v>
      </c>
      <c r="DU150" t="s">
        <v>153</v>
      </c>
      <c r="DV150" t="s">
        <v>153</v>
      </c>
      <c r="DW150" t="s">
        <v>153</v>
      </c>
      <c r="DX150" s="2"/>
      <c r="DY150" t="s">
        <v>153</v>
      </c>
      <c r="DZ150" t="s">
        <v>153</v>
      </c>
      <c r="EA150" t="s">
        <v>153</v>
      </c>
      <c r="EB150" t="s">
        <v>153</v>
      </c>
      <c r="EC150" t="s">
        <v>153</v>
      </c>
      <c r="ED150" t="s">
        <v>153</v>
      </c>
      <c r="EE150" t="s">
        <v>153</v>
      </c>
      <c r="EF150" t="s">
        <v>153</v>
      </c>
      <c r="EH150" t="s">
        <v>153</v>
      </c>
      <c r="EI150" t="s">
        <v>153</v>
      </c>
      <c r="EJ150" t="s">
        <v>153</v>
      </c>
      <c r="EK150" t="s">
        <v>153</v>
      </c>
      <c r="EM150" t="s">
        <v>153</v>
      </c>
      <c r="EN150" t="s">
        <v>153</v>
      </c>
      <c r="EP150" s="4" t="s">
        <v>153</v>
      </c>
      <c r="EQ150" s="4" t="s">
        <v>153</v>
      </c>
      <c r="ER150" s="4" t="s">
        <v>153</v>
      </c>
      <c r="ES150" s="4" t="s">
        <v>153</v>
      </c>
      <c r="ET150" t="s">
        <v>153</v>
      </c>
      <c r="EU150" t="s">
        <v>1965</v>
      </c>
      <c r="EV150" t="s">
        <v>909</v>
      </c>
      <c r="EW150">
        <v>1223409940</v>
      </c>
      <c r="EX150" t="s">
        <v>1093</v>
      </c>
    </row>
    <row r="151" spans="1:154" x14ac:dyDescent="0.25">
      <c r="A151" s="3">
        <v>45420.665254629632</v>
      </c>
      <c r="B151" s="4" t="s">
        <v>153</v>
      </c>
      <c r="C151" s="4" t="s">
        <v>892</v>
      </c>
      <c r="D151" s="4" t="s">
        <v>893</v>
      </c>
      <c r="E151" s="4" t="s">
        <v>894</v>
      </c>
      <c r="F151" s="4" t="s">
        <v>895</v>
      </c>
      <c r="G151" s="4" t="s">
        <v>185</v>
      </c>
      <c r="H151" s="4" t="s">
        <v>542</v>
      </c>
      <c r="I151" s="4" t="s">
        <v>153</v>
      </c>
      <c r="J151" s="4" t="s">
        <v>153</v>
      </c>
      <c r="K151" s="5"/>
      <c r="L151" s="4" t="s">
        <v>153</v>
      </c>
      <c r="M151" s="4" t="s">
        <v>2056</v>
      </c>
      <c r="N151" s="4" t="s">
        <v>153</v>
      </c>
      <c r="O151" s="4" t="s">
        <v>439</v>
      </c>
      <c r="P151" s="4" t="s">
        <v>2057</v>
      </c>
      <c r="Q151" s="4" t="s">
        <v>403</v>
      </c>
      <c r="R151" s="4" t="s">
        <v>153</v>
      </c>
      <c r="S151" s="4" t="s">
        <v>153</v>
      </c>
      <c r="T151" s="4" t="s">
        <v>153</v>
      </c>
      <c r="U151" s="4" t="s">
        <v>2058</v>
      </c>
      <c r="V151" s="4" t="s">
        <v>153</v>
      </c>
      <c r="W151" s="4" t="s">
        <v>2059</v>
      </c>
      <c r="X151" s="4" t="s">
        <v>722</v>
      </c>
      <c r="Y151" s="4" t="s">
        <v>2060</v>
      </c>
      <c r="Z151" s="4" t="s">
        <v>237</v>
      </c>
      <c r="AA151" s="4" t="s">
        <v>2061</v>
      </c>
      <c r="AB151" s="4" t="s">
        <v>153</v>
      </c>
      <c r="AC151" s="4" t="s">
        <v>2059</v>
      </c>
      <c r="AD151" s="4" t="s">
        <v>722</v>
      </c>
      <c r="AE151" s="4" t="s">
        <v>2062</v>
      </c>
      <c r="AF151" s="4" t="s">
        <v>2063</v>
      </c>
      <c r="AG151" s="4" t="s">
        <v>2064</v>
      </c>
      <c r="AH151" s="4" t="s">
        <v>153</v>
      </c>
      <c r="AI151" s="5">
        <v>45130</v>
      </c>
      <c r="AJ151" t="s">
        <v>153</v>
      </c>
      <c r="AK151" s="4"/>
      <c r="AL151" t="s">
        <v>153</v>
      </c>
      <c r="AM151" t="s">
        <v>414</v>
      </c>
      <c r="AN151">
        <v>90</v>
      </c>
      <c r="AO151" t="s">
        <v>2065</v>
      </c>
      <c r="AP151" s="4">
        <v>833182034</v>
      </c>
      <c r="AQ151" t="s">
        <v>2066</v>
      </c>
      <c r="AR151" s="5"/>
      <c r="AT151" s="4" t="s">
        <v>153</v>
      </c>
      <c r="AU151" s="4" t="s">
        <v>153</v>
      </c>
      <c r="AV151" s="4" t="s">
        <v>153</v>
      </c>
      <c r="AW151" t="s">
        <v>153</v>
      </c>
      <c r="AX151" t="s">
        <v>153</v>
      </c>
      <c r="AY151" t="s">
        <v>153</v>
      </c>
      <c r="AZ151" t="s">
        <v>153</v>
      </c>
      <c r="BA151" t="s">
        <v>153</v>
      </c>
      <c r="BB151" t="s">
        <v>153</v>
      </c>
      <c r="BC151" t="s">
        <v>153</v>
      </c>
      <c r="BD151" s="4" t="s">
        <v>153</v>
      </c>
      <c r="BE151" s="4" t="s">
        <v>153</v>
      </c>
      <c r="BF151" t="s">
        <v>153</v>
      </c>
      <c r="BG151" s="4" t="s">
        <v>153</v>
      </c>
      <c r="BH151" t="s">
        <v>153</v>
      </c>
      <c r="BI151" s="4" t="s">
        <v>153</v>
      </c>
      <c r="BJ151" t="s">
        <v>153</v>
      </c>
      <c r="BK151" s="4" t="s">
        <v>153</v>
      </c>
      <c r="BL151" t="s">
        <v>153</v>
      </c>
      <c r="BM151" t="s">
        <v>153</v>
      </c>
      <c r="BN151" s="4" t="s">
        <v>153</v>
      </c>
      <c r="BO151" s="4" t="s">
        <v>153</v>
      </c>
      <c r="BP151" s="4" t="s">
        <v>153</v>
      </c>
      <c r="BQ151" s="4" t="s">
        <v>153</v>
      </c>
      <c r="BR151" s="4" t="s">
        <v>153</v>
      </c>
      <c r="BS151" s="4" t="s">
        <v>153</v>
      </c>
      <c r="BT151" s="4" t="s">
        <v>153</v>
      </c>
      <c r="BU151" s="4" t="s">
        <v>153</v>
      </c>
      <c r="BV151" s="4"/>
      <c r="BW151" s="4" t="s">
        <v>153</v>
      </c>
      <c r="BX151" s="4" t="s">
        <v>153</v>
      </c>
      <c r="BY151" s="4" t="s">
        <v>153</v>
      </c>
      <c r="BZ151" s="4" t="s">
        <v>153</v>
      </c>
      <c r="CA151" s="4" t="s">
        <v>153</v>
      </c>
      <c r="CB151" s="4"/>
      <c r="CC151" s="4" t="s">
        <v>153</v>
      </c>
      <c r="CD151" t="s">
        <v>153</v>
      </c>
      <c r="CE151" s="4" t="s">
        <v>153</v>
      </c>
      <c r="CF151" s="4" t="s">
        <v>153</v>
      </c>
      <c r="CG151" s="4" t="s">
        <v>153</v>
      </c>
      <c r="CH151" s="5"/>
      <c r="CI151" t="s">
        <v>153</v>
      </c>
      <c r="CJ151" s="4"/>
      <c r="CK151" t="s">
        <v>153</v>
      </c>
      <c r="CL151" t="s">
        <v>153</v>
      </c>
      <c r="CM151" t="s">
        <v>153</v>
      </c>
      <c r="CN151" t="s">
        <v>153</v>
      </c>
      <c r="CO151" s="5"/>
      <c r="CP151" s="4" t="s">
        <v>153</v>
      </c>
      <c r="CQ151" s="4" t="s">
        <v>153</v>
      </c>
      <c r="CR151" t="s">
        <v>153</v>
      </c>
      <c r="CS151" t="s">
        <v>153</v>
      </c>
      <c r="CT151" t="s">
        <v>153</v>
      </c>
      <c r="CU151" t="s">
        <v>153</v>
      </c>
      <c r="CV151" t="s">
        <v>153</v>
      </c>
      <c r="CW151" t="s">
        <v>153</v>
      </c>
      <c r="CX151" t="s">
        <v>153</v>
      </c>
      <c r="CY151" t="s">
        <v>153</v>
      </c>
      <c r="CZ151" t="s">
        <v>153</v>
      </c>
      <c r="DA151" t="s">
        <v>153</v>
      </c>
      <c r="DB151" t="s">
        <v>153</v>
      </c>
      <c r="DC151" t="s">
        <v>153</v>
      </c>
      <c r="DD151" t="s">
        <v>153</v>
      </c>
      <c r="DE151" t="s">
        <v>153</v>
      </c>
      <c r="DF151" t="s">
        <v>153</v>
      </c>
      <c r="DG151" t="s">
        <v>153</v>
      </c>
      <c r="DI151" t="s">
        <v>153</v>
      </c>
      <c r="DJ151" t="s">
        <v>153</v>
      </c>
      <c r="DK151" t="s">
        <v>153</v>
      </c>
      <c r="DL151" t="s">
        <v>153</v>
      </c>
      <c r="DN151" t="s">
        <v>153</v>
      </c>
      <c r="DO151" t="s">
        <v>153</v>
      </c>
      <c r="DP151" t="s">
        <v>153</v>
      </c>
      <c r="DQ151" t="s">
        <v>153</v>
      </c>
      <c r="DR151" t="s">
        <v>153</v>
      </c>
      <c r="DS151" t="s">
        <v>153</v>
      </c>
      <c r="DT151" t="s">
        <v>153</v>
      </c>
      <c r="DU151" t="s">
        <v>153</v>
      </c>
      <c r="DV151" t="s">
        <v>153</v>
      </c>
      <c r="DW151" t="s">
        <v>153</v>
      </c>
      <c r="DX151" s="2"/>
      <c r="DY151" t="s">
        <v>153</v>
      </c>
      <c r="DZ151" t="s">
        <v>153</v>
      </c>
      <c r="EA151" t="s">
        <v>153</v>
      </c>
      <c r="EB151" t="s">
        <v>153</v>
      </c>
      <c r="EC151" t="s">
        <v>153</v>
      </c>
      <c r="ED151" t="s">
        <v>153</v>
      </c>
      <c r="EE151" t="s">
        <v>153</v>
      </c>
      <c r="EF151" t="s">
        <v>153</v>
      </c>
      <c r="EH151" t="s">
        <v>153</v>
      </c>
      <c r="EI151" t="s">
        <v>153</v>
      </c>
      <c r="EJ151" t="s">
        <v>153</v>
      </c>
      <c r="EK151" t="s">
        <v>153</v>
      </c>
      <c r="EM151" t="s">
        <v>153</v>
      </c>
      <c r="EN151" t="s">
        <v>153</v>
      </c>
      <c r="EP151" s="4" t="s">
        <v>153</v>
      </c>
      <c r="EQ151" s="4" t="s">
        <v>153</v>
      </c>
      <c r="ER151" s="4" t="s">
        <v>153</v>
      </c>
      <c r="ES151" s="4" t="s">
        <v>153</v>
      </c>
      <c r="ET151" t="s">
        <v>153</v>
      </c>
      <c r="EU151" t="s">
        <v>1965</v>
      </c>
      <c r="EV151" t="s">
        <v>909</v>
      </c>
      <c r="EW151">
        <v>1223416230</v>
      </c>
      <c r="EX151" t="s">
        <v>1093</v>
      </c>
    </row>
    <row r="152" spans="1:154" x14ac:dyDescent="0.25">
      <c r="A152" s="3">
        <v>45446.633449074077</v>
      </c>
      <c r="B152" s="4" t="s">
        <v>153</v>
      </c>
      <c r="C152" s="4" t="s">
        <v>2067</v>
      </c>
      <c r="D152" s="4" t="s">
        <v>893</v>
      </c>
      <c r="E152" s="4" t="s">
        <v>894</v>
      </c>
      <c r="F152" s="4" t="s">
        <v>895</v>
      </c>
      <c r="G152" s="4" t="s">
        <v>185</v>
      </c>
      <c r="H152" s="4" t="s">
        <v>542</v>
      </c>
      <c r="I152" s="4" t="s">
        <v>2068</v>
      </c>
      <c r="J152" s="4" t="s">
        <v>153</v>
      </c>
      <c r="K152" s="5"/>
      <c r="L152" s="4" t="s">
        <v>153</v>
      </c>
      <c r="M152" s="4" t="s">
        <v>2068</v>
      </c>
      <c r="N152" s="4" t="s">
        <v>153</v>
      </c>
      <c r="O152" s="4" t="s">
        <v>2069</v>
      </c>
      <c r="P152" s="4" t="s">
        <v>2070</v>
      </c>
      <c r="Q152" s="4" t="s">
        <v>294</v>
      </c>
      <c r="R152" s="4" t="s">
        <v>191</v>
      </c>
      <c r="S152" s="4" t="s">
        <v>2071</v>
      </c>
      <c r="T152" s="4" t="s">
        <v>153</v>
      </c>
      <c r="U152" s="4" t="s">
        <v>2072</v>
      </c>
      <c r="V152" s="4" t="s">
        <v>153</v>
      </c>
      <c r="W152" s="4" t="s">
        <v>2073</v>
      </c>
      <c r="X152" s="4" t="s">
        <v>1074</v>
      </c>
      <c r="Y152" s="4" t="s">
        <v>2074</v>
      </c>
      <c r="Z152" s="4" t="s">
        <v>153</v>
      </c>
      <c r="AA152" s="4" t="s">
        <v>2072</v>
      </c>
      <c r="AB152" s="4" t="s">
        <v>153</v>
      </c>
      <c r="AC152" s="4" t="s">
        <v>2073</v>
      </c>
      <c r="AD152" s="4" t="s">
        <v>1074</v>
      </c>
      <c r="AE152" s="4" t="s">
        <v>2074</v>
      </c>
      <c r="AF152" s="4" t="s">
        <v>2075</v>
      </c>
      <c r="AG152" s="4" t="s">
        <v>2076</v>
      </c>
      <c r="AH152" s="4" t="s">
        <v>153</v>
      </c>
      <c r="AI152" s="5">
        <v>45292</v>
      </c>
      <c r="AJ152" t="s">
        <v>153</v>
      </c>
      <c r="AK152" s="4">
        <v>2</v>
      </c>
      <c r="AL152" t="s">
        <v>153</v>
      </c>
      <c r="AM152" t="s">
        <v>153</v>
      </c>
      <c r="AO152" t="s">
        <v>153</v>
      </c>
      <c r="AP152" s="4"/>
      <c r="AQ152" t="s">
        <v>153</v>
      </c>
      <c r="AR152" s="5"/>
      <c r="AT152" s="4" t="s">
        <v>153</v>
      </c>
      <c r="AU152" s="4" t="s">
        <v>153</v>
      </c>
      <c r="AV152" s="4" t="s">
        <v>153</v>
      </c>
      <c r="AW152" t="s">
        <v>153</v>
      </c>
      <c r="AX152" t="s">
        <v>153</v>
      </c>
      <c r="AY152" t="s">
        <v>153</v>
      </c>
      <c r="AZ152" t="s">
        <v>153</v>
      </c>
      <c r="BA152" t="s">
        <v>153</v>
      </c>
      <c r="BB152" t="s">
        <v>153</v>
      </c>
      <c r="BC152" t="s">
        <v>153</v>
      </c>
      <c r="BD152" s="4" t="s">
        <v>153</v>
      </c>
      <c r="BE152" s="4" t="s">
        <v>153</v>
      </c>
      <c r="BF152" t="s">
        <v>153</v>
      </c>
      <c r="BG152" s="4" t="s">
        <v>153</v>
      </c>
      <c r="BH152" t="s">
        <v>153</v>
      </c>
      <c r="BI152" s="4" t="s">
        <v>153</v>
      </c>
      <c r="BJ152" t="s">
        <v>153</v>
      </c>
      <c r="BK152" s="4" t="s">
        <v>153</v>
      </c>
      <c r="BL152" t="s">
        <v>153</v>
      </c>
      <c r="BM152" t="s">
        <v>153</v>
      </c>
      <c r="BN152" s="4" t="s">
        <v>153</v>
      </c>
      <c r="BO152" s="4" t="s">
        <v>153</v>
      </c>
      <c r="BP152" s="4" t="s">
        <v>153</v>
      </c>
      <c r="BQ152" s="4" t="s">
        <v>153</v>
      </c>
      <c r="BR152" s="4" t="s">
        <v>153</v>
      </c>
      <c r="BS152" s="4" t="s">
        <v>153</v>
      </c>
      <c r="BT152" s="4" t="s">
        <v>153</v>
      </c>
      <c r="BU152" s="4" t="s">
        <v>153</v>
      </c>
      <c r="BV152" s="4"/>
      <c r="BW152" s="4" t="s">
        <v>153</v>
      </c>
      <c r="BX152" s="4" t="s">
        <v>153</v>
      </c>
      <c r="BY152" s="4" t="s">
        <v>153</v>
      </c>
      <c r="BZ152" s="4" t="s">
        <v>153</v>
      </c>
      <c r="CA152" s="4" t="s">
        <v>153</v>
      </c>
      <c r="CB152" s="4"/>
      <c r="CC152" s="4" t="s">
        <v>153</v>
      </c>
      <c r="CD152" t="s">
        <v>153</v>
      </c>
      <c r="CE152" s="4" t="s">
        <v>153</v>
      </c>
      <c r="CF152" s="4" t="s">
        <v>153</v>
      </c>
      <c r="CG152" s="4" t="s">
        <v>153</v>
      </c>
      <c r="CH152" s="5"/>
      <c r="CI152" t="s">
        <v>153</v>
      </c>
      <c r="CJ152" s="4"/>
      <c r="CK152" t="s">
        <v>153</v>
      </c>
      <c r="CL152" t="s">
        <v>153</v>
      </c>
      <c r="CM152" t="s">
        <v>153</v>
      </c>
      <c r="CN152" t="s">
        <v>153</v>
      </c>
      <c r="CO152" s="5"/>
      <c r="CP152" s="4" t="s">
        <v>153</v>
      </c>
      <c r="CQ152" s="4" t="s">
        <v>153</v>
      </c>
      <c r="CR152" t="s">
        <v>153</v>
      </c>
      <c r="CS152" t="s">
        <v>153</v>
      </c>
      <c r="CT152" t="s">
        <v>153</v>
      </c>
      <c r="CU152" t="s">
        <v>153</v>
      </c>
      <c r="CV152" t="s">
        <v>153</v>
      </c>
      <c r="CW152" t="s">
        <v>153</v>
      </c>
      <c r="CX152" t="s">
        <v>153</v>
      </c>
      <c r="CY152" t="s">
        <v>153</v>
      </c>
      <c r="CZ152" t="s">
        <v>153</v>
      </c>
      <c r="DA152" t="s">
        <v>153</v>
      </c>
      <c r="DB152" t="s">
        <v>153</v>
      </c>
      <c r="DC152" t="s">
        <v>153</v>
      </c>
      <c r="DD152" t="s">
        <v>153</v>
      </c>
      <c r="DE152" t="s">
        <v>153</v>
      </c>
      <c r="DF152" t="s">
        <v>153</v>
      </c>
      <c r="DG152" t="s">
        <v>153</v>
      </c>
      <c r="DI152" t="s">
        <v>153</v>
      </c>
      <c r="DJ152" t="s">
        <v>153</v>
      </c>
      <c r="DK152" t="s">
        <v>153</v>
      </c>
      <c r="DL152" t="s">
        <v>153</v>
      </c>
      <c r="DN152" t="s">
        <v>153</v>
      </c>
      <c r="DO152" t="s">
        <v>153</v>
      </c>
      <c r="DP152" t="s">
        <v>153</v>
      </c>
      <c r="DQ152" t="s">
        <v>153</v>
      </c>
      <c r="DR152" t="s">
        <v>153</v>
      </c>
      <c r="DS152" t="s">
        <v>153</v>
      </c>
      <c r="DT152" t="s">
        <v>153</v>
      </c>
      <c r="DU152" t="s">
        <v>153</v>
      </c>
      <c r="DV152" t="s">
        <v>153</v>
      </c>
      <c r="DW152" t="s">
        <v>153</v>
      </c>
      <c r="DX152" s="2"/>
      <c r="DY152" t="s">
        <v>153</v>
      </c>
      <c r="DZ152" t="s">
        <v>153</v>
      </c>
      <c r="EA152" t="s">
        <v>153</v>
      </c>
      <c r="EB152" t="s">
        <v>153</v>
      </c>
      <c r="EC152" t="s">
        <v>153</v>
      </c>
      <c r="ED152" t="s">
        <v>153</v>
      </c>
      <c r="EE152" t="s">
        <v>153</v>
      </c>
      <c r="EF152" t="s">
        <v>153</v>
      </c>
      <c r="EH152" t="s">
        <v>153</v>
      </c>
      <c r="EI152" t="s">
        <v>153</v>
      </c>
      <c r="EJ152" t="s">
        <v>153</v>
      </c>
      <c r="EK152" t="s">
        <v>153</v>
      </c>
      <c r="EM152" t="s">
        <v>153</v>
      </c>
      <c r="EN152" t="s">
        <v>153</v>
      </c>
      <c r="EP152" s="4" t="s">
        <v>242</v>
      </c>
      <c r="EQ152" s="4" t="s">
        <v>153</v>
      </c>
      <c r="ER152" s="4" t="s">
        <v>153</v>
      </c>
      <c r="ES152" s="4" t="s">
        <v>153</v>
      </c>
      <c r="ET152" t="s">
        <v>153</v>
      </c>
      <c r="EU152" t="s">
        <v>2077</v>
      </c>
      <c r="EV152" t="s">
        <v>909</v>
      </c>
      <c r="EW152">
        <v>1231802866</v>
      </c>
      <c r="EX152" t="s">
        <v>1093</v>
      </c>
    </row>
    <row r="153" spans="1:154" x14ac:dyDescent="0.25">
      <c r="A153" s="3">
        <v>45448.623518518521</v>
      </c>
      <c r="B153" s="4" t="s">
        <v>153</v>
      </c>
      <c r="C153" s="4" t="s">
        <v>285</v>
      </c>
      <c r="D153" s="4" t="s">
        <v>286</v>
      </c>
      <c r="E153" s="4" t="s">
        <v>287</v>
      </c>
      <c r="F153" s="4" t="s">
        <v>288</v>
      </c>
      <c r="G153" s="4" t="s">
        <v>423</v>
      </c>
      <c r="H153" s="4" t="s">
        <v>289</v>
      </c>
      <c r="I153" s="4" t="s">
        <v>1981</v>
      </c>
      <c r="J153" s="4" t="s">
        <v>2078</v>
      </c>
      <c r="K153" s="5"/>
      <c r="L153" s="4" t="s">
        <v>153</v>
      </c>
      <c r="M153" s="4" t="s">
        <v>153</v>
      </c>
      <c r="N153" s="4" t="s">
        <v>153</v>
      </c>
      <c r="O153" s="4" t="s">
        <v>153</v>
      </c>
      <c r="P153" s="4" t="s">
        <v>153</v>
      </c>
      <c r="Q153" s="4" t="s">
        <v>153</v>
      </c>
      <c r="R153" s="4" t="s">
        <v>153</v>
      </c>
      <c r="S153" s="4" t="s">
        <v>153</v>
      </c>
      <c r="T153" s="4" t="s">
        <v>153</v>
      </c>
      <c r="U153" s="4" t="s">
        <v>153</v>
      </c>
      <c r="V153" s="4" t="s">
        <v>153</v>
      </c>
      <c r="W153" s="4" t="s">
        <v>153</v>
      </c>
      <c r="X153" s="4" t="s">
        <v>153</v>
      </c>
      <c r="Y153" s="4" t="s">
        <v>153</v>
      </c>
      <c r="Z153" s="4" t="s">
        <v>153</v>
      </c>
      <c r="AA153" s="4" t="s">
        <v>153</v>
      </c>
      <c r="AB153" s="4" t="s">
        <v>153</v>
      </c>
      <c r="AC153" s="4" t="s">
        <v>153</v>
      </c>
      <c r="AD153" s="4" t="s">
        <v>153</v>
      </c>
      <c r="AE153" s="4" t="s">
        <v>153</v>
      </c>
      <c r="AF153" s="4" t="s">
        <v>153</v>
      </c>
      <c r="AG153" s="4" t="s">
        <v>153</v>
      </c>
      <c r="AH153" s="4" t="s">
        <v>153</v>
      </c>
      <c r="AI153" s="5"/>
      <c r="AJ153" t="s">
        <v>153</v>
      </c>
      <c r="AK153" s="4"/>
      <c r="AL153" t="s">
        <v>153</v>
      </c>
      <c r="AM153" t="s">
        <v>153</v>
      </c>
      <c r="AO153" t="s">
        <v>153</v>
      </c>
      <c r="AP153" s="4"/>
      <c r="AQ153" t="s">
        <v>153</v>
      </c>
      <c r="AR153" s="5"/>
      <c r="AT153" s="4" t="s">
        <v>153</v>
      </c>
      <c r="AU153" s="4" t="s">
        <v>153</v>
      </c>
      <c r="AV153" s="4" t="s">
        <v>153</v>
      </c>
      <c r="AW153" t="s">
        <v>153</v>
      </c>
      <c r="AX153" t="s">
        <v>153</v>
      </c>
      <c r="AY153" t="s">
        <v>153</v>
      </c>
      <c r="AZ153" t="s">
        <v>153</v>
      </c>
      <c r="BA153" t="s">
        <v>153</v>
      </c>
      <c r="BB153" t="s">
        <v>153</v>
      </c>
      <c r="BC153" t="s">
        <v>153</v>
      </c>
      <c r="BD153" s="4" t="s">
        <v>153</v>
      </c>
      <c r="BE153" s="4" t="s">
        <v>153</v>
      </c>
      <c r="BF153" t="s">
        <v>153</v>
      </c>
      <c r="BG153" s="4" t="s">
        <v>153</v>
      </c>
      <c r="BH153" t="s">
        <v>153</v>
      </c>
      <c r="BI153" s="4" t="s">
        <v>1981</v>
      </c>
      <c r="BJ153" t="s">
        <v>153</v>
      </c>
      <c r="BK153" s="4" t="s">
        <v>1981</v>
      </c>
      <c r="BL153" t="s">
        <v>1982</v>
      </c>
      <c r="BM153" t="s">
        <v>2079</v>
      </c>
      <c r="BN153" s="4" t="s">
        <v>294</v>
      </c>
      <c r="BO153" s="4" t="s">
        <v>153</v>
      </c>
      <c r="BP153" s="4" t="s">
        <v>153</v>
      </c>
      <c r="BQ153" s="4" t="s">
        <v>153</v>
      </c>
      <c r="BR153" s="4" t="s">
        <v>2080</v>
      </c>
      <c r="BS153" s="4" t="s">
        <v>153</v>
      </c>
      <c r="BT153" s="4" t="s">
        <v>1981</v>
      </c>
      <c r="BU153" s="4" t="s">
        <v>195</v>
      </c>
      <c r="BV153" s="4">
        <v>62919</v>
      </c>
      <c r="BW153" s="4" t="s">
        <v>430</v>
      </c>
      <c r="BX153" s="4" t="s">
        <v>2081</v>
      </c>
      <c r="BY153" s="4" t="s">
        <v>153</v>
      </c>
      <c r="BZ153" s="4" t="s">
        <v>2082</v>
      </c>
      <c r="CA153" s="4" t="s">
        <v>195</v>
      </c>
      <c r="CB153" s="4">
        <v>62931</v>
      </c>
      <c r="CC153" s="4" t="s">
        <v>430</v>
      </c>
      <c r="CD153" t="s">
        <v>2083</v>
      </c>
      <c r="CE153" s="4" t="s">
        <v>153</v>
      </c>
      <c r="CF153" s="4" t="s">
        <v>153</v>
      </c>
      <c r="CG153" s="4" t="s">
        <v>153</v>
      </c>
      <c r="CH153" s="5"/>
      <c r="CI153" t="s">
        <v>153</v>
      </c>
      <c r="CJ153" s="4"/>
      <c r="CK153" t="s">
        <v>153</v>
      </c>
      <c r="CL153" t="s">
        <v>153</v>
      </c>
      <c r="CM153" t="s">
        <v>153</v>
      </c>
      <c r="CN153" t="s">
        <v>153</v>
      </c>
      <c r="CO153" s="5"/>
      <c r="CP153" s="4" t="s">
        <v>153</v>
      </c>
      <c r="CQ153" s="4" t="s">
        <v>153</v>
      </c>
      <c r="CR153" t="s">
        <v>153</v>
      </c>
      <c r="CS153" t="s">
        <v>153</v>
      </c>
      <c r="CT153" t="s">
        <v>153</v>
      </c>
      <c r="CU153" t="s">
        <v>153</v>
      </c>
      <c r="CV153" t="s">
        <v>153</v>
      </c>
      <c r="CW153" t="s">
        <v>153</v>
      </c>
      <c r="CX153" t="s">
        <v>153</v>
      </c>
      <c r="CY153" t="s">
        <v>153</v>
      </c>
      <c r="CZ153" t="s">
        <v>153</v>
      </c>
      <c r="DA153" t="s">
        <v>153</v>
      </c>
      <c r="DB153" t="s">
        <v>153</v>
      </c>
      <c r="DC153" t="s">
        <v>153</v>
      </c>
      <c r="DD153" t="s">
        <v>153</v>
      </c>
      <c r="DE153" t="s">
        <v>153</v>
      </c>
      <c r="DF153" t="s">
        <v>153</v>
      </c>
      <c r="DG153" t="s">
        <v>153</v>
      </c>
      <c r="DI153" t="s">
        <v>153</v>
      </c>
      <c r="DJ153" t="s">
        <v>153</v>
      </c>
      <c r="DK153" t="s">
        <v>153</v>
      </c>
      <c r="DL153" t="s">
        <v>153</v>
      </c>
      <c r="DN153" t="s">
        <v>153</v>
      </c>
      <c r="DO153" t="s">
        <v>153</v>
      </c>
      <c r="DP153" t="s">
        <v>153</v>
      </c>
      <c r="DQ153" t="s">
        <v>153</v>
      </c>
      <c r="DR153" t="s">
        <v>153</v>
      </c>
      <c r="DS153" t="s">
        <v>153</v>
      </c>
      <c r="DT153" t="s">
        <v>153</v>
      </c>
      <c r="DU153" t="s">
        <v>153</v>
      </c>
      <c r="DV153" t="s">
        <v>153</v>
      </c>
      <c r="DW153" t="s">
        <v>153</v>
      </c>
      <c r="DX153" s="2"/>
      <c r="DY153" t="s">
        <v>153</v>
      </c>
      <c r="DZ153" t="s">
        <v>153</v>
      </c>
      <c r="EA153" t="s">
        <v>153</v>
      </c>
      <c r="EB153" t="s">
        <v>153</v>
      </c>
      <c r="EC153" t="s">
        <v>153</v>
      </c>
      <c r="ED153" t="s">
        <v>153</v>
      </c>
      <c r="EE153" t="s">
        <v>153</v>
      </c>
      <c r="EF153" t="s">
        <v>153</v>
      </c>
      <c r="EH153" t="s">
        <v>153</v>
      </c>
      <c r="EI153" t="s">
        <v>153</v>
      </c>
      <c r="EJ153" t="s">
        <v>153</v>
      </c>
      <c r="EK153" t="s">
        <v>153</v>
      </c>
      <c r="EM153" t="s">
        <v>153</v>
      </c>
      <c r="EN153" t="s">
        <v>153</v>
      </c>
      <c r="EP153" s="4" t="s">
        <v>153</v>
      </c>
      <c r="EQ153" s="4" t="s">
        <v>153</v>
      </c>
      <c r="ER153" s="4" t="s">
        <v>153</v>
      </c>
      <c r="ES153" s="4" t="s">
        <v>153</v>
      </c>
      <c r="ET153" t="s">
        <v>2084</v>
      </c>
      <c r="EU153" t="s">
        <v>2077</v>
      </c>
      <c r="EV153" t="s">
        <v>1899</v>
      </c>
      <c r="EW153">
        <v>1232577804</v>
      </c>
      <c r="EX153" t="s">
        <v>366</v>
      </c>
    </row>
    <row r="154" spans="1:154" x14ac:dyDescent="0.25">
      <c r="A154" s="3">
        <v>45449.59306712963</v>
      </c>
      <c r="B154" s="4" t="s">
        <v>153</v>
      </c>
      <c r="C154" s="4" t="s">
        <v>822</v>
      </c>
      <c r="D154" s="4" t="s">
        <v>823</v>
      </c>
      <c r="E154" s="4" t="s">
        <v>824</v>
      </c>
      <c r="F154" s="4" t="s">
        <v>825</v>
      </c>
      <c r="G154" s="4" t="s">
        <v>185</v>
      </c>
      <c r="H154" s="4" t="s">
        <v>826</v>
      </c>
      <c r="I154" s="4" t="s">
        <v>2085</v>
      </c>
      <c r="J154" s="4" t="s">
        <v>153</v>
      </c>
      <c r="K154" s="5"/>
      <c r="L154" s="4" t="s">
        <v>153</v>
      </c>
      <c r="M154" s="4" t="s">
        <v>2085</v>
      </c>
      <c r="N154" s="4" t="s">
        <v>2085</v>
      </c>
      <c r="O154" s="4" t="s">
        <v>864</v>
      </c>
      <c r="P154" s="4" t="s">
        <v>2086</v>
      </c>
      <c r="Q154" s="4" t="s">
        <v>190</v>
      </c>
      <c r="R154" s="4" t="s">
        <v>308</v>
      </c>
      <c r="S154" s="4" t="s">
        <v>153</v>
      </c>
      <c r="T154" s="4" t="s">
        <v>2087</v>
      </c>
      <c r="U154" s="4" t="s">
        <v>2088</v>
      </c>
      <c r="V154" s="4" t="s">
        <v>153</v>
      </c>
      <c r="W154" s="4" t="s">
        <v>2089</v>
      </c>
      <c r="X154" s="4" t="s">
        <v>347</v>
      </c>
      <c r="Y154" s="4" t="s">
        <v>2090</v>
      </c>
      <c r="Z154" s="4" t="s">
        <v>197</v>
      </c>
      <c r="AA154" s="4" t="s">
        <v>2088</v>
      </c>
      <c r="AB154" s="4" t="s">
        <v>153</v>
      </c>
      <c r="AC154" s="4" t="s">
        <v>2089</v>
      </c>
      <c r="AD154" s="4" t="s">
        <v>347</v>
      </c>
      <c r="AE154" s="4" t="s">
        <v>2090</v>
      </c>
      <c r="AF154" s="4" t="s">
        <v>2091</v>
      </c>
      <c r="AG154" s="4" t="s">
        <v>2092</v>
      </c>
      <c r="AH154" s="4" t="s">
        <v>1121</v>
      </c>
      <c r="AI154" s="5">
        <v>45536</v>
      </c>
      <c r="AJ154" t="s">
        <v>2093</v>
      </c>
      <c r="AK154" s="4">
        <v>5</v>
      </c>
      <c r="AL154" t="s">
        <v>480</v>
      </c>
      <c r="AM154" t="s">
        <v>153</v>
      </c>
      <c r="AO154" t="s">
        <v>153</v>
      </c>
      <c r="AP154" s="4"/>
      <c r="AQ154" t="s">
        <v>153</v>
      </c>
      <c r="AR154" s="5"/>
      <c r="AT154" s="4" t="s">
        <v>153</v>
      </c>
      <c r="AU154" s="4" t="s">
        <v>153</v>
      </c>
      <c r="AV154" s="4" t="s">
        <v>153</v>
      </c>
      <c r="AW154" t="s">
        <v>153</v>
      </c>
      <c r="AX154" t="s">
        <v>153</v>
      </c>
      <c r="AY154" t="s">
        <v>153</v>
      </c>
      <c r="AZ154" t="s">
        <v>153</v>
      </c>
      <c r="BA154" t="s">
        <v>153</v>
      </c>
      <c r="BB154" t="s">
        <v>153</v>
      </c>
      <c r="BC154" t="s">
        <v>153</v>
      </c>
      <c r="BD154" s="4" t="s">
        <v>153</v>
      </c>
      <c r="BE154" s="4" t="s">
        <v>153</v>
      </c>
      <c r="BF154" t="s">
        <v>153</v>
      </c>
      <c r="BG154" s="4" t="s">
        <v>153</v>
      </c>
      <c r="BH154" t="s">
        <v>153</v>
      </c>
      <c r="BI154" s="4" t="s">
        <v>153</v>
      </c>
      <c r="BJ154" t="s">
        <v>153</v>
      </c>
      <c r="BK154" s="4" t="s">
        <v>153</v>
      </c>
      <c r="BL154" t="s">
        <v>153</v>
      </c>
      <c r="BM154" t="s">
        <v>153</v>
      </c>
      <c r="BN154" s="4" t="s">
        <v>153</v>
      </c>
      <c r="BO154" s="4" t="s">
        <v>153</v>
      </c>
      <c r="BP154" s="4" t="s">
        <v>153</v>
      </c>
      <c r="BQ154" s="4" t="s">
        <v>153</v>
      </c>
      <c r="BR154" s="4" t="s">
        <v>153</v>
      </c>
      <c r="BS154" s="4" t="s">
        <v>153</v>
      </c>
      <c r="BT154" s="4" t="s">
        <v>153</v>
      </c>
      <c r="BU154" s="4" t="s">
        <v>153</v>
      </c>
      <c r="BV154" s="4"/>
      <c r="BW154" s="4" t="s">
        <v>153</v>
      </c>
      <c r="BX154" s="4" t="s">
        <v>153</v>
      </c>
      <c r="BY154" s="4" t="s">
        <v>153</v>
      </c>
      <c r="BZ154" s="4" t="s">
        <v>153</v>
      </c>
      <c r="CA154" s="4" t="s">
        <v>153</v>
      </c>
      <c r="CB154" s="4"/>
      <c r="CC154" s="4" t="s">
        <v>153</v>
      </c>
      <c r="CD154" t="s">
        <v>153</v>
      </c>
      <c r="CE154" s="4" t="s">
        <v>153</v>
      </c>
      <c r="CF154" s="4" t="s">
        <v>153</v>
      </c>
      <c r="CG154" s="4" t="s">
        <v>153</v>
      </c>
      <c r="CH154" s="5"/>
      <c r="CI154" t="s">
        <v>153</v>
      </c>
      <c r="CJ154" s="4"/>
      <c r="CK154" t="s">
        <v>153</v>
      </c>
      <c r="CL154" t="s">
        <v>153</v>
      </c>
      <c r="CM154" t="s">
        <v>153</v>
      </c>
      <c r="CN154" t="s">
        <v>153</v>
      </c>
      <c r="CO154" s="5"/>
      <c r="CP154" s="4" t="s">
        <v>153</v>
      </c>
      <c r="CQ154" s="4" t="s">
        <v>153</v>
      </c>
      <c r="CR154" t="s">
        <v>153</v>
      </c>
      <c r="CS154" t="s">
        <v>153</v>
      </c>
      <c r="CT154" t="s">
        <v>153</v>
      </c>
      <c r="CU154" t="s">
        <v>153</v>
      </c>
      <c r="CV154" t="s">
        <v>153</v>
      </c>
      <c r="CW154" t="s">
        <v>153</v>
      </c>
      <c r="CX154" t="s">
        <v>153</v>
      </c>
      <c r="CY154" t="s">
        <v>153</v>
      </c>
      <c r="CZ154" t="s">
        <v>153</v>
      </c>
      <c r="DA154" t="s">
        <v>153</v>
      </c>
      <c r="DB154" t="s">
        <v>153</v>
      </c>
      <c r="DC154" t="s">
        <v>153</v>
      </c>
      <c r="DD154" t="s">
        <v>153</v>
      </c>
      <c r="DE154" t="s">
        <v>153</v>
      </c>
      <c r="DF154" t="s">
        <v>153</v>
      </c>
      <c r="DG154" t="s">
        <v>153</v>
      </c>
      <c r="DI154" t="s">
        <v>153</v>
      </c>
      <c r="DJ154" t="s">
        <v>153</v>
      </c>
      <c r="DK154" t="s">
        <v>153</v>
      </c>
      <c r="DL154" t="s">
        <v>153</v>
      </c>
      <c r="DN154" t="s">
        <v>153</v>
      </c>
      <c r="DO154" t="s">
        <v>153</v>
      </c>
      <c r="DP154" t="s">
        <v>153</v>
      </c>
      <c r="DQ154" t="s">
        <v>153</v>
      </c>
      <c r="DR154" t="s">
        <v>153</v>
      </c>
      <c r="DS154" t="s">
        <v>153</v>
      </c>
      <c r="DT154" t="s">
        <v>153</v>
      </c>
      <c r="DU154" t="s">
        <v>153</v>
      </c>
      <c r="DV154" t="s">
        <v>153</v>
      </c>
      <c r="DW154" t="s">
        <v>153</v>
      </c>
      <c r="DX154" s="2"/>
      <c r="DY154" t="s">
        <v>153</v>
      </c>
      <c r="DZ154" t="s">
        <v>153</v>
      </c>
      <c r="EA154" t="s">
        <v>153</v>
      </c>
      <c r="EB154" t="s">
        <v>153</v>
      </c>
      <c r="EC154" t="s">
        <v>153</v>
      </c>
      <c r="ED154" t="s">
        <v>153</v>
      </c>
      <c r="EE154" t="s">
        <v>153</v>
      </c>
      <c r="EF154" t="s">
        <v>153</v>
      </c>
      <c r="EH154" t="s">
        <v>153</v>
      </c>
      <c r="EI154" t="s">
        <v>153</v>
      </c>
      <c r="EJ154" t="s">
        <v>153</v>
      </c>
      <c r="EK154" t="s">
        <v>153</v>
      </c>
      <c r="EM154" t="s">
        <v>153</v>
      </c>
      <c r="EN154" t="s">
        <v>153</v>
      </c>
      <c r="EP154" s="4" t="s">
        <v>153</v>
      </c>
      <c r="EQ154" s="4" t="s">
        <v>153</v>
      </c>
      <c r="ER154" s="4" t="s">
        <v>243</v>
      </c>
      <c r="ES154" s="4" t="s">
        <v>244</v>
      </c>
      <c r="ET154" t="s">
        <v>2094</v>
      </c>
      <c r="EU154" t="s">
        <v>2095</v>
      </c>
      <c r="EV154" t="s">
        <v>845</v>
      </c>
      <c r="EW154">
        <v>1232931113</v>
      </c>
      <c r="EX154" t="s">
        <v>2096</v>
      </c>
    </row>
    <row r="155" spans="1:154" x14ac:dyDescent="0.25">
      <c r="A155" s="3">
        <v>45453.540231481478</v>
      </c>
      <c r="B155" s="4" t="s">
        <v>153</v>
      </c>
      <c r="C155" s="4" t="s">
        <v>2097</v>
      </c>
      <c r="D155" s="4" t="s">
        <v>2098</v>
      </c>
      <c r="E155" s="4" t="s">
        <v>2099</v>
      </c>
      <c r="F155" s="4" t="s">
        <v>2100</v>
      </c>
      <c r="G155" s="4" t="s">
        <v>423</v>
      </c>
      <c r="H155" s="4" t="s">
        <v>645</v>
      </c>
      <c r="I155" s="4" t="s">
        <v>2101</v>
      </c>
      <c r="J155" s="4" t="s">
        <v>2102</v>
      </c>
      <c r="K155" s="5"/>
      <c r="L155" s="4" t="s">
        <v>153</v>
      </c>
      <c r="M155" s="4" t="s">
        <v>153</v>
      </c>
      <c r="N155" s="4" t="s">
        <v>153</v>
      </c>
      <c r="O155" s="4" t="s">
        <v>153</v>
      </c>
      <c r="P155" s="4" t="s">
        <v>153</v>
      </c>
      <c r="Q155" s="4" t="s">
        <v>153</v>
      </c>
      <c r="R155" s="4" t="s">
        <v>153</v>
      </c>
      <c r="S155" s="4" t="s">
        <v>153</v>
      </c>
      <c r="T155" s="4" t="s">
        <v>153</v>
      </c>
      <c r="U155" s="4" t="s">
        <v>153</v>
      </c>
      <c r="V155" s="4" t="s">
        <v>153</v>
      </c>
      <c r="W155" s="4" t="s">
        <v>153</v>
      </c>
      <c r="X155" s="4" t="s">
        <v>153</v>
      </c>
      <c r="Y155" s="4" t="s">
        <v>153</v>
      </c>
      <c r="Z155" s="4" t="s">
        <v>153</v>
      </c>
      <c r="AA155" s="4" t="s">
        <v>153</v>
      </c>
      <c r="AB155" s="4" t="s">
        <v>153</v>
      </c>
      <c r="AC155" s="4" t="s">
        <v>153</v>
      </c>
      <c r="AD155" s="4" t="s">
        <v>153</v>
      </c>
      <c r="AE155" s="4" t="s">
        <v>153</v>
      </c>
      <c r="AF155" s="4" t="s">
        <v>153</v>
      </c>
      <c r="AG155" s="4" t="s">
        <v>153</v>
      </c>
      <c r="AH155" s="4" t="s">
        <v>153</v>
      </c>
      <c r="AI155" s="5"/>
      <c r="AJ155" t="s">
        <v>153</v>
      </c>
      <c r="AK155" s="4"/>
      <c r="AL155" t="s">
        <v>153</v>
      </c>
      <c r="AM155" t="s">
        <v>153</v>
      </c>
      <c r="AO155" t="s">
        <v>153</v>
      </c>
      <c r="AP155" s="4"/>
      <c r="AQ155" t="s">
        <v>153</v>
      </c>
      <c r="AR155" s="5"/>
      <c r="AT155" s="4" t="s">
        <v>153</v>
      </c>
      <c r="AU155" s="4" t="s">
        <v>153</v>
      </c>
      <c r="AV155" s="4" t="s">
        <v>153</v>
      </c>
      <c r="AW155" t="s">
        <v>153</v>
      </c>
      <c r="AX155" t="s">
        <v>153</v>
      </c>
      <c r="AY155" t="s">
        <v>153</v>
      </c>
      <c r="AZ155" t="s">
        <v>153</v>
      </c>
      <c r="BA155" t="s">
        <v>153</v>
      </c>
      <c r="BB155" t="s">
        <v>153</v>
      </c>
      <c r="BC155" t="s">
        <v>153</v>
      </c>
      <c r="BD155" s="4" t="s">
        <v>153</v>
      </c>
      <c r="BE155" s="4" t="s">
        <v>153</v>
      </c>
      <c r="BF155" t="s">
        <v>153</v>
      </c>
      <c r="BG155" s="4" t="s">
        <v>153</v>
      </c>
      <c r="BH155" t="s">
        <v>153</v>
      </c>
      <c r="BI155" s="4" t="s">
        <v>153</v>
      </c>
      <c r="BJ155" t="s">
        <v>2103</v>
      </c>
      <c r="BK155" s="4" t="s">
        <v>2103</v>
      </c>
      <c r="BL155" t="s">
        <v>153</v>
      </c>
      <c r="BM155" t="s">
        <v>153</v>
      </c>
      <c r="BN155" s="4" t="s">
        <v>153</v>
      </c>
      <c r="BO155" s="4" t="s">
        <v>153</v>
      </c>
      <c r="BP155" s="4" t="s">
        <v>153</v>
      </c>
      <c r="BQ155" s="4" t="s">
        <v>153</v>
      </c>
      <c r="BR155" s="4" t="s">
        <v>153</v>
      </c>
      <c r="BS155" s="4" t="s">
        <v>153</v>
      </c>
      <c r="BT155" s="4" t="s">
        <v>153</v>
      </c>
      <c r="BU155" s="4" t="s">
        <v>153</v>
      </c>
      <c r="BV155" s="4"/>
      <c r="BW155" s="4" t="s">
        <v>430</v>
      </c>
      <c r="BX155" s="4" t="s">
        <v>153</v>
      </c>
      <c r="BY155" s="4" t="s">
        <v>153</v>
      </c>
      <c r="BZ155" s="4" t="s">
        <v>153</v>
      </c>
      <c r="CA155" s="4" t="s">
        <v>153</v>
      </c>
      <c r="CB155" s="4"/>
      <c r="CC155" s="4" t="s">
        <v>430</v>
      </c>
      <c r="CD155" t="s">
        <v>153</v>
      </c>
      <c r="CE155" s="4" t="s">
        <v>153</v>
      </c>
      <c r="CF155" s="4" t="s">
        <v>153</v>
      </c>
      <c r="CG155" s="4" t="s">
        <v>2104</v>
      </c>
      <c r="CH155" s="5"/>
      <c r="CI155" t="s">
        <v>153</v>
      </c>
      <c r="CJ155" s="4"/>
      <c r="CK155" t="s">
        <v>153</v>
      </c>
      <c r="CL155" t="s">
        <v>153</v>
      </c>
      <c r="CM155" t="s">
        <v>153</v>
      </c>
      <c r="CN155" t="s">
        <v>153</v>
      </c>
      <c r="CO155" s="5"/>
      <c r="CP155" s="4" t="s">
        <v>153</v>
      </c>
      <c r="CQ155" s="4" t="s">
        <v>153</v>
      </c>
      <c r="CR155" t="s">
        <v>153</v>
      </c>
      <c r="CS155" t="s">
        <v>153</v>
      </c>
      <c r="CT155" t="s">
        <v>153</v>
      </c>
      <c r="CU155" t="s">
        <v>153</v>
      </c>
      <c r="CV155" t="s">
        <v>153</v>
      </c>
      <c r="CW155" t="s">
        <v>153</v>
      </c>
      <c r="CX155" t="s">
        <v>153</v>
      </c>
      <c r="CY155" t="s">
        <v>153</v>
      </c>
      <c r="CZ155" t="s">
        <v>153</v>
      </c>
      <c r="DA155" t="s">
        <v>153</v>
      </c>
      <c r="DB155" t="s">
        <v>153</v>
      </c>
      <c r="DC155" t="s">
        <v>153</v>
      </c>
      <c r="DD155" t="s">
        <v>153</v>
      </c>
      <c r="DE155" t="s">
        <v>153</v>
      </c>
      <c r="DF155" t="s">
        <v>153</v>
      </c>
      <c r="DG155" t="s">
        <v>153</v>
      </c>
      <c r="DI155" t="s">
        <v>153</v>
      </c>
      <c r="DJ155" t="s">
        <v>153</v>
      </c>
      <c r="DK155" t="s">
        <v>153</v>
      </c>
      <c r="DL155" t="s">
        <v>153</v>
      </c>
      <c r="DN155" t="s">
        <v>153</v>
      </c>
      <c r="DO155" t="s">
        <v>153</v>
      </c>
      <c r="DP155" t="s">
        <v>153</v>
      </c>
      <c r="DQ155" t="s">
        <v>153</v>
      </c>
      <c r="DR155" t="s">
        <v>153</v>
      </c>
      <c r="DS155" t="s">
        <v>153</v>
      </c>
      <c r="DT155" t="s">
        <v>153</v>
      </c>
      <c r="DU155" t="s">
        <v>153</v>
      </c>
      <c r="DV155" t="s">
        <v>153</v>
      </c>
      <c r="DW155" t="s">
        <v>153</v>
      </c>
      <c r="DX155" s="2"/>
      <c r="DY155" t="s">
        <v>153</v>
      </c>
      <c r="DZ155" t="s">
        <v>153</v>
      </c>
      <c r="EA155" t="s">
        <v>153</v>
      </c>
      <c r="EB155" t="s">
        <v>153</v>
      </c>
      <c r="EC155" t="s">
        <v>153</v>
      </c>
      <c r="ED155" t="s">
        <v>153</v>
      </c>
      <c r="EE155" t="s">
        <v>153</v>
      </c>
      <c r="EF155" t="s">
        <v>153</v>
      </c>
      <c r="EH155" t="s">
        <v>153</v>
      </c>
      <c r="EI155" t="s">
        <v>153</v>
      </c>
      <c r="EJ155" t="s">
        <v>153</v>
      </c>
      <c r="EK155" t="s">
        <v>153</v>
      </c>
      <c r="EM155" t="s">
        <v>153</v>
      </c>
      <c r="EN155" t="s">
        <v>153</v>
      </c>
      <c r="EP155" s="4" t="s">
        <v>153</v>
      </c>
      <c r="EQ155" s="4" t="s">
        <v>153</v>
      </c>
      <c r="ER155" s="4" t="s">
        <v>153</v>
      </c>
      <c r="ES155" s="4" t="s">
        <v>153</v>
      </c>
      <c r="ET155" t="s">
        <v>2105</v>
      </c>
      <c r="EU155" t="s">
        <v>2077</v>
      </c>
      <c r="EV155" t="s">
        <v>2106</v>
      </c>
      <c r="EW155">
        <v>1233973539</v>
      </c>
      <c r="EX155" t="s">
        <v>2107</v>
      </c>
    </row>
    <row r="156" spans="1:154" x14ac:dyDescent="0.25">
      <c r="A156" s="3">
        <v>45456.565694444442</v>
      </c>
      <c r="B156" s="4" t="s">
        <v>153</v>
      </c>
      <c r="C156" s="4" t="s">
        <v>1363</v>
      </c>
      <c r="D156" s="4" t="s">
        <v>1364</v>
      </c>
      <c r="E156" s="4" t="s">
        <v>1365</v>
      </c>
      <c r="F156" s="4" t="s">
        <v>1366</v>
      </c>
      <c r="G156" s="4" t="s">
        <v>948</v>
      </c>
      <c r="H156" s="4" t="s">
        <v>793</v>
      </c>
      <c r="I156" s="4" t="s">
        <v>2108</v>
      </c>
      <c r="J156" s="4" t="s">
        <v>2109</v>
      </c>
      <c r="K156" s="5">
        <v>45444</v>
      </c>
      <c r="L156" s="4" t="s">
        <v>327</v>
      </c>
      <c r="M156" s="4" t="s">
        <v>2108</v>
      </c>
      <c r="N156" s="4" t="s">
        <v>2108</v>
      </c>
      <c r="O156" s="4" t="s">
        <v>2110</v>
      </c>
      <c r="P156" s="4" t="s">
        <v>2111</v>
      </c>
      <c r="Q156" s="4" t="s">
        <v>153</v>
      </c>
      <c r="R156" s="4" t="s">
        <v>666</v>
      </c>
      <c r="S156" s="4" t="s">
        <v>153</v>
      </c>
      <c r="T156" s="4" t="s">
        <v>153</v>
      </c>
      <c r="U156" s="4" t="s">
        <v>2112</v>
      </c>
      <c r="V156" s="4" t="s">
        <v>153</v>
      </c>
      <c r="W156" s="4" t="s">
        <v>2113</v>
      </c>
      <c r="X156" s="4" t="s">
        <v>2114</v>
      </c>
      <c r="Y156" s="4" t="s">
        <v>2115</v>
      </c>
      <c r="Z156" s="4" t="s">
        <v>237</v>
      </c>
      <c r="AA156" s="4" t="s">
        <v>2112</v>
      </c>
      <c r="AB156" s="4" t="s">
        <v>153</v>
      </c>
      <c r="AC156" s="4" t="s">
        <v>2113</v>
      </c>
      <c r="AD156" s="4" t="s">
        <v>2114</v>
      </c>
      <c r="AE156" s="4" t="s">
        <v>2115</v>
      </c>
      <c r="AF156" s="4" t="s">
        <v>2116</v>
      </c>
      <c r="AG156" s="4" t="s">
        <v>2117</v>
      </c>
      <c r="AH156" s="4" t="s">
        <v>153</v>
      </c>
      <c r="AI156" s="5"/>
      <c r="AJ156" t="s">
        <v>1523</v>
      </c>
      <c r="AK156" s="4">
        <v>5</v>
      </c>
      <c r="AL156" t="s">
        <v>153</v>
      </c>
      <c r="AM156" t="s">
        <v>153</v>
      </c>
      <c r="AO156" t="s">
        <v>153</v>
      </c>
      <c r="AP156" s="4"/>
      <c r="AQ156" t="s">
        <v>153</v>
      </c>
      <c r="AR156" s="5"/>
      <c r="AT156" s="4" t="s">
        <v>153</v>
      </c>
      <c r="AU156" s="4" t="s">
        <v>153</v>
      </c>
      <c r="AV156" s="4" t="s">
        <v>153</v>
      </c>
      <c r="AW156" t="s">
        <v>153</v>
      </c>
      <c r="AX156" t="s">
        <v>153</v>
      </c>
      <c r="AY156" t="s">
        <v>153</v>
      </c>
      <c r="AZ156" t="s">
        <v>153</v>
      </c>
      <c r="BA156" t="s">
        <v>153</v>
      </c>
      <c r="BB156" t="s">
        <v>153</v>
      </c>
      <c r="BC156" t="s">
        <v>153</v>
      </c>
      <c r="BD156" s="4" t="s">
        <v>153</v>
      </c>
      <c r="BE156" s="4" t="s">
        <v>153</v>
      </c>
      <c r="BF156" t="s">
        <v>153</v>
      </c>
      <c r="BG156" s="4" t="s">
        <v>153</v>
      </c>
      <c r="BH156" t="s">
        <v>153</v>
      </c>
      <c r="BI156" s="4" t="s">
        <v>153</v>
      </c>
      <c r="BJ156" t="s">
        <v>153</v>
      </c>
      <c r="BK156" s="4" t="s">
        <v>153</v>
      </c>
      <c r="BL156" t="s">
        <v>153</v>
      </c>
      <c r="BM156" t="s">
        <v>153</v>
      </c>
      <c r="BN156" s="4" t="s">
        <v>153</v>
      </c>
      <c r="BO156" s="4" t="s">
        <v>153</v>
      </c>
      <c r="BP156" s="4" t="s">
        <v>153</v>
      </c>
      <c r="BQ156" s="4" t="s">
        <v>153</v>
      </c>
      <c r="BR156" s="4" t="s">
        <v>153</v>
      </c>
      <c r="BS156" s="4" t="s">
        <v>153</v>
      </c>
      <c r="BT156" s="4" t="s">
        <v>153</v>
      </c>
      <c r="BU156" s="4" t="s">
        <v>153</v>
      </c>
      <c r="BV156" s="4"/>
      <c r="BW156" s="4" t="s">
        <v>153</v>
      </c>
      <c r="BX156" s="4" t="s">
        <v>153</v>
      </c>
      <c r="BY156" s="4" t="s">
        <v>153</v>
      </c>
      <c r="BZ156" s="4" t="s">
        <v>153</v>
      </c>
      <c r="CA156" s="4" t="s">
        <v>153</v>
      </c>
      <c r="CB156" s="4"/>
      <c r="CC156" s="4" t="s">
        <v>153</v>
      </c>
      <c r="CD156" t="s">
        <v>153</v>
      </c>
      <c r="CE156" s="4" t="s">
        <v>153</v>
      </c>
      <c r="CF156" s="4" t="s">
        <v>153</v>
      </c>
      <c r="CG156" s="4" t="s">
        <v>153</v>
      </c>
      <c r="CH156" s="5"/>
      <c r="CI156" t="s">
        <v>153</v>
      </c>
      <c r="CJ156" s="4"/>
      <c r="CK156" t="s">
        <v>153</v>
      </c>
      <c r="CL156" t="s">
        <v>153</v>
      </c>
      <c r="CM156" t="s">
        <v>153</v>
      </c>
      <c r="CN156" t="s">
        <v>153</v>
      </c>
      <c r="CO156" s="5"/>
      <c r="CP156" s="4" t="s">
        <v>153</v>
      </c>
      <c r="CQ156" s="4" t="s">
        <v>153</v>
      </c>
      <c r="CR156" t="s">
        <v>153</v>
      </c>
      <c r="CS156" t="s">
        <v>153</v>
      </c>
      <c r="CT156" t="s">
        <v>153</v>
      </c>
      <c r="CU156" t="s">
        <v>153</v>
      </c>
      <c r="CV156" t="s">
        <v>153</v>
      </c>
      <c r="CW156" t="s">
        <v>153</v>
      </c>
      <c r="CX156" t="s">
        <v>153</v>
      </c>
      <c r="CY156" t="s">
        <v>153</v>
      </c>
      <c r="CZ156" t="s">
        <v>153</v>
      </c>
      <c r="DA156" t="s">
        <v>153</v>
      </c>
      <c r="DB156" t="s">
        <v>153</v>
      </c>
      <c r="DC156" t="s">
        <v>153</v>
      </c>
      <c r="DD156" t="s">
        <v>153</v>
      </c>
      <c r="DE156" t="s">
        <v>153</v>
      </c>
      <c r="DF156" t="s">
        <v>153</v>
      </c>
      <c r="DG156" t="s">
        <v>153</v>
      </c>
      <c r="DI156" t="s">
        <v>153</v>
      </c>
      <c r="DJ156" t="s">
        <v>153</v>
      </c>
      <c r="DK156" t="s">
        <v>153</v>
      </c>
      <c r="DL156" t="s">
        <v>153</v>
      </c>
      <c r="DN156" t="s">
        <v>153</v>
      </c>
      <c r="DO156" t="s">
        <v>153</v>
      </c>
      <c r="DP156" t="s">
        <v>153</v>
      </c>
      <c r="DQ156" t="s">
        <v>153</v>
      </c>
      <c r="DR156" t="s">
        <v>153</v>
      </c>
      <c r="DS156" t="s">
        <v>153</v>
      </c>
      <c r="DT156" t="s">
        <v>153</v>
      </c>
      <c r="DU156" t="s">
        <v>153</v>
      </c>
      <c r="DV156" t="s">
        <v>153</v>
      </c>
      <c r="DW156" t="s">
        <v>153</v>
      </c>
      <c r="DX156" s="2"/>
      <c r="DY156" t="s">
        <v>153</v>
      </c>
      <c r="DZ156" t="s">
        <v>153</v>
      </c>
      <c r="EA156" t="s">
        <v>153</v>
      </c>
      <c r="EB156" t="s">
        <v>153</v>
      </c>
      <c r="EC156" t="s">
        <v>153</v>
      </c>
      <c r="ED156" t="s">
        <v>153</v>
      </c>
      <c r="EE156" t="s">
        <v>153</v>
      </c>
      <c r="EF156" t="s">
        <v>153</v>
      </c>
      <c r="EH156" t="s">
        <v>153</v>
      </c>
      <c r="EI156" t="s">
        <v>153</v>
      </c>
      <c r="EJ156" t="s">
        <v>153</v>
      </c>
      <c r="EK156" t="s">
        <v>153</v>
      </c>
      <c r="EM156" t="s">
        <v>153</v>
      </c>
      <c r="EN156" t="s">
        <v>153</v>
      </c>
      <c r="EP156" s="4" t="s">
        <v>153</v>
      </c>
      <c r="EQ156" s="4" t="s">
        <v>153</v>
      </c>
      <c r="ER156" s="4" t="s">
        <v>243</v>
      </c>
      <c r="ES156" s="4" t="s">
        <v>153</v>
      </c>
      <c r="ET156" t="s">
        <v>2118</v>
      </c>
      <c r="EU156" t="s">
        <v>2077</v>
      </c>
      <c r="EV156" t="s">
        <v>2119</v>
      </c>
      <c r="EW156">
        <v>1235089626</v>
      </c>
      <c r="EX156" t="s">
        <v>2120</v>
      </c>
    </row>
    <row r="157" spans="1:154" x14ac:dyDescent="0.25">
      <c r="A157" s="3">
        <v>45456.575960648152</v>
      </c>
      <c r="B157" s="4" t="s">
        <v>153</v>
      </c>
      <c r="C157" s="4" t="s">
        <v>1363</v>
      </c>
      <c r="D157" s="4" t="s">
        <v>1364</v>
      </c>
      <c r="E157" s="4" t="s">
        <v>1365</v>
      </c>
      <c r="F157" s="4" t="s">
        <v>1366</v>
      </c>
      <c r="G157" s="4" t="s">
        <v>948</v>
      </c>
      <c r="H157" s="4" t="s">
        <v>793</v>
      </c>
      <c r="I157" s="4" t="s">
        <v>2121</v>
      </c>
      <c r="J157" s="4" t="s">
        <v>2122</v>
      </c>
      <c r="K157" s="5">
        <v>45444</v>
      </c>
      <c r="L157" s="4" t="s">
        <v>327</v>
      </c>
      <c r="M157" s="4" t="s">
        <v>2121</v>
      </c>
      <c r="N157" s="4" t="s">
        <v>2121</v>
      </c>
      <c r="O157" s="4" t="s">
        <v>2123</v>
      </c>
      <c r="P157" s="4" t="s">
        <v>2124</v>
      </c>
      <c r="Q157" s="4" t="s">
        <v>153</v>
      </c>
      <c r="R157" s="4" t="s">
        <v>191</v>
      </c>
      <c r="S157" s="4" t="s">
        <v>2125</v>
      </c>
      <c r="T157" s="4" t="s">
        <v>153</v>
      </c>
      <c r="U157" s="4" t="s">
        <v>2126</v>
      </c>
      <c r="V157" s="4" t="s">
        <v>153</v>
      </c>
      <c r="W157" s="4" t="s">
        <v>2127</v>
      </c>
      <c r="X157" s="4" t="s">
        <v>2114</v>
      </c>
      <c r="Y157" s="4" t="s">
        <v>2128</v>
      </c>
      <c r="Z157" s="4" t="s">
        <v>237</v>
      </c>
      <c r="AA157" s="4" t="s">
        <v>2126</v>
      </c>
      <c r="AB157" s="4" t="s">
        <v>153</v>
      </c>
      <c r="AC157" s="4" t="s">
        <v>2127</v>
      </c>
      <c r="AD157" s="4" t="s">
        <v>2114</v>
      </c>
      <c r="AE157" s="4" t="s">
        <v>2128</v>
      </c>
      <c r="AF157" s="4" t="s">
        <v>2129</v>
      </c>
      <c r="AG157" s="4" t="s">
        <v>2130</v>
      </c>
      <c r="AH157" s="4" t="s">
        <v>153</v>
      </c>
      <c r="AI157" s="5"/>
      <c r="AJ157" t="s">
        <v>1523</v>
      </c>
      <c r="AK157" s="4">
        <v>5</v>
      </c>
      <c r="AL157" t="s">
        <v>153</v>
      </c>
      <c r="AM157" t="s">
        <v>153</v>
      </c>
      <c r="AO157" t="s">
        <v>153</v>
      </c>
      <c r="AP157" s="4"/>
      <c r="AQ157" t="s">
        <v>153</v>
      </c>
      <c r="AR157" s="5"/>
      <c r="AT157" s="4" t="s">
        <v>153</v>
      </c>
      <c r="AU157" s="4" t="s">
        <v>153</v>
      </c>
      <c r="AV157" s="4" t="s">
        <v>153</v>
      </c>
      <c r="AW157" t="s">
        <v>153</v>
      </c>
      <c r="AX157" t="s">
        <v>153</v>
      </c>
      <c r="AY157" t="s">
        <v>153</v>
      </c>
      <c r="AZ157" t="s">
        <v>153</v>
      </c>
      <c r="BA157" t="s">
        <v>153</v>
      </c>
      <c r="BB157" t="s">
        <v>153</v>
      </c>
      <c r="BC157" t="s">
        <v>153</v>
      </c>
      <c r="BD157" s="4" t="s">
        <v>153</v>
      </c>
      <c r="BE157" s="4" t="s">
        <v>153</v>
      </c>
      <c r="BF157" t="s">
        <v>153</v>
      </c>
      <c r="BG157" s="4" t="s">
        <v>153</v>
      </c>
      <c r="BH157" t="s">
        <v>153</v>
      </c>
      <c r="BI157" s="4" t="s">
        <v>153</v>
      </c>
      <c r="BJ157" t="s">
        <v>153</v>
      </c>
      <c r="BK157" s="4" t="s">
        <v>153</v>
      </c>
      <c r="BL157" t="s">
        <v>153</v>
      </c>
      <c r="BM157" t="s">
        <v>153</v>
      </c>
      <c r="BN157" s="4" t="s">
        <v>153</v>
      </c>
      <c r="BO157" s="4" t="s">
        <v>153</v>
      </c>
      <c r="BP157" s="4" t="s">
        <v>153</v>
      </c>
      <c r="BQ157" s="4" t="s">
        <v>153</v>
      </c>
      <c r="BR157" s="4" t="s">
        <v>153</v>
      </c>
      <c r="BS157" s="4" t="s">
        <v>153</v>
      </c>
      <c r="BT157" s="4" t="s">
        <v>153</v>
      </c>
      <c r="BU157" s="4" t="s">
        <v>153</v>
      </c>
      <c r="BV157" s="4"/>
      <c r="BW157" s="4" t="s">
        <v>153</v>
      </c>
      <c r="BX157" s="4" t="s">
        <v>153</v>
      </c>
      <c r="BY157" s="4" t="s">
        <v>153</v>
      </c>
      <c r="BZ157" s="4" t="s">
        <v>153</v>
      </c>
      <c r="CA157" s="4" t="s">
        <v>153</v>
      </c>
      <c r="CB157" s="4"/>
      <c r="CC157" s="4" t="s">
        <v>153</v>
      </c>
      <c r="CD157" t="s">
        <v>153</v>
      </c>
      <c r="CE157" s="4" t="s">
        <v>153</v>
      </c>
      <c r="CF157" s="4" t="s">
        <v>153</v>
      </c>
      <c r="CG157" s="4" t="s">
        <v>153</v>
      </c>
      <c r="CH157" s="5"/>
      <c r="CI157" t="s">
        <v>153</v>
      </c>
      <c r="CJ157" s="4"/>
      <c r="CK157" t="s">
        <v>153</v>
      </c>
      <c r="CL157" t="s">
        <v>153</v>
      </c>
      <c r="CM157" t="s">
        <v>153</v>
      </c>
      <c r="CN157" t="s">
        <v>153</v>
      </c>
      <c r="CO157" s="5"/>
      <c r="CP157" s="4" t="s">
        <v>153</v>
      </c>
      <c r="CQ157" s="4" t="s">
        <v>153</v>
      </c>
      <c r="CR157" t="s">
        <v>153</v>
      </c>
      <c r="CS157" t="s">
        <v>153</v>
      </c>
      <c r="CT157" t="s">
        <v>153</v>
      </c>
      <c r="CU157" t="s">
        <v>153</v>
      </c>
      <c r="CV157" t="s">
        <v>153</v>
      </c>
      <c r="CW157" t="s">
        <v>153</v>
      </c>
      <c r="CX157" t="s">
        <v>153</v>
      </c>
      <c r="CY157" t="s">
        <v>153</v>
      </c>
      <c r="CZ157" t="s">
        <v>153</v>
      </c>
      <c r="DA157" t="s">
        <v>153</v>
      </c>
      <c r="DB157" t="s">
        <v>153</v>
      </c>
      <c r="DC157" t="s">
        <v>153</v>
      </c>
      <c r="DD157" t="s">
        <v>153</v>
      </c>
      <c r="DE157" t="s">
        <v>153</v>
      </c>
      <c r="DF157" t="s">
        <v>153</v>
      </c>
      <c r="DG157" t="s">
        <v>153</v>
      </c>
      <c r="DI157" t="s">
        <v>153</v>
      </c>
      <c r="DJ157" t="s">
        <v>153</v>
      </c>
      <c r="DK157" t="s">
        <v>153</v>
      </c>
      <c r="DL157" t="s">
        <v>153</v>
      </c>
      <c r="DN157" t="s">
        <v>153</v>
      </c>
      <c r="DO157" t="s">
        <v>153</v>
      </c>
      <c r="DP157" t="s">
        <v>153</v>
      </c>
      <c r="DQ157" t="s">
        <v>153</v>
      </c>
      <c r="DR157" t="s">
        <v>153</v>
      </c>
      <c r="DS157" t="s">
        <v>153</v>
      </c>
      <c r="DT157" t="s">
        <v>153</v>
      </c>
      <c r="DU157" t="s">
        <v>153</v>
      </c>
      <c r="DV157" t="s">
        <v>153</v>
      </c>
      <c r="DW157" t="s">
        <v>153</v>
      </c>
      <c r="DX157" s="2"/>
      <c r="DY157" t="s">
        <v>153</v>
      </c>
      <c r="DZ157" t="s">
        <v>153</v>
      </c>
      <c r="EA157" t="s">
        <v>153</v>
      </c>
      <c r="EB157" t="s">
        <v>153</v>
      </c>
      <c r="EC157" t="s">
        <v>153</v>
      </c>
      <c r="ED157" t="s">
        <v>153</v>
      </c>
      <c r="EE157" t="s">
        <v>153</v>
      </c>
      <c r="EF157" t="s">
        <v>153</v>
      </c>
      <c r="EH157" t="s">
        <v>153</v>
      </c>
      <c r="EI157" t="s">
        <v>153</v>
      </c>
      <c r="EJ157" t="s">
        <v>153</v>
      </c>
      <c r="EK157" t="s">
        <v>153</v>
      </c>
      <c r="EM157" t="s">
        <v>153</v>
      </c>
      <c r="EN157" t="s">
        <v>153</v>
      </c>
      <c r="EP157" s="4" t="s">
        <v>153</v>
      </c>
      <c r="EQ157" s="4" t="s">
        <v>153</v>
      </c>
      <c r="ER157" s="4" t="s">
        <v>191</v>
      </c>
      <c r="ES157" s="4" t="s">
        <v>153</v>
      </c>
      <c r="ET157" t="s">
        <v>153</v>
      </c>
      <c r="EU157" t="s">
        <v>2077</v>
      </c>
      <c r="EV157" t="s">
        <v>2119</v>
      </c>
      <c r="EW157">
        <v>1235095963</v>
      </c>
      <c r="EX157" t="s">
        <v>2120</v>
      </c>
    </row>
    <row r="158" spans="1:154" x14ac:dyDescent="0.25">
      <c r="A158" s="3">
        <v>45461.499849537038</v>
      </c>
      <c r="B158" s="4" t="s">
        <v>153</v>
      </c>
      <c r="C158" s="4" t="s">
        <v>1007</v>
      </c>
      <c r="D158" s="4" t="s">
        <v>2131</v>
      </c>
      <c r="E158" s="4" t="s">
        <v>628</v>
      </c>
      <c r="F158" s="4" t="s">
        <v>2132</v>
      </c>
      <c r="G158" s="4" t="s">
        <v>252</v>
      </c>
      <c r="H158" s="4" t="s">
        <v>630</v>
      </c>
      <c r="I158" s="4" t="s">
        <v>2133</v>
      </c>
      <c r="J158" s="4" t="s">
        <v>2134</v>
      </c>
      <c r="K158" s="5"/>
      <c r="L158" s="4" t="s">
        <v>153</v>
      </c>
      <c r="M158" s="4" t="s">
        <v>153</v>
      </c>
      <c r="N158" s="4" t="s">
        <v>153</v>
      </c>
      <c r="O158" s="4" t="s">
        <v>153</v>
      </c>
      <c r="P158" s="4" t="s">
        <v>153</v>
      </c>
      <c r="Q158" s="4" t="s">
        <v>153</v>
      </c>
      <c r="R158" s="4" t="s">
        <v>153</v>
      </c>
      <c r="S158" s="4" t="s">
        <v>153</v>
      </c>
      <c r="T158" s="4" t="s">
        <v>153</v>
      </c>
      <c r="U158" s="4" t="s">
        <v>153</v>
      </c>
      <c r="V158" s="4" t="s">
        <v>153</v>
      </c>
      <c r="W158" s="4" t="s">
        <v>153</v>
      </c>
      <c r="X158" s="4" t="s">
        <v>153</v>
      </c>
      <c r="Y158" s="4" t="s">
        <v>153</v>
      </c>
      <c r="Z158" s="4" t="s">
        <v>153</v>
      </c>
      <c r="AA158" s="4" t="s">
        <v>153</v>
      </c>
      <c r="AB158" s="4" t="s">
        <v>153</v>
      </c>
      <c r="AC158" s="4" t="s">
        <v>153</v>
      </c>
      <c r="AD158" s="4" t="s">
        <v>153</v>
      </c>
      <c r="AE158" s="4" t="s">
        <v>153</v>
      </c>
      <c r="AF158" s="4" t="s">
        <v>153</v>
      </c>
      <c r="AG158" s="4" t="s">
        <v>153</v>
      </c>
      <c r="AH158" s="4" t="s">
        <v>153</v>
      </c>
      <c r="AI158" s="5"/>
      <c r="AJ158" t="s">
        <v>153</v>
      </c>
      <c r="AK158" s="4"/>
      <c r="AL158" t="s">
        <v>153</v>
      </c>
      <c r="AM158" t="s">
        <v>153</v>
      </c>
      <c r="AO158" t="s">
        <v>153</v>
      </c>
      <c r="AP158" s="4"/>
      <c r="AQ158" t="s">
        <v>153</v>
      </c>
      <c r="AR158" s="5">
        <v>45416</v>
      </c>
      <c r="AS158">
        <v>0</v>
      </c>
      <c r="AT158" s="4" t="s">
        <v>153</v>
      </c>
      <c r="AU158" s="4" t="s">
        <v>153</v>
      </c>
      <c r="AV158" s="4" t="s">
        <v>359</v>
      </c>
      <c r="AW158" t="s">
        <v>153</v>
      </c>
      <c r="AX158" t="s">
        <v>153</v>
      </c>
      <c r="AY158" t="s">
        <v>153</v>
      </c>
      <c r="AZ158" t="s">
        <v>153</v>
      </c>
      <c r="BA158" t="s">
        <v>153</v>
      </c>
      <c r="BB158" t="s">
        <v>153</v>
      </c>
      <c r="BC158" t="s">
        <v>153</v>
      </c>
      <c r="BD158" s="4" t="s">
        <v>2135</v>
      </c>
      <c r="BE158" s="4" t="s">
        <v>2136</v>
      </c>
      <c r="BF158" t="s">
        <v>243</v>
      </c>
      <c r="BG158" s="4" t="s">
        <v>153</v>
      </c>
      <c r="BH158" t="s">
        <v>153</v>
      </c>
      <c r="BI158" s="4" t="s">
        <v>153</v>
      </c>
      <c r="BJ158" t="s">
        <v>153</v>
      </c>
      <c r="BK158" s="4" t="s">
        <v>153</v>
      </c>
      <c r="BL158" t="s">
        <v>153</v>
      </c>
      <c r="BM158" t="s">
        <v>153</v>
      </c>
      <c r="BN158" s="4" t="s">
        <v>153</v>
      </c>
      <c r="BO158" s="4" t="s">
        <v>153</v>
      </c>
      <c r="BP158" s="4" t="s">
        <v>153</v>
      </c>
      <c r="BQ158" s="4" t="s">
        <v>153</v>
      </c>
      <c r="BR158" s="4" t="s">
        <v>153</v>
      </c>
      <c r="BS158" s="4" t="s">
        <v>153</v>
      </c>
      <c r="BT158" s="4" t="s">
        <v>153</v>
      </c>
      <c r="BU158" s="4" t="s">
        <v>153</v>
      </c>
      <c r="BV158" s="4"/>
      <c r="BW158" s="4" t="s">
        <v>153</v>
      </c>
      <c r="BX158" s="4" t="s">
        <v>153</v>
      </c>
      <c r="BY158" s="4" t="s">
        <v>153</v>
      </c>
      <c r="BZ158" s="4" t="s">
        <v>153</v>
      </c>
      <c r="CA158" s="4" t="s">
        <v>153</v>
      </c>
      <c r="CB158" s="4"/>
      <c r="CC158" s="4" t="s">
        <v>153</v>
      </c>
      <c r="CD158" t="s">
        <v>153</v>
      </c>
      <c r="CE158" s="4" t="s">
        <v>153</v>
      </c>
      <c r="CF158" s="4" t="s">
        <v>153</v>
      </c>
      <c r="CG158" s="4" t="s">
        <v>153</v>
      </c>
      <c r="CH158" s="5"/>
      <c r="CI158" t="s">
        <v>153</v>
      </c>
      <c r="CJ158" s="4"/>
      <c r="CK158" t="s">
        <v>153</v>
      </c>
      <c r="CL158" t="s">
        <v>153</v>
      </c>
      <c r="CM158" t="s">
        <v>153</v>
      </c>
      <c r="CN158" t="s">
        <v>153</v>
      </c>
      <c r="CO158" s="5"/>
      <c r="CP158" s="4" t="s">
        <v>153</v>
      </c>
      <c r="CQ158" s="4" t="s">
        <v>153</v>
      </c>
      <c r="CR158" t="s">
        <v>153</v>
      </c>
      <c r="CS158" t="s">
        <v>153</v>
      </c>
      <c r="CT158" t="s">
        <v>153</v>
      </c>
      <c r="CU158" t="s">
        <v>153</v>
      </c>
      <c r="CV158" t="s">
        <v>153</v>
      </c>
      <c r="CW158" t="s">
        <v>153</v>
      </c>
      <c r="CX158" t="s">
        <v>153</v>
      </c>
      <c r="CY158" t="s">
        <v>153</v>
      </c>
      <c r="CZ158" t="s">
        <v>153</v>
      </c>
      <c r="DA158" t="s">
        <v>153</v>
      </c>
      <c r="DB158" t="s">
        <v>153</v>
      </c>
      <c r="DC158" t="s">
        <v>153</v>
      </c>
      <c r="DD158" t="s">
        <v>153</v>
      </c>
      <c r="DE158" t="s">
        <v>153</v>
      </c>
      <c r="DF158" t="s">
        <v>153</v>
      </c>
      <c r="DG158" t="s">
        <v>153</v>
      </c>
      <c r="DI158" t="s">
        <v>153</v>
      </c>
      <c r="DJ158" t="s">
        <v>153</v>
      </c>
      <c r="DK158" t="s">
        <v>153</v>
      </c>
      <c r="DL158" t="s">
        <v>153</v>
      </c>
      <c r="DN158" t="s">
        <v>153</v>
      </c>
      <c r="DO158" t="s">
        <v>153</v>
      </c>
      <c r="DP158" t="s">
        <v>153</v>
      </c>
      <c r="DQ158" t="s">
        <v>153</v>
      </c>
      <c r="DR158" t="s">
        <v>153</v>
      </c>
      <c r="DS158" t="s">
        <v>153</v>
      </c>
      <c r="DT158" t="s">
        <v>153</v>
      </c>
      <c r="DU158" t="s">
        <v>153</v>
      </c>
      <c r="DV158" t="s">
        <v>153</v>
      </c>
      <c r="DW158" t="s">
        <v>153</v>
      </c>
      <c r="DX158" s="2"/>
      <c r="DY158" t="s">
        <v>153</v>
      </c>
      <c r="DZ158" t="s">
        <v>153</v>
      </c>
      <c r="EA158" t="s">
        <v>153</v>
      </c>
      <c r="EB158" t="s">
        <v>153</v>
      </c>
      <c r="EC158" t="s">
        <v>153</v>
      </c>
      <c r="ED158" t="s">
        <v>153</v>
      </c>
      <c r="EE158" t="s">
        <v>153</v>
      </c>
      <c r="EF158" t="s">
        <v>153</v>
      </c>
      <c r="EH158" t="s">
        <v>153</v>
      </c>
      <c r="EI158" t="s">
        <v>153</v>
      </c>
      <c r="EJ158" t="s">
        <v>153</v>
      </c>
      <c r="EK158" t="s">
        <v>153</v>
      </c>
      <c r="EM158" t="s">
        <v>153</v>
      </c>
      <c r="EN158" t="s">
        <v>153</v>
      </c>
      <c r="EP158" s="4" t="s">
        <v>153</v>
      </c>
      <c r="EQ158" s="4" t="s">
        <v>153</v>
      </c>
      <c r="ER158" s="4" t="s">
        <v>153</v>
      </c>
      <c r="ES158" s="4" t="s">
        <v>153</v>
      </c>
      <c r="ET158" t="s">
        <v>153</v>
      </c>
      <c r="EU158" t="s">
        <v>2137</v>
      </c>
      <c r="EV158" t="s">
        <v>2138</v>
      </c>
      <c r="EW158">
        <v>1236601514</v>
      </c>
      <c r="EX158" t="s">
        <v>2139</v>
      </c>
    </row>
    <row r="159" spans="1:154" x14ac:dyDescent="0.25">
      <c r="A159" s="3">
        <v>45462.451747685183</v>
      </c>
      <c r="B159" s="4" t="s">
        <v>153</v>
      </c>
      <c r="C159" s="4" t="s">
        <v>1007</v>
      </c>
      <c r="D159" s="4" t="s">
        <v>2131</v>
      </c>
      <c r="E159" s="4" t="s">
        <v>628</v>
      </c>
      <c r="F159" s="4" t="s">
        <v>2132</v>
      </c>
      <c r="G159" s="4" t="s">
        <v>252</v>
      </c>
      <c r="H159" s="4" t="s">
        <v>630</v>
      </c>
      <c r="I159" s="4" t="s">
        <v>2140</v>
      </c>
      <c r="J159" s="4" t="s">
        <v>2141</v>
      </c>
      <c r="K159" s="5"/>
      <c r="L159" s="4" t="s">
        <v>153</v>
      </c>
      <c r="M159" s="4" t="s">
        <v>153</v>
      </c>
      <c r="N159" s="4" t="s">
        <v>153</v>
      </c>
      <c r="O159" s="4" t="s">
        <v>153</v>
      </c>
      <c r="P159" s="4" t="s">
        <v>153</v>
      </c>
      <c r="Q159" s="4" t="s">
        <v>153</v>
      </c>
      <c r="R159" s="4" t="s">
        <v>153</v>
      </c>
      <c r="S159" s="4" t="s">
        <v>153</v>
      </c>
      <c r="T159" s="4" t="s">
        <v>153</v>
      </c>
      <c r="U159" s="4" t="s">
        <v>153</v>
      </c>
      <c r="V159" s="4" t="s">
        <v>153</v>
      </c>
      <c r="W159" s="4" t="s">
        <v>153</v>
      </c>
      <c r="X159" s="4" t="s">
        <v>153</v>
      </c>
      <c r="Y159" s="4" t="s">
        <v>153</v>
      </c>
      <c r="Z159" s="4" t="s">
        <v>153</v>
      </c>
      <c r="AA159" s="4" t="s">
        <v>153</v>
      </c>
      <c r="AB159" s="4" t="s">
        <v>153</v>
      </c>
      <c r="AC159" s="4" t="s">
        <v>153</v>
      </c>
      <c r="AD159" s="4" t="s">
        <v>153</v>
      </c>
      <c r="AE159" s="4" t="s">
        <v>153</v>
      </c>
      <c r="AF159" s="4" t="s">
        <v>153</v>
      </c>
      <c r="AG159" s="4" t="s">
        <v>153</v>
      </c>
      <c r="AH159" s="4" t="s">
        <v>153</v>
      </c>
      <c r="AI159" s="5"/>
      <c r="AJ159" t="s">
        <v>153</v>
      </c>
      <c r="AK159" s="4"/>
      <c r="AL159" t="s">
        <v>153</v>
      </c>
      <c r="AM159" t="s">
        <v>153</v>
      </c>
      <c r="AO159" t="s">
        <v>153</v>
      </c>
      <c r="AP159" s="4"/>
      <c r="AQ159" t="s">
        <v>153</v>
      </c>
      <c r="AR159" s="5">
        <v>43740</v>
      </c>
      <c r="AS159">
        <v>0</v>
      </c>
      <c r="AT159" s="4" t="s">
        <v>153</v>
      </c>
      <c r="AU159" s="4" t="s">
        <v>153</v>
      </c>
      <c r="AV159" s="4" t="s">
        <v>256</v>
      </c>
      <c r="AW159" t="s">
        <v>153</v>
      </c>
      <c r="AX159" t="s">
        <v>153</v>
      </c>
      <c r="AY159" t="s">
        <v>2142</v>
      </c>
      <c r="AZ159" t="s">
        <v>153</v>
      </c>
      <c r="BA159" t="s">
        <v>153</v>
      </c>
      <c r="BB159" t="s">
        <v>153</v>
      </c>
      <c r="BC159" t="s">
        <v>153</v>
      </c>
      <c r="BD159" s="4" t="s">
        <v>2143</v>
      </c>
      <c r="BE159" s="4" t="s">
        <v>2144</v>
      </c>
      <c r="BF159" t="s">
        <v>243</v>
      </c>
      <c r="BG159" s="4" t="s">
        <v>153</v>
      </c>
      <c r="BH159" t="s">
        <v>153</v>
      </c>
      <c r="BI159" s="4" t="s">
        <v>153</v>
      </c>
      <c r="BJ159" t="s">
        <v>153</v>
      </c>
      <c r="BK159" s="4" t="s">
        <v>153</v>
      </c>
      <c r="BL159" t="s">
        <v>153</v>
      </c>
      <c r="BM159" t="s">
        <v>153</v>
      </c>
      <c r="BN159" s="4" t="s">
        <v>153</v>
      </c>
      <c r="BO159" s="4" t="s">
        <v>153</v>
      </c>
      <c r="BP159" s="4" t="s">
        <v>153</v>
      </c>
      <c r="BQ159" s="4" t="s">
        <v>153</v>
      </c>
      <c r="BR159" s="4" t="s">
        <v>153</v>
      </c>
      <c r="BS159" s="4" t="s">
        <v>153</v>
      </c>
      <c r="BT159" s="4" t="s">
        <v>153</v>
      </c>
      <c r="BU159" s="4" t="s">
        <v>153</v>
      </c>
      <c r="BV159" s="4"/>
      <c r="BW159" s="4" t="s">
        <v>153</v>
      </c>
      <c r="BX159" s="4" t="s">
        <v>153</v>
      </c>
      <c r="BY159" s="4" t="s">
        <v>153</v>
      </c>
      <c r="BZ159" s="4" t="s">
        <v>153</v>
      </c>
      <c r="CA159" s="4" t="s">
        <v>153</v>
      </c>
      <c r="CB159" s="4"/>
      <c r="CC159" s="4" t="s">
        <v>153</v>
      </c>
      <c r="CD159" t="s">
        <v>153</v>
      </c>
      <c r="CE159" s="4" t="s">
        <v>153</v>
      </c>
      <c r="CF159" s="4" t="s">
        <v>153</v>
      </c>
      <c r="CG159" s="4" t="s">
        <v>153</v>
      </c>
      <c r="CH159" s="5"/>
      <c r="CI159" t="s">
        <v>153</v>
      </c>
      <c r="CJ159" s="4"/>
      <c r="CK159" t="s">
        <v>153</v>
      </c>
      <c r="CL159" t="s">
        <v>153</v>
      </c>
      <c r="CM159" t="s">
        <v>153</v>
      </c>
      <c r="CN159" t="s">
        <v>153</v>
      </c>
      <c r="CO159" s="5"/>
      <c r="CP159" s="4" t="s">
        <v>153</v>
      </c>
      <c r="CQ159" s="4" t="s">
        <v>153</v>
      </c>
      <c r="CR159" t="s">
        <v>153</v>
      </c>
      <c r="CS159" t="s">
        <v>153</v>
      </c>
      <c r="CT159" t="s">
        <v>153</v>
      </c>
      <c r="CU159" t="s">
        <v>153</v>
      </c>
      <c r="CV159" t="s">
        <v>153</v>
      </c>
      <c r="CW159" t="s">
        <v>153</v>
      </c>
      <c r="CX159" t="s">
        <v>153</v>
      </c>
      <c r="CY159" t="s">
        <v>153</v>
      </c>
      <c r="CZ159" t="s">
        <v>153</v>
      </c>
      <c r="DA159" t="s">
        <v>153</v>
      </c>
      <c r="DB159" t="s">
        <v>153</v>
      </c>
      <c r="DC159" t="s">
        <v>153</v>
      </c>
      <c r="DD159" t="s">
        <v>153</v>
      </c>
      <c r="DE159" t="s">
        <v>153</v>
      </c>
      <c r="DF159" t="s">
        <v>153</v>
      </c>
      <c r="DG159" t="s">
        <v>153</v>
      </c>
      <c r="DI159" t="s">
        <v>153</v>
      </c>
      <c r="DJ159" t="s">
        <v>153</v>
      </c>
      <c r="DK159" t="s">
        <v>153</v>
      </c>
      <c r="DL159" t="s">
        <v>153</v>
      </c>
      <c r="DN159" t="s">
        <v>153</v>
      </c>
      <c r="DO159" t="s">
        <v>153</v>
      </c>
      <c r="DP159" t="s">
        <v>153</v>
      </c>
      <c r="DQ159" t="s">
        <v>153</v>
      </c>
      <c r="DR159" t="s">
        <v>153</v>
      </c>
      <c r="DS159" t="s">
        <v>153</v>
      </c>
      <c r="DT159" t="s">
        <v>153</v>
      </c>
      <c r="DU159" t="s">
        <v>153</v>
      </c>
      <c r="DV159" t="s">
        <v>153</v>
      </c>
      <c r="DW159" t="s">
        <v>153</v>
      </c>
      <c r="DX159" s="2"/>
      <c r="DY159" t="s">
        <v>153</v>
      </c>
      <c r="DZ159" t="s">
        <v>153</v>
      </c>
      <c r="EA159" t="s">
        <v>153</v>
      </c>
      <c r="EB159" t="s">
        <v>153</v>
      </c>
      <c r="EC159" t="s">
        <v>153</v>
      </c>
      <c r="ED159" t="s">
        <v>153</v>
      </c>
      <c r="EE159" t="s">
        <v>153</v>
      </c>
      <c r="EF159" t="s">
        <v>153</v>
      </c>
      <c r="EH159" t="s">
        <v>153</v>
      </c>
      <c r="EI159" t="s">
        <v>153</v>
      </c>
      <c r="EJ159" t="s">
        <v>153</v>
      </c>
      <c r="EK159" t="s">
        <v>153</v>
      </c>
      <c r="EM159" t="s">
        <v>153</v>
      </c>
      <c r="EN159" t="s">
        <v>153</v>
      </c>
      <c r="EP159" s="4" t="s">
        <v>153</v>
      </c>
      <c r="EQ159" s="4" t="s">
        <v>153</v>
      </c>
      <c r="ER159" s="4" t="s">
        <v>153</v>
      </c>
      <c r="ES159" s="4" t="s">
        <v>153</v>
      </c>
      <c r="ET159" t="s">
        <v>153</v>
      </c>
      <c r="EU159" t="s">
        <v>2137</v>
      </c>
      <c r="EV159" t="s">
        <v>2138</v>
      </c>
      <c r="EW159">
        <v>1236943676</v>
      </c>
      <c r="EX159" t="s">
        <v>2139</v>
      </c>
    </row>
    <row r="160" spans="1:154" x14ac:dyDescent="0.25">
      <c r="A160" s="3">
        <v>45462.463900462964</v>
      </c>
      <c r="B160" s="4" t="s">
        <v>153</v>
      </c>
      <c r="C160" s="4" t="s">
        <v>1007</v>
      </c>
      <c r="D160" s="4" t="s">
        <v>2131</v>
      </c>
      <c r="E160" s="4" t="s">
        <v>628</v>
      </c>
      <c r="F160" s="4" t="s">
        <v>2132</v>
      </c>
      <c r="G160" s="4" t="s">
        <v>948</v>
      </c>
      <c r="H160" s="4" t="s">
        <v>630</v>
      </c>
      <c r="I160" s="4" t="s">
        <v>2145</v>
      </c>
      <c r="J160" s="4" t="s">
        <v>2146</v>
      </c>
      <c r="K160" s="5">
        <v>45416</v>
      </c>
      <c r="L160" s="4" t="s">
        <v>327</v>
      </c>
      <c r="M160" s="4" t="s">
        <v>2145</v>
      </c>
      <c r="N160" s="4" t="s">
        <v>153</v>
      </c>
      <c r="O160" s="4" t="s">
        <v>2147</v>
      </c>
      <c r="P160" s="4" t="s">
        <v>2148</v>
      </c>
      <c r="Q160" s="4" t="s">
        <v>153</v>
      </c>
      <c r="R160" s="4" t="s">
        <v>191</v>
      </c>
      <c r="S160" s="4" t="s">
        <v>153</v>
      </c>
      <c r="T160" s="4" t="s">
        <v>153</v>
      </c>
      <c r="U160" s="4" t="s">
        <v>2149</v>
      </c>
      <c r="V160" s="4" t="s">
        <v>153</v>
      </c>
      <c r="W160" s="4" t="s">
        <v>2150</v>
      </c>
      <c r="X160" s="4" t="s">
        <v>2151</v>
      </c>
      <c r="Y160" s="4" t="s">
        <v>2152</v>
      </c>
      <c r="Z160" s="4" t="s">
        <v>237</v>
      </c>
      <c r="AA160" s="4" t="s">
        <v>2149</v>
      </c>
      <c r="AB160" s="4" t="s">
        <v>153</v>
      </c>
      <c r="AC160" s="4" t="s">
        <v>2150</v>
      </c>
      <c r="AD160" s="4" t="s">
        <v>2151</v>
      </c>
      <c r="AE160" s="4" t="s">
        <v>2152</v>
      </c>
      <c r="AF160" s="4" t="s">
        <v>2153</v>
      </c>
      <c r="AG160" s="4" t="s">
        <v>2154</v>
      </c>
      <c r="AH160" s="4" t="s">
        <v>153</v>
      </c>
      <c r="AI160" s="5"/>
      <c r="AJ160" t="s">
        <v>153</v>
      </c>
      <c r="AK160" s="4"/>
      <c r="AL160" t="s">
        <v>153</v>
      </c>
      <c r="AM160" t="s">
        <v>153</v>
      </c>
      <c r="AO160" t="s">
        <v>153</v>
      </c>
      <c r="AP160" s="4"/>
      <c r="AQ160" t="s">
        <v>153</v>
      </c>
      <c r="AR160" s="5"/>
      <c r="AT160" s="4" t="s">
        <v>153</v>
      </c>
      <c r="AU160" s="4" t="s">
        <v>153</v>
      </c>
      <c r="AV160" s="4" t="s">
        <v>153</v>
      </c>
      <c r="AW160" t="s">
        <v>153</v>
      </c>
      <c r="AX160" t="s">
        <v>153</v>
      </c>
      <c r="AY160" t="s">
        <v>153</v>
      </c>
      <c r="AZ160" t="s">
        <v>153</v>
      </c>
      <c r="BA160" t="s">
        <v>153</v>
      </c>
      <c r="BB160" t="s">
        <v>153</v>
      </c>
      <c r="BC160" t="s">
        <v>153</v>
      </c>
      <c r="BD160" s="4" t="s">
        <v>153</v>
      </c>
      <c r="BE160" s="4" t="s">
        <v>153</v>
      </c>
      <c r="BF160" t="s">
        <v>153</v>
      </c>
      <c r="BG160" s="4" t="s">
        <v>153</v>
      </c>
      <c r="BH160" t="s">
        <v>153</v>
      </c>
      <c r="BI160" s="4" t="s">
        <v>153</v>
      </c>
      <c r="BJ160" t="s">
        <v>153</v>
      </c>
      <c r="BK160" s="4" t="s">
        <v>153</v>
      </c>
      <c r="BL160" t="s">
        <v>153</v>
      </c>
      <c r="BM160" t="s">
        <v>153</v>
      </c>
      <c r="BN160" s="4" t="s">
        <v>153</v>
      </c>
      <c r="BO160" s="4" t="s">
        <v>153</v>
      </c>
      <c r="BP160" s="4" t="s">
        <v>153</v>
      </c>
      <c r="BQ160" s="4" t="s">
        <v>153</v>
      </c>
      <c r="BR160" s="4" t="s">
        <v>153</v>
      </c>
      <c r="BS160" s="4" t="s">
        <v>153</v>
      </c>
      <c r="BT160" s="4" t="s">
        <v>153</v>
      </c>
      <c r="BU160" s="4" t="s">
        <v>153</v>
      </c>
      <c r="BV160" s="4"/>
      <c r="BW160" s="4" t="s">
        <v>153</v>
      </c>
      <c r="BX160" s="4" t="s">
        <v>153</v>
      </c>
      <c r="BY160" s="4" t="s">
        <v>153</v>
      </c>
      <c r="BZ160" s="4" t="s">
        <v>153</v>
      </c>
      <c r="CA160" s="4" t="s">
        <v>153</v>
      </c>
      <c r="CB160" s="4"/>
      <c r="CC160" s="4" t="s">
        <v>153</v>
      </c>
      <c r="CD160" t="s">
        <v>153</v>
      </c>
      <c r="CE160" s="4" t="s">
        <v>153</v>
      </c>
      <c r="CF160" s="4" t="s">
        <v>153</v>
      </c>
      <c r="CG160" s="4" t="s">
        <v>153</v>
      </c>
      <c r="CH160" s="5"/>
      <c r="CI160" t="s">
        <v>153</v>
      </c>
      <c r="CJ160" s="4"/>
      <c r="CK160" t="s">
        <v>153</v>
      </c>
      <c r="CL160" t="s">
        <v>153</v>
      </c>
      <c r="CM160" t="s">
        <v>153</v>
      </c>
      <c r="CN160" t="s">
        <v>153</v>
      </c>
      <c r="CO160" s="5"/>
      <c r="CP160" s="4" t="s">
        <v>153</v>
      </c>
      <c r="CQ160" s="4" t="s">
        <v>153</v>
      </c>
      <c r="CR160" t="s">
        <v>153</v>
      </c>
      <c r="CS160" t="s">
        <v>153</v>
      </c>
      <c r="CT160" t="s">
        <v>153</v>
      </c>
      <c r="CU160" t="s">
        <v>153</v>
      </c>
      <c r="CV160" t="s">
        <v>153</v>
      </c>
      <c r="CW160" t="s">
        <v>153</v>
      </c>
      <c r="CX160" t="s">
        <v>153</v>
      </c>
      <c r="CY160" t="s">
        <v>153</v>
      </c>
      <c r="CZ160" t="s">
        <v>153</v>
      </c>
      <c r="DA160" t="s">
        <v>153</v>
      </c>
      <c r="DB160" t="s">
        <v>153</v>
      </c>
      <c r="DC160" t="s">
        <v>153</v>
      </c>
      <c r="DD160" t="s">
        <v>153</v>
      </c>
      <c r="DE160" t="s">
        <v>153</v>
      </c>
      <c r="DF160" t="s">
        <v>153</v>
      </c>
      <c r="DG160" t="s">
        <v>153</v>
      </c>
      <c r="DI160" t="s">
        <v>153</v>
      </c>
      <c r="DJ160" t="s">
        <v>153</v>
      </c>
      <c r="DK160" t="s">
        <v>153</v>
      </c>
      <c r="DL160" t="s">
        <v>153</v>
      </c>
      <c r="DN160" t="s">
        <v>153</v>
      </c>
      <c r="DO160" t="s">
        <v>153</v>
      </c>
      <c r="DP160" t="s">
        <v>153</v>
      </c>
      <c r="DQ160" t="s">
        <v>153</v>
      </c>
      <c r="DR160" t="s">
        <v>153</v>
      </c>
      <c r="DS160" t="s">
        <v>153</v>
      </c>
      <c r="DT160" t="s">
        <v>153</v>
      </c>
      <c r="DU160" t="s">
        <v>153</v>
      </c>
      <c r="DV160" t="s">
        <v>153</v>
      </c>
      <c r="DW160" t="s">
        <v>153</v>
      </c>
      <c r="DX160" s="2"/>
      <c r="DY160" t="s">
        <v>153</v>
      </c>
      <c r="DZ160" t="s">
        <v>153</v>
      </c>
      <c r="EA160" t="s">
        <v>153</v>
      </c>
      <c r="EB160" t="s">
        <v>153</v>
      </c>
      <c r="EC160" t="s">
        <v>153</v>
      </c>
      <c r="ED160" t="s">
        <v>153</v>
      </c>
      <c r="EE160" t="s">
        <v>153</v>
      </c>
      <c r="EF160" t="s">
        <v>153</v>
      </c>
      <c r="EH160" t="s">
        <v>153</v>
      </c>
      <c r="EI160" t="s">
        <v>153</v>
      </c>
      <c r="EJ160" t="s">
        <v>153</v>
      </c>
      <c r="EK160" t="s">
        <v>153</v>
      </c>
      <c r="EM160" t="s">
        <v>153</v>
      </c>
      <c r="EN160" t="s">
        <v>153</v>
      </c>
      <c r="EP160" s="4" t="s">
        <v>153</v>
      </c>
      <c r="EQ160" s="4" t="s">
        <v>153</v>
      </c>
      <c r="ER160" s="4" t="s">
        <v>191</v>
      </c>
      <c r="ES160" s="4" t="s">
        <v>153</v>
      </c>
      <c r="ET160" t="s">
        <v>153</v>
      </c>
      <c r="EU160" t="s">
        <v>2137</v>
      </c>
      <c r="EV160" t="s">
        <v>2138</v>
      </c>
      <c r="EW160">
        <v>1236949783</v>
      </c>
      <c r="EX160" t="s">
        <v>2139</v>
      </c>
    </row>
    <row r="161" spans="1:154" x14ac:dyDescent="0.25">
      <c r="A161" s="3">
        <v>45462.468668981484</v>
      </c>
      <c r="B161" s="4" t="s">
        <v>153</v>
      </c>
      <c r="C161" s="4" t="s">
        <v>1007</v>
      </c>
      <c r="D161" s="4" t="s">
        <v>2131</v>
      </c>
      <c r="E161" s="4" t="s">
        <v>628</v>
      </c>
      <c r="F161" s="4" t="s">
        <v>2132</v>
      </c>
      <c r="G161" s="4" t="s">
        <v>252</v>
      </c>
      <c r="H161" s="4" t="s">
        <v>630</v>
      </c>
      <c r="I161" s="4" t="s">
        <v>2155</v>
      </c>
      <c r="J161" s="4" t="s">
        <v>2156</v>
      </c>
      <c r="K161" s="5"/>
      <c r="L161" s="4" t="s">
        <v>153</v>
      </c>
      <c r="M161" s="4" t="s">
        <v>153</v>
      </c>
      <c r="N161" s="4" t="s">
        <v>153</v>
      </c>
      <c r="O161" s="4" t="s">
        <v>153</v>
      </c>
      <c r="P161" s="4" t="s">
        <v>153</v>
      </c>
      <c r="Q161" s="4" t="s">
        <v>153</v>
      </c>
      <c r="R161" s="4" t="s">
        <v>153</v>
      </c>
      <c r="S161" s="4" t="s">
        <v>153</v>
      </c>
      <c r="T161" s="4" t="s">
        <v>153</v>
      </c>
      <c r="U161" s="4" t="s">
        <v>153</v>
      </c>
      <c r="V161" s="4" t="s">
        <v>153</v>
      </c>
      <c r="W161" s="4" t="s">
        <v>153</v>
      </c>
      <c r="X161" s="4" t="s">
        <v>153</v>
      </c>
      <c r="Y161" s="4" t="s">
        <v>153</v>
      </c>
      <c r="Z161" s="4" t="s">
        <v>153</v>
      </c>
      <c r="AA161" s="4" t="s">
        <v>153</v>
      </c>
      <c r="AB161" s="4" t="s">
        <v>153</v>
      </c>
      <c r="AC161" s="4" t="s">
        <v>153</v>
      </c>
      <c r="AD161" s="4" t="s">
        <v>153</v>
      </c>
      <c r="AE161" s="4" t="s">
        <v>153</v>
      </c>
      <c r="AF161" s="4" t="s">
        <v>153</v>
      </c>
      <c r="AG161" s="4" t="s">
        <v>153</v>
      </c>
      <c r="AH161" s="4" t="s">
        <v>153</v>
      </c>
      <c r="AI161" s="5"/>
      <c r="AJ161" t="s">
        <v>153</v>
      </c>
      <c r="AK161" s="4"/>
      <c r="AL161" t="s">
        <v>153</v>
      </c>
      <c r="AM161" t="s">
        <v>153</v>
      </c>
      <c r="AO161" t="s">
        <v>153</v>
      </c>
      <c r="AP161" s="4"/>
      <c r="AQ161" t="s">
        <v>153</v>
      </c>
      <c r="AR161" s="5">
        <v>45462</v>
      </c>
      <c r="AS161">
        <v>0</v>
      </c>
      <c r="AT161" s="4" t="s">
        <v>153</v>
      </c>
      <c r="AU161" s="4" t="s">
        <v>153</v>
      </c>
      <c r="AV161" s="4" t="s">
        <v>256</v>
      </c>
      <c r="AW161" t="s">
        <v>153</v>
      </c>
      <c r="AX161" t="s">
        <v>153</v>
      </c>
      <c r="AY161" t="s">
        <v>2157</v>
      </c>
      <c r="AZ161" t="s">
        <v>153</v>
      </c>
      <c r="BA161" t="s">
        <v>153</v>
      </c>
      <c r="BB161" t="s">
        <v>153</v>
      </c>
      <c r="BC161" t="s">
        <v>153</v>
      </c>
      <c r="BD161" s="4" t="s">
        <v>2135</v>
      </c>
      <c r="BE161" s="4" t="s">
        <v>2158</v>
      </c>
      <c r="BF161" t="s">
        <v>242</v>
      </c>
      <c r="BG161" s="4" t="s">
        <v>637</v>
      </c>
      <c r="BH161" t="s">
        <v>153</v>
      </c>
      <c r="BI161" s="4" t="s">
        <v>153</v>
      </c>
      <c r="BJ161" t="s">
        <v>153</v>
      </c>
      <c r="BK161" s="4" t="s">
        <v>153</v>
      </c>
      <c r="BL161" t="s">
        <v>153</v>
      </c>
      <c r="BM161" t="s">
        <v>153</v>
      </c>
      <c r="BN161" s="4" t="s">
        <v>153</v>
      </c>
      <c r="BO161" s="4" t="s">
        <v>153</v>
      </c>
      <c r="BP161" s="4" t="s">
        <v>153</v>
      </c>
      <c r="BQ161" s="4" t="s">
        <v>153</v>
      </c>
      <c r="BR161" s="4" t="s">
        <v>153</v>
      </c>
      <c r="BS161" s="4" t="s">
        <v>153</v>
      </c>
      <c r="BT161" s="4" t="s">
        <v>153</v>
      </c>
      <c r="BU161" s="4" t="s">
        <v>153</v>
      </c>
      <c r="BV161" s="4"/>
      <c r="BW161" s="4" t="s">
        <v>153</v>
      </c>
      <c r="BX161" s="4" t="s">
        <v>153</v>
      </c>
      <c r="BY161" s="4" t="s">
        <v>153</v>
      </c>
      <c r="BZ161" s="4" t="s">
        <v>153</v>
      </c>
      <c r="CA161" s="4" t="s">
        <v>153</v>
      </c>
      <c r="CB161" s="4"/>
      <c r="CC161" s="4" t="s">
        <v>153</v>
      </c>
      <c r="CD161" t="s">
        <v>153</v>
      </c>
      <c r="CE161" s="4" t="s">
        <v>153</v>
      </c>
      <c r="CF161" s="4" t="s">
        <v>153</v>
      </c>
      <c r="CG161" s="4" t="s">
        <v>153</v>
      </c>
      <c r="CH161" s="5"/>
      <c r="CI161" t="s">
        <v>153</v>
      </c>
      <c r="CJ161" s="4"/>
      <c r="CK161" t="s">
        <v>153</v>
      </c>
      <c r="CL161" t="s">
        <v>153</v>
      </c>
      <c r="CM161" t="s">
        <v>153</v>
      </c>
      <c r="CN161" t="s">
        <v>153</v>
      </c>
      <c r="CO161" s="5"/>
      <c r="CP161" s="4" t="s">
        <v>153</v>
      </c>
      <c r="CQ161" s="4" t="s">
        <v>153</v>
      </c>
      <c r="CR161" t="s">
        <v>153</v>
      </c>
      <c r="CS161" t="s">
        <v>153</v>
      </c>
      <c r="CT161" t="s">
        <v>153</v>
      </c>
      <c r="CU161" t="s">
        <v>153</v>
      </c>
      <c r="CV161" t="s">
        <v>153</v>
      </c>
      <c r="CW161" t="s">
        <v>153</v>
      </c>
      <c r="CX161" t="s">
        <v>153</v>
      </c>
      <c r="CY161" t="s">
        <v>153</v>
      </c>
      <c r="CZ161" t="s">
        <v>153</v>
      </c>
      <c r="DA161" t="s">
        <v>153</v>
      </c>
      <c r="DB161" t="s">
        <v>153</v>
      </c>
      <c r="DC161" t="s">
        <v>153</v>
      </c>
      <c r="DD161" t="s">
        <v>153</v>
      </c>
      <c r="DE161" t="s">
        <v>153</v>
      </c>
      <c r="DF161" t="s">
        <v>153</v>
      </c>
      <c r="DG161" t="s">
        <v>153</v>
      </c>
      <c r="DI161" t="s">
        <v>153</v>
      </c>
      <c r="DJ161" t="s">
        <v>153</v>
      </c>
      <c r="DK161" t="s">
        <v>153</v>
      </c>
      <c r="DL161" t="s">
        <v>153</v>
      </c>
      <c r="DN161" t="s">
        <v>153</v>
      </c>
      <c r="DO161" t="s">
        <v>153</v>
      </c>
      <c r="DP161" t="s">
        <v>153</v>
      </c>
      <c r="DQ161" t="s">
        <v>153</v>
      </c>
      <c r="DR161" t="s">
        <v>153</v>
      </c>
      <c r="DS161" t="s">
        <v>153</v>
      </c>
      <c r="DT161" t="s">
        <v>153</v>
      </c>
      <c r="DU161" t="s">
        <v>153</v>
      </c>
      <c r="DV161" t="s">
        <v>153</v>
      </c>
      <c r="DW161" t="s">
        <v>153</v>
      </c>
      <c r="DX161" s="2"/>
      <c r="DY161" t="s">
        <v>153</v>
      </c>
      <c r="DZ161" t="s">
        <v>153</v>
      </c>
      <c r="EA161" t="s">
        <v>153</v>
      </c>
      <c r="EB161" t="s">
        <v>153</v>
      </c>
      <c r="EC161" t="s">
        <v>153</v>
      </c>
      <c r="ED161" t="s">
        <v>153</v>
      </c>
      <c r="EE161" t="s">
        <v>153</v>
      </c>
      <c r="EF161" t="s">
        <v>153</v>
      </c>
      <c r="EH161" t="s">
        <v>153</v>
      </c>
      <c r="EI161" t="s">
        <v>153</v>
      </c>
      <c r="EJ161" t="s">
        <v>153</v>
      </c>
      <c r="EK161" t="s">
        <v>153</v>
      </c>
      <c r="EM161" t="s">
        <v>153</v>
      </c>
      <c r="EN161" t="s">
        <v>153</v>
      </c>
      <c r="EP161" s="4" t="s">
        <v>153</v>
      </c>
      <c r="EQ161" s="4" t="s">
        <v>153</v>
      </c>
      <c r="ER161" s="4" t="s">
        <v>153</v>
      </c>
      <c r="ES161" s="4" t="s">
        <v>153</v>
      </c>
      <c r="ET161" t="s">
        <v>153</v>
      </c>
      <c r="EU161" t="s">
        <v>2137</v>
      </c>
      <c r="EV161" t="s">
        <v>2138</v>
      </c>
      <c r="EW161">
        <v>1236952266</v>
      </c>
      <c r="EX161" t="s">
        <v>2139</v>
      </c>
    </row>
    <row r="162" spans="1:154" x14ac:dyDescent="0.25">
      <c r="A162" s="3">
        <v>45462.630613425928</v>
      </c>
      <c r="B162" s="4" t="s">
        <v>153</v>
      </c>
      <c r="C162" s="4" t="s">
        <v>822</v>
      </c>
      <c r="D162" s="4" t="s">
        <v>823</v>
      </c>
      <c r="E162" s="4" t="s">
        <v>824</v>
      </c>
      <c r="F162" s="4" t="s">
        <v>825</v>
      </c>
      <c r="G162" s="4" t="s">
        <v>252</v>
      </c>
      <c r="H162" s="4" t="s">
        <v>826</v>
      </c>
      <c r="I162" s="4" t="s">
        <v>2159</v>
      </c>
      <c r="J162" s="4" t="s">
        <v>2160</v>
      </c>
      <c r="K162" s="5"/>
      <c r="L162" s="4" t="s">
        <v>153</v>
      </c>
      <c r="M162" s="4" t="s">
        <v>153</v>
      </c>
      <c r="N162" s="4" t="s">
        <v>153</v>
      </c>
      <c r="O162" s="4" t="s">
        <v>153</v>
      </c>
      <c r="P162" s="4" t="s">
        <v>153</v>
      </c>
      <c r="Q162" s="4" t="s">
        <v>153</v>
      </c>
      <c r="R162" s="4" t="s">
        <v>153</v>
      </c>
      <c r="S162" s="4" t="s">
        <v>153</v>
      </c>
      <c r="T162" s="4" t="s">
        <v>153</v>
      </c>
      <c r="U162" s="4" t="s">
        <v>153</v>
      </c>
      <c r="V162" s="4" t="s">
        <v>153</v>
      </c>
      <c r="W162" s="4" t="s">
        <v>153</v>
      </c>
      <c r="X162" s="4" t="s">
        <v>153</v>
      </c>
      <c r="Y162" s="4" t="s">
        <v>153</v>
      </c>
      <c r="Z162" s="4" t="s">
        <v>153</v>
      </c>
      <c r="AA162" s="4" t="s">
        <v>153</v>
      </c>
      <c r="AB162" s="4" t="s">
        <v>153</v>
      </c>
      <c r="AC162" s="4" t="s">
        <v>153</v>
      </c>
      <c r="AD162" s="4" t="s">
        <v>153</v>
      </c>
      <c r="AE162" s="4" t="s">
        <v>153</v>
      </c>
      <c r="AF162" s="4" t="s">
        <v>153</v>
      </c>
      <c r="AG162" s="4" t="s">
        <v>153</v>
      </c>
      <c r="AH162" s="4" t="s">
        <v>153</v>
      </c>
      <c r="AI162" s="5"/>
      <c r="AJ162" t="s">
        <v>153</v>
      </c>
      <c r="AK162" s="4"/>
      <c r="AL162" t="s">
        <v>153</v>
      </c>
      <c r="AM162" t="s">
        <v>153</v>
      </c>
      <c r="AO162" t="s">
        <v>153</v>
      </c>
      <c r="AP162" s="4"/>
      <c r="AQ162" t="s">
        <v>153</v>
      </c>
      <c r="AR162" s="5">
        <v>45443</v>
      </c>
      <c r="AS162">
        <v>1</v>
      </c>
      <c r="AT162" s="4" t="s">
        <v>2161</v>
      </c>
      <c r="AU162" s="4" t="s">
        <v>2162</v>
      </c>
      <c r="AV162" s="4" t="s">
        <v>359</v>
      </c>
      <c r="AW162" t="s">
        <v>153</v>
      </c>
      <c r="AX162" t="s">
        <v>153</v>
      </c>
      <c r="AY162" t="s">
        <v>153</v>
      </c>
      <c r="AZ162" t="s">
        <v>2163</v>
      </c>
      <c r="BA162" t="s">
        <v>153</v>
      </c>
      <c r="BB162" t="s">
        <v>153</v>
      </c>
      <c r="BC162" t="s">
        <v>153</v>
      </c>
      <c r="BD162" s="4" t="s">
        <v>2164</v>
      </c>
      <c r="BE162" s="4" t="s">
        <v>2165</v>
      </c>
      <c r="BF162" t="s">
        <v>242</v>
      </c>
      <c r="BG162" s="4" t="s">
        <v>2166</v>
      </c>
      <c r="BH162" t="s">
        <v>153</v>
      </c>
      <c r="BI162" s="4" t="s">
        <v>153</v>
      </c>
      <c r="BJ162" t="s">
        <v>153</v>
      </c>
      <c r="BK162" s="4" t="s">
        <v>153</v>
      </c>
      <c r="BL162" t="s">
        <v>153</v>
      </c>
      <c r="BM162" t="s">
        <v>153</v>
      </c>
      <c r="BN162" s="4" t="s">
        <v>153</v>
      </c>
      <c r="BO162" s="4" t="s">
        <v>153</v>
      </c>
      <c r="BP162" s="4" t="s">
        <v>153</v>
      </c>
      <c r="BQ162" s="4" t="s">
        <v>153</v>
      </c>
      <c r="BR162" s="4" t="s">
        <v>153</v>
      </c>
      <c r="BS162" s="4" t="s">
        <v>153</v>
      </c>
      <c r="BT162" s="4" t="s">
        <v>153</v>
      </c>
      <c r="BU162" s="4" t="s">
        <v>153</v>
      </c>
      <c r="BV162" s="4"/>
      <c r="BW162" s="4" t="s">
        <v>153</v>
      </c>
      <c r="BX162" s="4" t="s">
        <v>153</v>
      </c>
      <c r="BY162" s="4" t="s">
        <v>153</v>
      </c>
      <c r="BZ162" s="4" t="s">
        <v>153</v>
      </c>
      <c r="CA162" s="4" t="s">
        <v>153</v>
      </c>
      <c r="CB162" s="4"/>
      <c r="CC162" s="4" t="s">
        <v>153</v>
      </c>
      <c r="CD162" t="s">
        <v>153</v>
      </c>
      <c r="CE162" s="4" t="s">
        <v>153</v>
      </c>
      <c r="CF162" s="4" t="s">
        <v>153</v>
      </c>
      <c r="CG162" s="4" t="s">
        <v>153</v>
      </c>
      <c r="CH162" s="5"/>
      <c r="CI162" t="s">
        <v>153</v>
      </c>
      <c r="CJ162" s="4"/>
      <c r="CK162" t="s">
        <v>153</v>
      </c>
      <c r="CL162" t="s">
        <v>153</v>
      </c>
      <c r="CM162" t="s">
        <v>153</v>
      </c>
      <c r="CN162" t="s">
        <v>153</v>
      </c>
      <c r="CO162" s="5"/>
      <c r="CP162" s="4" t="s">
        <v>153</v>
      </c>
      <c r="CQ162" s="4" t="s">
        <v>153</v>
      </c>
      <c r="CR162" t="s">
        <v>153</v>
      </c>
      <c r="CS162" t="s">
        <v>153</v>
      </c>
      <c r="CT162" t="s">
        <v>153</v>
      </c>
      <c r="CU162" t="s">
        <v>153</v>
      </c>
      <c r="CV162" t="s">
        <v>153</v>
      </c>
      <c r="CW162" t="s">
        <v>153</v>
      </c>
      <c r="CX162" t="s">
        <v>153</v>
      </c>
      <c r="CY162" t="s">
        <v>153</v>
      </c>
      <c r="CZ162" t="s">
        <v>153</v>
      </c>
      <c r="DA162" t="s">
        <v>153</v>
      </c>
      <c r="DB162" t="s">
        <v>153</v>
      </c>
      <c r="DC162" t="s">
        <v>153</v>
      </c>
      <c r="DD162" t="s">
        <v>153</v>
      </c>
      <c r="DE162" t="s">
        <v>153</v>
      </c>
      <c r="DF162" t="s">
        <v>153</v>
      </c>
      <c r="DG162" t="s">
        <v>153</v>
      </c>
      <c r="DI162" t="s">
        <v>153</v>
      </c>
      <c r="DJ162" t="s">
        <v>153</v>
      </c>
      <c r="DK162" t="s">
        <v>153</v>
      </c>
      <c r="DL162" t="s">
        <v>153</v>
      </c>
      <c r="DN162" t="s">
        <v>153</v>
      </c>
      <c r="DO162" t="s">
        <v>153</v>
      </c>
      <c r="DP162" t="s">
        <v>153</v>
      </c>
      <c r="DQ162" t="s">
        <v>153</v>
      </c>
      <c r="DR162" t="s">
        <v>153</v>
      </c>
      <c r="DS162" t="s">
        <v>153</v>
      </c>
      <c r="DT162" t="s">
        <v>153</v>
      </c>
      <c r="DU162" t="s">
        <v>153</v>
      </c>
      <c r="DV162" t="s">
        <v>153</v>
      </c>
      <c r="DW162" t="s">
        <v>153</v>
      </c>
      <c r="DX162" s="2"/>
      <c r="DY162" t="s">
        <v>153</v>
      </c>
      <c r="DZ162" t="s">
        <v>153</v>
      </c>
      <c r="EA162" t="s">
        <v>153</v>
      </c>
      <c r="EB162" t="s">
        <v>153</v>
      </c>
      <c r="EC162" t="s">
        <v>153</v>
      </c>
      <c r="ED162" t="s">
        <v>153</v>
      </c>
      <c r="EE162" t="s">
        <v>153</v>
      </c>
      <c r="EF162" t="s">
        <v>153</v>
      </c>
      <c r="EH162" t="s">
        <v>153</v>
      </c>
      <c r="EI162" t="s">
        <v>153</v>
      </c>
      <c r="EJ162" t="s">
        <v>153</v>
      </c>
      <c r="EK162" t="s">
        <v>153</v>
      </c>
      <c r="EM162" t="s">
        <v>153</v>
      </c>
      <c r="EN162" t="s">
        <v>153</v>
      </c>
      <c r="EP162" s="4" t="s">
        <v>153</v>
      </c>
      <c r="EQ162" s="4" t="s">
        <v>153</v>
      </c>
      <c r="ER162" s="4" t="s">
        <v>153</v>
      </c>
      <c r="ES162" s="4" t="s">
        <v>153</v>
      </c>
      <c r="ET162" t="s">
        <v>2167</v>
      </c>
      <c r="EU162" t="s">
        <v>2168</v>
      </c>
      <c r="EV162" t="s">
        <v>845</v>
      </c>
      <c r="EW162">
        <v>1237030287</v>
      </c>
      <c r="EX162" t="s">
        <v>2096</v>
      </c>
    </row>
    <row r="163" spans="1:154" x14ac:dyDescent="0.25">
      <c r="A163" s="3">
        <v>45462.824004629627</v>
      </c>
      <c r="B163" s="4" t="s">
        <v>153</v>
      </c>
      <c r="C163" s="4" t="s">
        <v>822</v>
      </c>
      <c r="D163" s="4" t="s">
        <v>823</v>
      </c>
      <c r="E163" s="4" t="s">
        <v>824</v>
      </c>
      <c r="F163" s="4" t="s">
        <v>825</v>
      </c>
      <c r="G163" s="4" t="s">
        <v>185</v>
      </c>
      <c r="H163" s="4" t="s">
        <v>826</v>
      </c>
      <c r="I163" s="4" t="s">
        <v>2169</v>
      </c>
      <c r="J163" s="4" t="s">
        <v>153</v>
      </c>
      <c r="K163" s="5"/>
      <c r="L163" s="4" t="s">
        <v>153</v>
      </c>
      <c r="M163" s="4" t="s">
        <v>2170</v>
      </c>
      <c r="N163" s="4" t="s">
        <v>1296</v>
      </c>
      <c r="O163" s="4" t="s">
        <v>562</v>
      </c>
      <c r="P163" s="4" t="s">
        <v>2171</v>
      </c>
      <c r="Q163" s="4" t="s">
        <v>294</v>
      </c>
      <c r="R163" s="4" t="s">
        <v>191</v>
      </c>
      <c r="S163" s="4" t="s">
        <v>2172</v>
      </c>
      <c r="T163" s="4" t="s">
        <v>153</v>
      </c>
      <c r="U163" s="4" t="s">
        <v>2173</v>
      </c>
      <c r="V163" s="4" t="s">
        <v>153</v>
      </c>
      <c r="W163" s="4" t="s">
        <v>530</v>
      </c>
      <c r="X163" s="4" t="s">
        <v>347</v>
      </c>
      <c r="Y163" s="4" t="s">
        <v>2174</v>
      </c>
      <c r="Z163" s="4" t="s">
        <v>197</v>
      </c>
      <c r="AA163" s="4" t="s">
        <v>2175</v>
      </c>
      <c r="AB163" s="4" t="s">
        <v>153</v>
      </c>
      <c r="AC163" s="4" t="s">
        <v>2176</v>
      </c>
      <c r="AD163" s="4" t="s">
        <v>347</v>
      </c>
      <c r="AE163" s="4" t="s">
        <v>2177</v>
      </c>
      <c r="AF163" s="4" t="s">
        <v>2178</v>
      </c>
      <c r="AG163" s="4" t="s">
        <v>2179</v>
      </c>
      <c r="AH163" s="4" t="s">
        <v>2180</v>
      </c>
      <c r="AI163" s="5">
        <v>45431</v>
      </c>
      <c r="AJ163" t="s">
        <v>2181</v>
      </c>
      <c r="AK163" s="4">
        <v>20</v>
      </c>
      <c r="AL163" t="s">
        <v>1121</v>
      </c>
      <c r="AM163" t="s">
        <v>153</v>
      </c>
      <c r="AO163" t="s">
        <v>153</v>
      </c>
      <c r="AP163" s="4"/>
      <c r="AQ163" t="s">
        <v>153</v>
      </c>
      <c r="AR163" s="5"/>
      <c r="AT163" s="4" t="s">
        <v>153</v>
      </c>
      <c r="AU163" s="4" t="s">
        <v>153</v>
      </c>
      <c r="AV163" s="4" t="s">
        <v>153</v>
      </c>
      <c r="AW163" t="s">
        <v>153</v>
      </c>
      <c r="AX163" t="s">
        <v>153</v>
      </c>
      <c r="AY163" t="s">
        <v>153</v>
      </c>
      <c r="AZ163" t="s">
        <v>153</v>
      </c>
      <c r="BA163" t="s">
        <v>153</v>
      </c>
      <c r="BB163" t="s">
        <v>153</v>
      </c>
      <c r="BC163" t="s">
        <v>153</v>
      </c>
      <c r="BD163" s="4" t="s">
        <v>153</v>
      </c>
      <c r="BE163" s="4" t="s">
        <v>153</v>
      </c>
      <c r="BF163" t="s">
        <v>153</v>
      </c>
      <c r="BG163" s="4" t="s">
        <v>153</v>
      </c>
      <c r="BH163" t="s">
        <v>153</v>
      </c>
      <c r="BI163" s="4" t="s">
        <v>153</v>
      </c>
      <c r="BJ163" t="s">
        <v>153</v>
      </c>
      <c r="BK163" s="4" t="s">
        <v>153</v>
      </c>
      <c r="BL163" t="s">
        <v>153</v>
      </c>
      <c r="BM163" t="s">
        <v>153</v>
      </c>
      <c r="BN163" s="4" t="s">
        <v>153</v>
      </c>
      <c r="BO163" s="4" t="s">
        <v>153</v>
      </c>
      <c r="BP163" s="4" t="s">
        <v>153</v>
      </c>
      <c r="BQ163" s="4" t="s">
        <v>153</v>
      </c>
      <c r="BR163" s="4" t="s">
        <v>153</v>
      </c>
      <c r="BS163" s="4" t="s">
        <v>153</v>
      </c>
      <c r="BT163" s="4" t="s">
        <v>153</v>
      </c>
      <c r="BU163" s="4" t="s">
        <v>153</v>
      </c>
      <c r="BV163" s="4"/>
      <c r="BW163" s="4" t="s">
        <v>153</v>
      </c>
      <c r="BX163" s="4" t="s">
        <v>153</v>
      </c>
      <c r="BY163" s="4" t="s">
        <v>153</v>
      </c>
      <c r="BZ163" s="4" t="s">
        <v>153</v>
      </c>
      <c r="CA163" s="4" t="s">
        <v>153</v>
      </c>
      <c r="CB163" s="4"/>
      <c r="CC163" s="4" t="s">
        <v>153</v>
      </c>
      <c r="CD163" t="s">
        <v>153</v>
      </c>
      <c r="CE163" s="4" t="s">
        <v>153</v>
      </c>
      <c r="CF163" s="4" t="s">
        <v>153</v>
      </c>
      <c r="CG163" s="4" t="s">
        <v>153</v>
      </c>
      <c r="CH163" s="5"/>
      <c r="CI163" t="s">
        <v>153</v>
      </c>
      <c r="CJ163" s="4"/>
      <c r="CK163" t="s">
        <v>153</v>
      </c>
      <c r="CL163" t="s">
        <v>153</v>
      </c>
      <c r="CM163" t="s">
        <v>153</v>
      </c>
      <c r="CN163" t="s">
        <v>153</v>
      </c>
      <c r="CO163" s="5"/>
      <c r="CP163" s="4" t="s">
        <v>153</v>
      </c>
      <c r="CQ163" s="4" t="s">
        <v>153</v>
      </c>
      <c r="CR163" t="s">
        <v>153</v>
      </c>
      <c r="CS163" t="s">
        <v>153</v>
      </c>
      <c r="CT163" t="s">
        <v>153</v>
      </c>
      <c r="CU163" t="s">
        <v>153</v>
      </c>
      <c r="CV163" t="s">
        <v>153</v>
      </c>
      <c r="CW163" t="s">
        <v>153</v>
      </c>
      <c r="CX163" t="s">
        <v>153</v>
      </c>
      <c r="CY163" t="s">
        <v>153</v>
      </c>
      <c r="CZ163" t="s">
        <v>153</v>
      </c>
      <c r="DA163" t="s">
        <v>153</v>
      </c>
      <c r="DB163" t="s">
        <v>153</v>
      </c>
      <c r="DC163" t="s">
        <v>153</v>
      </c>
      <c r="DD163" t="s">
        <v>153</v>
      </c>
      <c r="DE163" t="s">
        <v>153</v>
      </c>
      <c r="DF163" t="s">
        <v>153</v>
      </c>
      <c r="DG163" t="s">
        <v>153</v>
      </c>
      <c r="DI163" t="s">
        <v>153</v>
      </c>
      <c r="DJ163" t="s">
        <v>153</v>
      </c>
      <c r="DK163" t="s">
        <v>153</v>
      </c>
      <c r="DL163" t="s">
        <v>153</v>
      </c>
      <c r="DN163" t="s">
        <v>153</v>
      </c>
      <c r="DO163" t="s">
        <v>153</v>
      </c>
      <c r="DP163" t="s">
        <v>153</v>
      </c>
      <c r="DQ163" t="s">
        <v>153</v>
      </c>
      <c r="DR163" t="s">
        <v>153</v>
      </c>
      <c r="DS163" t="s">
        <v>153</v>
      </c>
      <c r="DT163" t="s">
        <v>153</v>
      </c>
      <c r="DU163" t="s">
        <v>153</v>
      </c>
      <c r="DV163" t="s">
        <v>153</v>
      </c>
      <c r="DW163" t="s">
        <v>153</v>
      </c>
      <c r="DX163" s="2"/>
      <c r="DY163" t="s">
        <v>153</v>
      </c>
      <c r="DZ163" t="s">
        <v>153</v>
      </c>
      <c r="EA163" t="s">
        <v>153</v>
      </c>
      <c r="EB163" t="s">
        <v>153</v>
      </c>
      <c r="EC163" t="s">
        <v>153</v>
      </c>
      <c r="ED163" t="s">
        <v>153</v>
      </c>
      <c r="EE163" t="s">
        <v>153</v>
      </c>
      <c r="EF163" t="s">
        <v>153</v>
      </c>
      <c r="EH163" t="s">
        <v>153</v>
      </c>
      <c r="EI163" t="s">
        <v>153</v>
      </c>
      <c r="EJ163" t="s">
        <v>153</v>
      </c>
      <c r="EK163" t="s">
        <v>153</v>
      </c>
      <c r="EM163" t="s">
        <v>153</v>
      </c>
      <c r="EN163" t="s">
        <v>153</v>
      </c>
      <c r="EP163" s="4" t="s">
        <v>242</v>
      </c>
      <c r="EQ163" s="4" t="s">
        <v>153</v>
      </c>
      <c r="ER163" s="4" t="s">
        <v>191</v>
      </c>
      <c r="ES163" s="4" t="s">
        <v>153</v>
      </c>
      <c r="ET163" t="s">
        <v>2182</v>
      </c>
      <c r="EU163" t="s">
        <v>2168</v>
      </c>
      <c r="EV163" t="s">
        <v>845</v>
      </c>
      <c r="EW163">
        <v>1237107238</v>
      </c>
      <c r="EX163" t="s">
        <v>2096</v>
      </c>
    </row>
    <row r="164" spans="1:154" x14ac:dyDescent="0.25">
      <c r="A164" s="3">
        <v>45463.380810185183</v>
      </c>
      <c r="B164" s="4" t="s">
        <v>153</v>
      </c>
      <c r="C164" s="4" t="s">
        <v>1007</v>
      </c>
      <c r="D164" s="4" t="s">
        <v>2131</v>
      </c>
      <c r="E164" s="4" t="s">
        <v>628</v>
      </c>
      <c r="F164" s="4" t="s">
        <v>2132</v>
      </c>
      <c r="G164" s="4" t="s">
        <v>948</v>
      </c>
      <c r="H164" s="4" t="s">
        <v>630</v>
      </c>
      <c r="I164" s="4" t="s">
        <v>2183</v>
      </c>
      <c r="J164" s="4" t="s">
        <v>153</v>
      </c>
      <c r="K164" s="5">
        <v>45416</v>
      </c>
      <c r="L164" s="4" t="s">
        <v>403</v>
      </c>
      <c r="M164" s="4" t="s">
        <v>2184</v>
      </c>
      <c r="N164" s="4" t="s">
        <v>153</v>
      </c>
      <c r="O164" s="4" t="s">
        <v>2185</v>
      </c>
      <c r="P164" s="4" t="s">
        <v>2186</v>
      </c>
      <c r="Q164" s="4" t="s">
        <v>153</v>
      </c>
      <c r="R164" s="4" t="s">
        <v>153</v>
      </c>
      <c r="S164" s="4" t="s">
        <v>153</v>
      </c>
      <c r="T164" s="4" t="s">
        <v>153</v>
      </c>
      <c r="U164" s="4" t="s">
        <v>153</v>
      </c>
      <c r="V164" s="4" t="s">
        <v>153</v>
      </c>
      <c r="W164" s="4" t="s">
        <v>153</v>
      </c>
      <c r="X164" s="4" t="s">
        <v>153</v>
      </c>
      <c r="Y164" s="4" t="s">
        <v>153</v>
      </c>
      <c r="Z164" s="4" t="s">
        <v>153</v>
      </c>
      <c r="AA164" s="4" t="s">
        <v>2187</v>
      </c>
      <c r="AB164" s="4" t="s">
        <v>153</v>
      </c>
      <c r="AC164" s="4" t="s">
        <v>2188</v>
      </c>
      <c r="AD164" s="4" t="s">
        <v>2151</v>
      </c>
      <c r="AE164" s="4" t="s">
        <v>2189</v>
      </c>
      <c r="AF164" s="4" t="s">
        <v>2190</v>
      </c>
      <c r="AG164" s="4" t="s">
        <v>2191</v>
      </c>
      <c r="AH164" s="4" t="s">
        <v>153</v>
      </c>
      <c r="AI164" s="5"/>
      <c r="AJ164" t="s">
        <v>2192</v>
      </c>
      <c r="AK164" s="4">
        <v>0</v>
      </c>
      <c r="AL164" t="s">
        <v>153</v>
      </c>
      <c r="AM164" t="s">
        <v>414</v>
      </c>
      <c r="AN164">
        <v>60</v>
      </c>
      <c r="AO164" t="s">
        <v>2193</v>
      </c>
      <c r="AP164" s="4">
        <v>872966823</v>
      </c>
      <c r="AQ164" t="s">
        <v>2194</v>
      </c>
      <c r="AR164" s="5"/>
      <c r="AT164" s="4" t="s">
        <v>153</v>
      </c>
      <c r="AU164" s="4" t="s">
        <v>153</v>
      </c>
      <c r="AV164" s="4" t="s">
        <v>153</v>
      </c>
      <c r="AW164" t="s">
        <v>153</v>
      </c>
      <c r="AX164" t="s">
        <v>153</v>
      </c>
      <c r="AY164" t="s">
        <v>153</v>
      </c>
      <c r="AZ164" t="s">
        <v>153</v>
      </c>
      <c r="BA164" t="s">
        <v>153</v>
      </c>
      <c r="BB164" t="s">
        <v>153</v>
      </c>
      <c r="BC164" t="s">
        <v>153</v>
      </c>
      <c r="BD164" s="4" t="s">
        <v>153</v>
      </c>
      <c r="BE164" s="4" t="s">
        <v>153</v>
      </c>
      <c r="BF164" t="s">
        <v>153</v>
      </c>
      <c r="BG164" s="4" t="s">
        <v>153</v>
      </c>
      <c r="BH164" t="s">
        <v>153</v>
      </c>
      <c r="BI164" s="4" t="s">
        <v>153</v>
      </c>
      <c r="BJ164" t="s">
        <v>153</v>
      </c>
      <c r="BK164" s="4" t="s">
        <v>153</v>
      </c>
      <c r="BL164" t="s">
        <v>153</v>
      </c>
      <c r="BM164" t="s">
        <v>153</v>
      </c>
      <c r="BN164" s="4" t="s">
        <v>153</v>
      </c>
      <c r="BO164" s="4" t="s">
        <v>153</v>
      </c>
      <c r="BP164" s="4" t="s">
        <v>153</v>
      </c>
      <c r="BQ164" s="4" t="s">
        <v>153</v>
      </c>
      <c r="BR164" s="4" t="s">
        <v>153</v>
      </c>
      <c r="BS164" s="4" t="s">
        <v>153</v>
      </c>
      <c r="BT164" s="4" t="s">
        <v>153</v>
      </c>
      <c r="BU164" s="4" t="s">
        <v>153</v>
      </c>
      <c r="BV164" s="4"/>
      <c r="BW164" s="4" t="s">
        <v>153</v>
      </c>
      <c r="BX164" s="4" t="s">
        <v>153</v>
      </c>
      <c r="BY164" s="4" t="s">
        <v>153</v>
      </c>
      <c r="BZ164" s="4" t="s">
        <v>153</v>
      </c>
      <c r="CA164" s="4" t="s">
        <v>153</v>
      </c>
      <c r="CB164" s="4"/>
      <c r="CC164" s="4" t="s">
        <v>153</v>
      </c>
      <c r="CD164" t="s">
        <v>153</v>
      </c>
      <c r="CE164" s="4" t="s">
        <v>153</v>
      </c>
      <c r="CF164" s="4" t="s">
        <v>153</v>
      </c>
      <c r="CG164" s="4" t="s">
        <v>153</v>
      </c>
      <c r="CH164" s="5"/>
      <c r="CI164" t="s">
        <v>153</v>
      </c>
      <c r="CJ164" s="4"/>
      <c r="CK164" t="s">
        <v>153</v>
      </c>
      <c r="CL164" t="s">
        <v>153</v>
      </c>
      <c r="CM164" t="s">
        <v>153</v>
      </c>
      <c r="CN164" t="s">
        <v>153</v>
      </c>
      <c r="CO164" s="5"/>
      <c r="CP164" s="4" t="s">
        <v>153</v>
      </c>
      <c r="CQ164" s="4" t="s">
        <v>153</v>
      </c>
      <c r="CR164" t="s">
        <v>153</v>
      </c>
      <c r="CS164" t="s">
        <v>153</v>
      </c>
      <c r="CT164" t="s">
        <v>153</v>
      </c>
      <c r="CU164" t="s">
        <v>153</v>
      </c>
      <c r="CV164" t="s">
        <v>153</v>
      </c>
      <c r="CW164" t="s">
        <v>153</v>
      </c>
      <c r="CX164" t="s">
        <v>153</v>
      </c>
      <c r="CY164" t="s">
        <v>153</v>
      </c>
      <c r="CZ164" t="s">
        <v>153</v>
      </c>
      <c r="DA164" t="s">
        <v>153</v>
      </c>
      <c r="DB164" t="s">
        <v>153</v>
      </c>
      <c r="DC164" t="s">
        <v>153</v>
      </c>
      <c r="DD164" t="s">
        <v>153</v>
      </c>
      <c r="DE164" t="s">
        <v>153</v>
      </c>
      <c r="DF164" t="s">
        <v>153</v>
      </c>
      <c r="DG164" t="s">
        <v>153</v>
      </c>
      <c r="DI164" t="s">
        <v>153</v>
      </c>
      <c r="DJ164" t="s">
        <v>153</v>
      </c>
      <c r="DK164" t="s">
        <v>153</v>
      </c>
      <c r="DL164" t="s">
        <v>153</v>
      </c>
      <c r="DN164" t="s">
        <v>153</v>
      </c>
      <c r="DO164" t="s">
        <v>153</v>
      </c>
      <c r="DP164" t="s">
        <v>153</v>
      </c>
      <c r="DQ164" t="s">
        <v>153</v>
      </c>
      <c r="DR164" t="s">
        <v>153</v>
      </c>
      <c r="DS164" t="s">
        <v>153</v>
      </c>
      <c r="DT164" t="s">
        <v>153</v>
      </c>
      <c r="DU164" t="s">
        <v>153</v>
      </c>
      <c r="DV164" t="s">
        <v>153</v>
      </c>
      <c r="DW164" t="s">
        <v>153</v>
      </c>
      <c r="DX164" s="2"/>
      <c r="DY164" t="s">
        <v>153</v>
      </c>
      <c r="DZ164" t="s">
        <v>153</v>
      </c>
      <c r="EA164" t="s">
        <v>153</v>
      </c>
      <c r="EB164" t="s">
        <v>153</v>
      </c>
      <c r="EC164" t="s">
        <v>153</v>
      </c>
      <c r="ED164" t="s">
        <v>153</v>
      </c>
      <c r="EE164" t="s">
        <v>153</v>
      </c>
      <c r="EF164" t="s">
        <v>153</v>
      </c>
      <c r="EH164" t="s">
        <v>153</v>
      </c>
      <c r="EI164" t="s">
        <v>153</v>
      </c>
      <c r="EJ164" t="s">
        <v>153</v>
      </c>
      <c r="EK164" t="s">
        <v>153</v>
      </c>
      <c r="EM164" t="s">
        <v>153</v>
      </c>
      <c r="EN164" t="s">
        <v>153</v>
      </c>
      <c r="EP164" s="4" t="s">
        <v>153</v>
      </c>
      <c r="EQ164" s="4" t="s">
        <v>153</v>
      </c>
      <c r="ER164" s="4" t="s">
        <v>191</v>
      </c>
      <c r="ES164" s="4" t="s">
        <v>153</v>
      </c>
      <c r="ET164" t="s">
        <v>153</v>
      </c>
      <c r="EU164" t="s">
        <v>2137</v>
      </c>
      <c r="EV164" t="s">
        <v>2138</v>
      </c>
      <c r="EW164">
        <v>1237235085</v>
      </c>
      <c r="EX164" t="s">
        <v>2139</v>
      </c>
    </row>
    <row r="165" spans="1:154" x14ac:dyDescent="0.25">
      <c r="A165" s="3">
        <v>45470.436168981483</v>
      </c>
      <c r="B165" s="4" t="s">
        <v>153</v>
      </c>
      <c r="C165" s="4" t="s">
        <v>1363</v>
      </c>
      <c r="D165" s="4" t="s">
        <v>1364</v>
      </c>
      <c r="E165" s="4" t="s">
        <v>1365</v>
      </c>
      <c r="F165" s="4" t="s">
        <v>1366</v>
      </c>
      <c r="G165" s="4" t="s">
        <v>948</v>
      </c>
      <c r="H165" s="4" t="s">
        <v>793</v>
      </c>
      <c r="I165" s="4" t="s">
        <v>2195</v>
      </c>
      <c r="J165" s="4" t="s">
        <v>2196</v>
      </c>
      <c r="K165" s="5">
        <v>45386</v>
      </c>
      <c r="L165" s="4" t="s">
        <v>1312</v>
      </c>
      <c r="M165" s="4" t="s">
        <v>2195</v>
      </c>
      <c r="N165" s="4" t="s">
        <v>2195</v>
      </c>
      <c r="O165" s="4" t="s">
        <v>2197</v>
      </c>
      <c r="P165" s="4" t="s">
        <v>2198</v>
      </c>
      <c r="Q165" s="4" t="s">
        <v>153</v>
      </c>
      <c r="R165" s="4" t="s">
        <v>666</v>
      </c>
      <c r="S165" s="4" t="s">
        <v>153</v>
      </c>
      <c r="T165" s="4" t="s">
        <v>2199</v>
      </c>
      <c r="U165" s="4" t="s">
        <v>2200</v>
      </c>
      <c r="V165" s="4" t="s">
        <v>153</v>
      </c>
      <c r="W165" s="4" t="s">
        <v>1546</v>
      </c>
      <c r="X165" s="4" t="s">
        <v>2114</v>
      </c>
      <c r="Y165" s="4" t="s">
        <v>2201</v>
      </c>
      <c r="Z165" s="4" t="s">
        <v>197</v>
      </c>
      <c r="AA165" s="4" t="s">
        <v>2200</v>
      </c>
      <c r="AB165" s="4" t="s">
        <v>153</v>
      </c>
      <c r="AC165" s="4" t="s">
        <v>1546</v>
      </c>
      <c r="AD165" s="4" t="s">
        <v>2114</v>
      </c>
      <c r="AE165" s="4" t="s">
        <v>2201</v>
      </c>
      <c r="AF165" s="4" t="s">
        <v>2202</v>
      </c>
      <c r="AG165" s="4" t="s">
        <v>2203</v>
      </c>
      <c r="AH165" s="4" t="s">
        <v>153</v>
      </c>
      <c r="AI165" s="5"/>
      <c r="AJ165" t="s">
        <v>1523</v>
      </c>
      <c r="AK165" s="4">
        <v>5</v>
      </c>
      <c r="AL165" t="s">
        <v>153</v>
      </c>
      <c r="AM165" t="s">
        <v>153</v>
      </c>
      <c r="AO165" t="s">
        <v>153</v>
      </c>
      <c r="AP165" s="4"/>
      <c r="AQ165" t="s">
        <v>153</v>
      </c>
      <c r="AR165" s="5"/>
      <c r="AT165" s="4" t="s">
        <v>153</v>
      </c>
      <c r="AU165" s="4" t="s">
        <v>153</v>
      </c>
      <c r="AV165" s="4" t="s">
        <v>153</v>
      </c>
      <c r="AW165" t="s">
        <v>153</v>
      </c>
      <c r="AX165" t="s">
        <v>153</v>
      </c>
      <c r="AY165" t="s">
        <v>153</v>
      </c>
      <c r="AZ165" t="s">
        <v>153</v>
      </c>
      <c r="BA165" t="s">
        <v>153</v>
      </c>
      <c r="BB165" t="s">
        <v>153</v>
      </c>
      <c r="BC165" t="s">
        <v>153</v>
      </c>
      <c r="BD165" s="4" t="s">
        <v>153</v>
      </c>
      <c r="BE165" s="4" t="s">
        <v>153</v>
      </c>
      <c r="BF165" t="s">
        <v>153</v>
      </c>
      <c r="BG165" s="4" t="s">
        <v>153</v>
      </c>
      <c r="BH165" t="s">
        <v>153</v>
      </c>
      <c r="BI165" s="4" t="s">
        <v>153</v>
      </c>
      <c r="BJ165" t="s">
        <v>153</v>
      </c>
      <c r="BK165" s="4" t="s">
        <v>153</v>
      </c>
      <c r="BL165" t="s">
        <v>153</v>
      </c>
      <c r="BM165" t="s">
        <v>153</v>
      </c>
      <c r="BN165" s="4" t="s">
        <v>153</v>
      </c>
      <c r="BO165" s="4" t="s">
        <v>153</v>
      </c>
      <c r="BP165" s="4" t="s">
        <v>153</v>
      </c>
      <c r="BQ165" s="4" t="s">
        <v>153</v>
      </c>
      <c r="BR165" s="4" t="s">
        <v>153</v>
      </c>
      <c r="BS165" s="4" t="s">
        <v>153</v>
      </c>
      <c r="BT165" s="4" t="s">
        <v>153</v>
      </c>
      <c r="BU165" s="4" t="s">
        <v>153</v>
      </c>
      <c r="BV165" s="4"/>
      <c r="BW165" s="4" t="s">
        <v>153</v>
      </c>
      <c r="BX165" s="4" t="s">
        <v>153</v>
      </c>
      <c r="BY165" s="4" t="s">
        <v>153</v>
      </c>
      <c r="BZ165" s="4" t="s">
        <v>153</v>
      </c>
      <c r="CA165" s="4" t="s">
        <v>153</v>
      </c>
      <c r="CB165" s="4"/>
      <c r="CC165" s="4" t="s">
        <v>153</v>
      </c>
      <c r="CD165" t="s">
        <v>153</v>
      </c>
      <c r="CE165" s="4" t="s">
        <v>153</v>
      </c>
      <c r="CF165" s="4" t="s">
        <v>153</v>
      </c>
      <c r="CG165" s="4" t="s">
        <v>153</v>
      </c>
      <c r="CH165" s="5"/>
      <c r="CI165" t="s">
        <v>153</v>
      </c>
      <c r="CJ165" s="4"/>
      <c r="CK165" t="s">
        <v>153</v>
      </c>
      <c r="CL165" t="s">
        <v>153</v>
      </c>
      <c r="CM165" t="s">
        <v>153</v>
      </c>
      <c r="CN165" t="s">
        <v>153</v>
      </c>
      <c r="CO165" s="5"/>
      <c r="CP165" s="4" t="s">
        <v>153</v>
      </c>
      <c r="CQ165" s="4" t="s">
        <v>153</v>
      </c>
      <c r="CR165" t="s">
        <v>153</v>
      </c>
      <c r="CS165" t="s">
        <v>153</v>
      </c>
      <c r="CT165" t="s">
        <v>153</v>
      </c>
      <c r="CU165" t="s">
        <v>153</v>
      </c>
      <c r="CV165" t="s">
        <v>153</v>
      </c>
      <c r="CW165" t="s">
        <v>153</v>
      </c>
      <c r="CX165" t="s">
        <v>153</v>
      </c>
      <c r="CY165" t="s">
        <v>153</v>
      </c>
      <c r="CZ165" t="s">
        <v>153</v>
      </c>
      <c r="DA165" t="s">
        <v>153</v>
      </c>
      <c r="DB165" t="s">
        <v>153</v>
      </c>
      <c r="DC165" t="s">
        <v>153</v>
      </c>
      <c r="DD165" t="s">
        <v>153</v>
      </c>
      <c r="DE165" t="s">
        <v>153</v>
      </c>
      <c r="DF165" t="s">
        <v>153</v>
      </c>
      <c r="DG165" t="s">
        <v>153</v>
      </c>
      <c r="DI165" t="s">
        <v>153</v>
      </c>
      <c r="DJ165" t="s">
        <v>153</v>
      </c>
      <c r="DK165" t="s">
        <v>153</v>
      </c>
      <c r="DL165" t="s">
        <v>153</v>
      </c>
      <c r="DN165" t="s">
        <v>153</v>
      </c>
      <c r="DO165" t="s">
        <v>153</v>
      </c>
      <c r="DP165" t="s">
        <v>153</v>
      </c>
      <c r="DQ165" t="s">
        <v>153</v>
      </c>
      <c r="DR165" t="s">
        <v>153</v>
      </c>
      <c r="DS165" t="s">
        <v>153</v>
      </c>
      <c r="DT165" t="s">
        <v>153</v>
      </c>
      <c r="DU165" t="s">
        <v>153</v>
      </c>
      <c r="DV165" t="s">
        <v>153</v>
      </c>
      <c r="DW165" t="s">
        <v>153</v>
      </c>
      <c r="DX165" s="2"/>
      <c r="DY165" t="s">
        <v>153</v>
      </c>
      <c r="DZ165" t="s">
        <v>153</v>
      </c>
      <c r="EA165" t="s">
        <v>153</v>
      </c>
      <c r="EB165" t="s">
        <v>153</v>
      </c>
      <c r="EC165" t="s">
        <v>153</v>
      </c>
      <c r="ED165" t="s">
        <v>153</v>
      </c>
      <c r="EE165" t="s">
        <v>153</v>
      </c>
      <c r="EF165" t="s">
        <v>153</v>
      </c>
      <c r="EH165" t="s">
        <v>153</v>
      </c>
      <c r="EI165" t="s">
        <v>153</v>
      </c>
      <c r="EJ165" t="s">
        <v>153</v>
      </c>
      <c r="EK165" t="s">
        <v>153</v>
      </c>
      <c r="EM165" t="s">
        <v>153</v>
      </c>
      <c r="EN165" t="s">
        <v>153</v>
      </c>
      <c r="EP165" s="4" t="s">
        <v>153</v>
      </c>
      <c r="EQ165" s="4" t="s">
        <v>153</v>
      </c>
      <c r="ER165" s="4" t="s">
        <v>243</v>
      </c>
      <c r="ES165" s="4" t="s">
        <v>205</v>
      </c>
      <c r="ET165" t="s">
        <v>2204</v>
      </c>
      <c r="EU165" t="s">
        <v>2137</v>
      </c>
      <c r="EV165" t="s">
        <v>2119</v>
      </c>
      <c r="EW165">
        <v>1239458346</v>
      </c>
      <c r="EX165" t="s">
        <v>2120</v>
      </c>
    </row>
    <row r="166" spans="1:154" x14ac:dyDescent="0.25">
      <c r="A166" s="3">
        <v>45472.624745370369</v>
      </c>
      <c r="B166" s="4" t="s">
        <v>153</v>
      </c>
      <c r="C166" s="4" t="s">
        <v>2205</v>
      </c>
      <c r="D166" s="4" t="s">
        <v>2206</v>
      </c>
      <c r="E166" s="4" t="s">
        <v>1365</v>
      </c>
      <c r="F166" s="4" t="s">
        <v>1366</v>
      </c>
      <c r="G166" s="4" t="s">
        <v>158</v>
      </c>
      <c r="H166" s="4" t="s">
        <v>793</v>
      </c>
      <c r="I166" s="4" t="s">
        <v>153</v>
      </c>
      <c r="J166" s="4" t="s">
        <v>153</v>
      </c>
      <c r="K166" s="5"/>
      <c r="L166" s="4" t="s">
        <v>153</v>
      </c>
      <c r="M166" s="4" t="s">
        <v>153</v>
      </c>
      <c r="N166" s="4" t="s">
        <v>153</v>
      </c>
      <c r="O166" s="4" t="s">
        <v>153</v>
      </c>
      <c r="P166" s="4" t="s">
        <v>153</v>
      </c>
      <c r="Q166" s="4" t="s">
        <v>153</v>
      </c>
      <c r="R166" s="4" t="s">
        <v>153</v>
      </c>
      <c r="S166" s="4" t="s">
        <v>153</v>
      </c>
      <c r="T166" s="4" t="s">
        <v>153</v>
      </c>
      <c r="U166" s="4" t="s">
        <v>153</v>
      </c>
      <c r="V166" s="4" t="s">
        <v>153</v>
      </c>
      <c r="W166" s="4" t="s">
        <v>153</v>
      </c>
      <c r="X166" s="4" t="s">
        <v>153</v>
      </c>
      <c r="Y166" s="4" t="s">
        <v>153</v>
      </c>
      <c r="Z166" s="4" t="s">
        <v>153</v>
      </c>
      <c r="AA166" s="4" t="s">
        <v>153</v>
      </c>
      <c r="AB166" s="4" t="s">
        <v>153</v>
      </c>
      <c r="AC166" s="4" t="s">
        <v>153</v>
      </c>
      <c r="AD166" s="4" t="s">
        <v>153</v>
      </c>
      <c r="AE166" s="4" t="s">
        <v>153</v>
      </c>
      <c r="AF166" s="4" t="s">
        <v>153</v>
      </c>
      <c r="AG166" s="4" t="s">
        <v>153</v>
      </c>
      <c r="AH166" s="4" t="s">
        <v>153</v>
      </c>
      <c r="AI166" s="5"/>
      <c r="AJ166" t="s">
        <v>153</v>
      </c>
      <c r="AK166" s="4"/>
      <c r="AL166" t="s">
        <v>153</v>
      </c>
      <c r="AM166" t="s">
        <v>153</v>
      </c>
      <c r="AO166" t="s">
        <v>153</v>
      </c>
      <c r="AP166" s="4"/>
      <c r="AQ166" t="s">
        <v>153</v>
      </c>
      <c r="AR166" s="5"/>
      <c r="AT166" s="4" t="s">
        <v>153</v>
      </c>
      <c r="AU166" s="4" t="s">
        <v>153</v>
      </c>
      <c r="AV166" s="4" t="s">
        <v>153</v>
      </c>
      <c r="AW166" t="s">
        <v>153</v>
      </c>
      <c r="AX166" t="s">
        <v>153</v>
      </c>
      <c r="AY166" t="s">
        <v>153</v>
      </c>
      <c r="AZ166" t="s">
        <v>153</v>
      </c>
      <c r="BA166" t="s">
        <v>153</v>
      </c>
      <c r="BB166" t="s">
        <v>153</v>
      </c>
      <c r="BC166" t="s">
        <v>153</v>
      </c>
      <c r="BD166" s="4" t="s">
        <v>153</v>
      </c>
      <c r="BE166" s="4" t="s">
        <v>153</v>
      </c>
      <c r="BF166" t="s">
        <v>153</v>
      </c>
      <c r="BG166" s="4" t="s">
        <v>153</v>
      </c>
      <c r="BH166" t="s">
        <v>153</v>
      </c>
      <c r="BI166" s="4" t="s">
        <v>153</v>
      </c>
      <c r="BJ166" t="s">
        <v>153</v>
      </c>
      <c r="BK166" s="4" t="s">
        <v>153</v>
      </c>
      <c r="BL166" t="s">
        <v>153</v>
      </c>
      <c r="BM166" t="s">
        <v>153</v>
      </c>
      <c r="BN166" s="4" t="s">
        <v>153</v>
      </c>
      <c r="BO166" s="4" t="s">
        <v>153</v>
      </c>
      <c r="BP166" s="4" t="s">
        <v>153</v>
      </c>
      <c r="BQ166" s="4" t="s">
        <v>153</v>
      </c>
      <c r="BR166" s="4" t="s">
        <v>153</v>
      </c>
      <c r="BS166" s="4" t="s">
        <v>153</v>
      </c>
      <c r="BT166" s="4" t="s">
        <v>153</v>
      </c>
      <c r="BU166" s="4" t="s">
        <v>153</v>
      </c>
      <c r="BV166" s="4"/>
      <c r="BW166" s="4" t="s">
        <v>153</v>
      </c>
      <c r="BX166" s="4" t="s">
        <v>153</v>
      </c>
      <c r="BY166" s="4" t="s">
        <v>153</v>
      </c>
      <c r="BZ166" s="4" t="s">
        <v>153</v>
      </c>
      <c r="CA166" s="4" t="s">
        <v>153</v>
      </c>
      <c r="CB166" s="4"/>
      <c r="CC166" s="4" t="s">
        <v>153</v>
      </c>
      <c r="CD166" t="s">
        <v>153</v>
      </c>
      <c r="CE166" s="4" t="s">
        <v>153</v>
      </c>
      <c r="CF166" s="4" t="s">
        <v>153</v>
      </c>
      <c r="CG166" s="4" t="s">
        <v>153</v>
      </c>
      <c r="CH166" s="5"/>
      <c r="CI166" t="s">
        <v>153</v>
      </c>
      <c r="CJ166" s="4"/>
      <c r="CK166" t="s">
        <v>153</v>
      </c>
      <c r="CL166" t="s">
        <v>153</v>
      </c>
      <c r="CM166" t="s">
        <v>153</v>
      </c>
      <c r="CN166" t="s">
        <v>160</v>
      </c>
      <c r="CO166" s="5">
        <v>45474</v>
      </c>
      <c r="CP166" s="4" t="s">
        <v>2207</v>
      </c>
      <c r="CQ166" s="4" t="s">
        <v>2208</v>
      </c>
      <c r="CR166" t="s">
        <v>2207</v>
      </c>
      <c r="CS166" t="s">
        <v>385</v>
      </c>
      <c r="CT166" t="s">
        <v>153</v>
      </c>
      <c r="CU166" t="s">
        <v>153</v>
      </c>
      <c r="CV166" t="s">
        <v>153</v>
      </c>
      <c r="CW166" t="s">
        <v>153</v>
      </c>
      <c r="CX166" t="s">
        <v>153</v>
      </c>
      <c r="CY166" t="s">
        <v>153</v>
      </c>
      <c r="CZ166" t="s">
        <v>153</v>
      </c>
      <c r="DA166" t="s">
        <v>153</v>
      </c>
      <c r="DB166" t="s">
        <v>153</v>
      </c>
      <c r="DC166" t="s">
        <v>153</v>
      </c>
      <c r="DD166" t="s">
        <v>2209</v>
      </c>
      <c r="DE166" t="s">
        <v>153</v>
      </c>
      <c r="DF166" t="s">
        <v>798</v>
      </c>
      <c r="DG166" t="s">
        <v>799</v>
      </c>
      <c r="DH166">
        <v>37066</v>
      </c>
      <c r="DI166" t="s">
        <v>153</v>
      </c>
      <c r="DJ166" t="s">
        <v>153</v>
      </c>
      <c r="DK166" t="s">
        <v>153</v>
      </c>
      <c r="DL166" t="s">
        <v>153</v>
      </c>
      <c r="DN166" t="s">
        <v>1185</v>
      </c>
      <c r="DO166" t="s">
        <v>350</v>
      </c>
      <c r="DP166" t="s">
        <v>171</v>
      </c>
      <c r="DQ166" t="s">
        <v>2210</v>
      </c>
      <c r="DR166" t="s">
        <v>2211</v>
      </c>
      <c r="DS166" t="s">
        <v>2212</v>
      </c>
      <c r="DT166" t="s">
        <v>153</v>
      </c>
      <c r="DU166" t="s">
        <v>2213</v>
      </c>
      <c r="DV166" t="s">
        <v>153</v>
      </c>
      <c r="DW166" t="s">
        <v>153</v>
      </c>
      <c r="DX166" s="2"/>
      <c r="DY166" t="s">
        <v>153</v>
      </c>
      <c r="DZ166" t="s">
        <v>153</v>
      </c>
      <c r="EA166" t="s">
        <v>153</v>
      </c>
      <c r="EB166" t="s">
        <v>153</v>
      </c>
      <c r="EC166" t="s">
        <v>153</v>
      </c>
      <c r="ED166" t="s">
        <v>153</v>
      </c>
      <c r="EE166" t="s">
        <v>153</v>
      </c>
      <c r="EF166" t="s">
        <v>153</v>
      </c>
      <c r="EH166" t="s">
        <v>153</v>
      </c>
      <c r="EI166" t="s">
        <v>153</v>
      </c>
      <c r="EJ166" t="s">
        <v>153</v>
      </c>
      <c r="EK166" t="s">
        <v>153</v>
      </c>
      <c r="EM166" t="s">
        <v>153</v>
      </c>
      <c r="EN166" t="s">
        <v>153</v>
      </c>
      <c r="EP166" s="4" t="s">
        <v>153</v>
      </c>
      <c r="EQ166" s="4" t="s">
        <v>153</v>
      </c>
      <c r="ER166" s="4" t="s">
        <v>191</v>
      </c>
      <c r="ES166" s="4" t="s">
        <v>153</v>
      </c>
      <c r="ET166" t="s">
        <v>2213</v>
      </c>
      <c r="EU166" t="s">
        <v>2137</v>
      </c>
      <c r="EV166" t="s">
        <v>2119</v>
      </c>
      <c r="EW166">
        <v>1240166272</v>
      </c>
      <c r="EX166" t="s">
        <v>2120</v>
      </c>
    </row>
    <row r="167" spans="1:154" x14ac:dyDescent="0.25">
      <c r="A167" s="3">
        <v>45475.450219907405</v>
      </c>
      <c r="B167" s="4" t="s">
        <v>153</v>
      </c>
      <c r="C167" s="4" t="s">
        <v>502</v>
      </c>
      <c r="D167" s="4" t="s">
        <v>503</v>
      </c>
      <c r="E167" s="4" t="s">
        <v>504</v>
      </c>
      <c r="F167" s="4" t="s">
        <v>505</v>
      </c>
      <c r="G167" s="4" t="s">
        <v>252</v>
      </c>
      <c r="H167" s="4" t="s">
        <v>2214</v>
      </c>
      <c r="I167" s="4" t="s">
        <v>2215</v>
      </c>
      <c r="J167" s="4" t="s">
        <v>2216</v>
      </c>
      <c r="K167" s="5"/>
      <c r="L167" s="4" t="s">
        <v>153</v>
      </c>
      <c r="M167" s="4" t="s">
        <v>153</v>
      </c>
      <c r="N167" s="4" t="s">
        <v>153</v>
      </c>
      <c r="O167" s="4" t="s">
        <v>153</v>
      </c>
      <c r="P167" s="4" t="s">
        <v>153</v>
      </c>
      <c r="Q167" s="4" t="s">
        <v>153</v>
      </c>
      <c r="R167" s="4" t="s">
        <v>153</v>
      </c>
      <c r="S167" s="4" t="s">
        <v>153</v>
      </c>
      <c r="T167" s="4" t="s">
        <v>153</v>
      </c>
      <c r="U167" s="4" t="s">
        <v>153</v>
      </c>
      <c r="V167" s="4" t="s">
        <v>153</v>
      </c>
      <c r="W167" s="4" t="s">
        <v>153</v>
      </c>
      <c r="X167" s="4" t="s">
        <v>153</v>
      </c>
      <c r="Y167" s="4" t="s">
        <v>153</v>
      </c>
      <c r="Z167" s="4" t="s">
        <v>153</v>
      </c>
      <c r="AA167" s="4" t="s">
        <v>153</v>
      </c>
      <c r="AB167" s="4" t="s">
        <v>153</v>
      </c>
      <c r="AC167" s="4" t="s">
        <v>153</v>
      </c>
      <c r="AD167" s="4" t="s">
        <v>153</v>
      </c>
      <c r="AE167" s="4" t="s">
        <v>153</v>
      </c>
      <c r="AF167" s="4" t="s">
        <v>153</v>
      </c>
      <c r="AG167" s="4" t="s">
        <v>153</v>
      </c>
      <c r="AH167" s="4" t="s">
        <v>153</v>
      </c>
      <c r="AI167" s="5"/>
      <c r="AJ167" t="s">
        <v>153</v>
      </c>
      <c r="AK167" s="4"/>
      <c r="AL167" t="s">
        <v>153</v>
      </c>
      <c r="AM167" t="s">
        <v>153</v>
      </c>
      <c r="AO167" t="s">
        <v>153</v>
      </c>
      <c r="AP167" s="4"/>
      <c r="AQ167" t="s">
        <v>153</v>
      </c>
      <c r="AR167" s="5">
        <v>45473</v>
      </c>
      <c r="AS167">
        <v>2</v>
      </c>
      <c r="AT167" s="4" t="s">
        <v>2217</v>
      </c>
      <c r="AU167" s="4" t="s">
        <v>2218</v>
      </c>
      <c r="AV167" s="4" t="s">
        <v>921</v>
      </c>
      <c r="AW167" t="s">
        <v>153</v>
      </c>
      <c r="AX167" t="s">
        <v>153</v>
      </c>
      <c r="AY167" t="s">
        <v>153</v>
      </c>
      <c r="AZ167" t="s">
        <v>274</v>
      </c>
      <c r="BA167" t="s">
        <v>153</v>
      </c>
      <c r="BB167" t="s">
        <v>153</v>
      </c>
      <c r="BC167" t="s">
        <v>153</v>
      </c>
      <c r="BD167" s="4" t="s">
        <v>2219</v>
      </c>
      <c r="BE167" s="4" t="s">
        <v>2220</v>
      </c>
      <c r="BF167" t="s">
        <v>242</v>
      </c>
      <c r="BG167" s="4" t="s">
        <v>2221</v>
      </c>
      <c r="BH167" t="s">
        <v>153</v>
      </c>
      <c r="BI167" s="4" t="s">
        <v>153</v>
      </c>
      <c r="BJ167" t="s">
        <v>153</v>
      </c>
      <c r="BK167" s="4" t="s">
        <v>153</v>
      </c>
      <c r="BL167" t="s">
        <v>153</v>
      </c>
      <c r="BM167" t="s">
        <v>153</v>
      </c>
      <c r="BN167" s="4" t="s">
        <v>153</v>
      </c>
      <c r="BO167" s="4" t="s">
        <v>153</v>
      </c>
      <c r="BP167" s="4" t="s">
        <v>153</v>
      </c>
      <c r="BQ167" s="4" t="s">
        <v>153</v>
      </c>
      <c r="BR167" s="4" t="s">
        <v>153</v>
      </c>
      <c r="BS167" s="4" t="s">
        <v>153</v>
      </c>
      <c r="BT167" s="4" t="s">
        <v>153</v>
      </c>
      <c r="BU167" s="4" t="s">
        <v>153</v>
      </c>
      <c r="BV167" s="4"/>
      <c r="BW167" s="4" t="s">
        <v>153</v>
      </c>
      <c r="BX167" s="4" t="s">
        <v>153</v>
      </c>
      <c r="BY167" s="4" t="s">
        <v>153</v>
      </c>
      <c r="BZ167" s="4" t="s">
        <v>153</v>
      </c>
      <c r="CA167" s="4" t="s">
        <v>153</v>
      </c>
      <c r="CB167" s="4"/>
      <c r="CC167" s="4" t="s">
        <v>153</v>
      </c>
      <c r="CD167" t="s">
        <v>153</v>
      </c>
      <c r="CE167" s="4" t="s">
        <v>153</v>
      </c>
      <c r="CF167" s="4" t="s">
        <v>153</v>
      </c>
      <c r="CG167" s="4" t="s">
        <v>153</v>
      </c>
      <c r="CH167" s="5"/>
      <c r="CI167" t="s">
        <v>153</v>
      </c>
      <c r="CJ167" s="4"/>
      <c r="CK167" t="s">
        <v>153</v>
      </c>
      <c r="CL167" t="s">
        <v>153</v>
      </c>
      <c r="CM167" t="s">
        <v>153</v>
      </c>
      <c r="CN167" t="s">
        <v>153</v>
      </c>
      <c r="CO167" s="5"/>
      <c r="CP167" s="4" t="s">
        <v>153</v>
      </c>
      <c r="CQ167" s="4" t="s">
        <v>153</v>
      </c>
      <c r="CR167" t="s">
        <v>153</v>
      </c>
      <c r="CS167" t="s">
        <v>153</v>
      </c>
      <c r="CT167" t="s">
        <v>153</v>
      </c>
      <c r="CU167" t="s">
        <v>153</v>
      </c>
      <c r="CV167" t="s">
        <v>153</v>
      </c>
      <c r="CW167" t="s">
        <v>153</v>
      </c>
      <c r="CX167" t="s">
        <v>153</v>
      </c>
      <c r="CY167" t="s">
        <v>153</v>
      </c>
      <c r="CZ167" t="s">
        <v>153</v>
      </c>
      <c r="DA167" t="s">
        <v>153</v>
      </c>
      <c r="DB167" t="s">
        <v>153</v>
      </c>
      <c r="DC167" t="s">
        <v>153</v>
      </c>
      <c r="DD167" t="s">
        <v>153</v>
      </c>
      <c r="DE167" t="s">
        <v>153</v>
      </c>
      <c r="DF167" t="s">
        <v>153</v>
      </c>
      <c r="DG167" t="s">
        <v>153</v>
      </c>
      <c r="DI167" t="s">
        <v>153</v>
      </c>
      <c r="DJ167" t="s">
        <v>153</v>
      </c>
      <c r="DK167" t="s">
        <v>153</v>
      </c>
      <c r="DL167" t="s">
        <v>153</v>
      </c>
      <c r="DN167" t="s">
        <v>153</v>
      </c>
      <c r="DO167" t="s">
        <v>153</v>
      </c>
      <c r="DP167" t="s">
        <v>153</v>
      </c>
      <c r="DQ167" t="s">
        <v>153</v>
      </c>
      <c r="DR167" t="s">
        <v>153</v>
      </c>
      <c r="DS167" t="s">
        <v>153</v>
      </c>
      <c r="DT167" t="s">
        <v>153</v>
      </c>
      <c r="DU167" t="s">
        <v>153</v>
      </c>
      <c r="DV167" t="s">
        <v>153</v>
      </c>
      <c r="DW167" t="s">
        <v>153</v>
      </c>
      <c r="DX167" s="2"/>
      <c r="DY167" t="s">
        <v>153</v>
      </c>
      <c r="DZ167" t="s">
        <v>153</v>
      </c>
      <c r="EA167" t="s">
        <v>153</v>
      </c>
      <c r="EB167" t="s">
        <v>153</v>
      </c>
      <c r="EC167" t="s">
        <v>153</v>
      </c>
      <c r="ED167" t="s">
        <v>153</v>
      </c>
      <c r="EE167" t="s">
        <v>153</v>
      </c>
      <c r="EF167" t="s">
        <v>153</v>
      </c>
      <c r="EH167" t="s">
        <v>153</v>
      </c>
      <c r="EI167" t="s">
        <v>153</v>
      </c>
      <c r="EJ167" t="s">
        <v>153</v>
      </c>
      <c r="EK167" t="s">
        <v>153</v>
      </c>
      <c r="EM167" t="s">
        <v>153</v>
      </c>
      <c r="EN167" t="s">
        <v>153</v>
      </c>
      <c r="EP167" s="4" t="s">
        <v>153</v>
      </c>
      <c r="EQ167" s="4" t="s">
        <v>153</v>
      </c>
      <c r="ER167" s="4" t="s">
        <v>153</v>
      </c>
      <c r="ES167" s="4" t="s">
        <v>153</v>
      </c>
      <c r="ET167" t="s">
        <v>2222</v>
      </c>
      <c r="EU167" t="s">
        <v>2137</v>
      </c>
      <c r="EV167" t="s">
        <v>519</v>
      </c>
      <c r="EW167">
        <v>1240961622</v>
      </c>
      <c r="EX167" t="s">
        <v>2223</v>
      </c>
    </row>
    <row r="168" spans="1:154" x14ac:dyDescent="0.25">
      <c r="A168" s="3">
        <v>45483.327708333331</v>
      </c>
      <c r="B168" s="4" t="s">
        <v>153</v>
      </c>
      <c r="C168" s="4" t="s">
        <v>281</v>
      </c>
      <c r="D168" s="4" t="s">
        <v>265</v>
      </c>
      <c r="E168" s="4" t="s">
        <v>266</v>
      </c>
      <c r="F168" s="4" t="s">
        <v>267</v>
      </c>
      <c r="G168" s="4" t="s">
        <v>185</v>
      </c>
      <c r="H168" s="4" t="s">
        <v>268</v>
      </c>
      <c r="I168" s="4" t="s">
        <v>2224</v>
      </c>
      <c r="J168" s="4" t="s">
        <v>153</v>
      </c>
      <c r="K168" s="5"/>
      <c r="L168" s="4" t="s">
        <v>153</v>
      </c>
      <c r="M168" s="4" t="s">
        <v>2225</v>
      </c>
      <c r="N168" s="4" t="s">
        <v>2226</v>
      </c>
      <c r="O168" s="4" t="s">
        <v>2227</v>
      </c>
      <c r="P168" s="4" t="s">
        <v>2228</v>
      </c>
      <c r="Q168" s="4" t="s">
        <v>190</v>
      </c>
      <c r="R168" s="4" t="s">
        <v>308</v>
      </c>
      <c r="S168" s="4" t="s">
        <v>153</v>
      </c>
      <c r="T168" s="4" t="s">
        <v>2229</v>
      </c>
      <c r="U168" s="4" t="s">
        <v>1678</v>
      </c>
      <c r="V168" s="4" t="s">
        <v>153</v>
      </c>
      <c r="W168" s="4" t="s">
        <v>2230</v>
      </c>
      <c r="X168" s="4" t="s">
        <v>429</v>
      </c>
      <c r="Y168" s="4" t="s">
        <v>1680</v>
      </c>
      <c r="Z168" s="4" t="s">
        <v>2231</v>
      </c>
      <c r="AA168" s="4" t="s">
        <v>2232</v>
      </c>
      <c r="AB168" s="4" t="s">
        <v>153</v>
      </c>
      <c r="AC168" s="4" t="s">
        <v>2233</v>
      </c>
      <c r="AD168" s="4" t="s">
        <v>429</v>
      </c>
      <c r="AE168" s="4" t="s">
        <v>2234</v>
      </c>
      <c r="AF168" s="4" t="s">
        <v>2235</v>
      </c>
      <c r="AG168" s="4" t="s">
        <v>2236</v>
      </c>
      <c r="AH168" s="4" t="s">
        <v>2237</v>
      </c>
      <c r="AI168" s="5">
        <v>45471</v>
      </c>
      <c r="AJ168" t="s">
        <v>591</v>
      </c>
      <c r="AK168" s="4">
        <v>1</v>
      </c>
      <c r="AL168" t="s">
        <v>153</v>
      </c>
      <c r="AM168" t="s">
        <v>153</v>
      </c>
      <c r="AO168" t="s">
        <v>153</v>
      </c>
      <c r="AP168" s="4"/>
      <c r="AQ168" t="s">
        <v>153</v>
      </c>
      <c r="AR168" s="5"/>
      <c r="AT168" s="4" t="s">
        <v>153</v>
      </c>
      <c r="AU168" s="4" t="s">
        <v>153</v>
      </c>
      <c r="AV168" s="4" t="s">
        <v>153</v>
      </c>
      <c r="AW168" t="s">
        <v>153</v>
      </c>
      <c r="AX168" t="s">
        <v>153</v>
      </c>
      <c r="AY168" t="s">
        <v>153</v>
      </c>
      <c r="AZ168" t="s">
        <v>153</v>
      </c>
      <c r="BA168" t="s">
        <v>153</v>
      </c>
      <c r="BB168" t="s">
        <v>153</v>
      </c>
      <c r="BC168" t="s">
        <v>153</v>
      </c>
      <c r="BD168" s="4" t="s">
        <v>153</v>
      </c>
      <c r="BE168" s="4" t="s">
        <v>153</v>
      </c>
      <c r="BF168" t="s">
        <v>153</v>
      </c>
      <c r="BG168" s="4" t="s">
        <v>153</v>
      </c>
      <c r="BH168" t="s">
        <v>153</v>
      </c>
      <c r="BI168" s="4" t="s">
        <v>153</v>
      </c>
      <c r="BJ168" t="s">
        <v>153</v>
      </c>
      <c r="BK168" s="4" t="s">
        <v>153</v>
      </c>
      <c r="BL168" t="s">
        <v>153</v>
      </c>
      <c r="BM168" t="s">
        <v>153</v>
      </c>
      <c r="BN168" s="4" t="s">
        <v>153</v>
      </c>
      <c r="BO168" s="4" t="s">
        <v>153</v>
      </c>
      <c r="BP168" s="4" t="s">
        <v>153</v>
      </c>
      <c r="BQ168" s="4" t="s">
        <v>153</v>
      </c>
      <c r="BR168" s="4" t="s">
        <v>153</v>
      </c>
      <c r="BS168" s="4" t="s">
        <v>153</v>
      </c>
      <c r="BT168" s="4" t="s">
        <v>153</v>
      </c>
      <c r="BU168" s="4" t="s">
        <v>153</v>
      </c>
      <c r="BV168" s="4"/>
      <c r="BW168" s="4" t="s">
        <v>153</v>
      </c>
      <c r="BX168" s="4" t="s">
        <v>153</v>
      </c>
      <c r="BY168" s="4" t="s">
        <v>153</v>
      </c>
      <c r="BZ168" s="4" t="s">
        <v>153</v>
      </c>
      <c r="CA168" s="4" t="s">
        <v>153</v>
      </c>
      <c r="CB168" s="4"/>
      <c r="CC168" s="4" t="s">
        <v>153</v>
      </c>
      <c r="CD168" t="s">
        <v>153</v>
      </c>
      <c r="CE168" s="4" t="s">
        <v>153</v>
      </c>
      <c r="CF168" s="4" t="s">
        <v>153</v>
      </c>
      <c r="CG168" s="4" t="s">
        <v>153</v>
      </c>
      <c r="CH168" s="5"/>
      <c r="CI168" t="s">
        <v>153</v>
      </c>
      <c r="CJ168" s="4"/>
      <c r="CK168" t="s">
        <v>153</v>
      </c>
      <c r="CL168" t="s">
        <v>153</v>
      </c>
      <c r="CM168" t="s">
        <v>153</v>
      </c>
      <c r="CN168" t="s">
        <v>153</v>
      </c>
      <c r="CO168" s="5"/>
      <c r="CP168" s="4" t="s">
        <v>153</v>
      </c>
      <c r="CQ168" s="4" t="s">
        <v>153</v>
      </c>
      <c r="CR168" t="s">
        <v>153</v>
      </c>
      <c r="CS168" t="s">
        <v>153</v>
      </c>
      <c r="CT168" t="s">
        <v>153</v>
      </c>
      <c r="CU168" t="s">
        <v>153</v>
      </c>
      <c r="CV168" t="s">
        <v>153</v>
      </c>
      <c r="CW168" t="s">
        <v>153</v>
      </c>
      <c r="CX168" t="s">
        <v>153</v>
      </c>
      <c r="CY168" t="s">
        <v>153</v>
      </c>
      <c r="CZ168" t="s">
        <v>153</v>
      </c>
      <c r="DA168" t="s">
        <v>153</v>
      </c>
      <c r="DB168" t="s">
        <v>153</v>
      </c>
      <c r="DC168" t="s">
        <v>153</v>
      </c>
      <c r="DD168" t="s">
        <v>153</v>
      </c>
      <c r="DE168" t="s">
        <v>153</v>
      </c>
      <c r="DF168" t="s">
        <v>153</v>
      </c>
      <c r="DG168" t="s">
        <v>153</v>
      </c>
      <c r="DI168" t="s">
        <v>153</v>
      </c>
      <c r="DJ168" t="s">
        <v>153</v>
      </c>
      <c r="DK168" t="s">
        <v>153</v>
      </c>
      <c r="DL168" t="s">
        <v>153</v>
      </c>
      <c r="DN168" t="s">
        <v>153</v>
      </c>
      <c r="DO168" t="s">
        <v>153</v>
      </c>
      <c r="DP168" t="s">
        <v>153</v>
      </c>
      <c r="DQ168" t="s">
        <v>153</v>
      </c>
      <c r="DR168" t="s">
        <v>153</v>
      </c>
      <c r="DS168" t="s">
        <v>153</v>
      </c>
      <c r="DT168" t="s">
        <v>153</v>
      </c>
      <c r="DU168" t="s">
        <v>153</v>
      </c>
      <c r="DV168" t="s">
        <v>153</v>
      </c>
      <c r="DW168" t="s">
        <v>153</v>
      </c>
      <c r="DX168" s="2"/>
      <c r="DY168" t="s">
        <v>153</v>
      </c>
      <c r="DZ168" t="s">
        <v>153</v>
      </c>
      <c r="EA168" t="s">
        <v>153</v>
      </c>
      <c r="EB168" t="s">
        <v>153</v>
      </c>
      <c r="EC168" t="s">
        <v>153</v>
      </c>
      <c r="ED168" t="s">
        <v>153</v>
      </c>
      <c r="EE168" t="s">
        <v>153</v>
      </c>
      <c r="EF168" t="s">
        <v>153</v>
      </c>
      <c r="EH168" t="s">
        <v>153</v>
      </c>
      <c r="EI168" t="s">
        <v>153</v>
      </c>
      <c r="EJ168" t="s">
        <v>153</v>
      </c>
      <c r="EK168" t="s">
        <v>153</v>
      </c>
      <c r="EM168" t="s">
        <v>153</v>
      </c>
      <c r="EN168" t="s">
        <v>153</v>
      </c>
      <c r="EP168" s="4" t="s">
        <v>153</v>
      </c>
      <c r="EQ168" s="4" t="s">
        <v>153</v>
      </c>
      <c r="ER168" s="4" t="s">
        <v>176</v>
      </c>
      <c r="ES168" s="4" t="s">
        <v>153</v>
      </c>
      <c r="ET168" t="s">
        <v>153</v>
      </c>
      <c r="EU168" t="s">
        <v>2238</v>
      </c>
      <c r="EV168" t="s">
        <v>2239</v>
      </c>
      <c r="EW168">
        <v>1243318540</v>
      </c>
      <c r="EX168" t="s">
        <v>2240</v>
      </c>
    </row>
    <row r="169" spans="1:154" x14ac:dyDescent="0.25">
      <c r="A169" s="3">
        <v>45483.515219907407</v>
      </c>
      <c r="B169" s="4" t="s">
        <v>153</v>
      </c>
      <c r="C169" s="4" t="s">
        <v>659</v>
      </c>
      <c r="D169" s="4" t="s">
        <v>660</v>
      </c>
      <c r="E169" s="4" t="s">
        <v>661</v>
      </c>
      <c r="F169" s="4" t="s">
        <v>662</v>
      </c>
      <c r="G169" s="4" t="s">
        <v>252</v>
      </c>
      <c r="H169" s="4" t="s">
        <v>323</v>
      </c>
      <c r="I169" s="4" t="s">
        <v>2241</v>
      </c>
      <c r="J169" s="4" t="s">
        <v>2242</v>
      </c>
      <c r="K169" s="5"/>
      <c r="L169" s="4" t="s">
        <v>153</v>
      </c>
      <c r="M169" s="4" t="s">
        <v>153</v>
      </c>
      <c r="N169" s="4" t="s">
        <v>153</v>
      </c>
      <c r="O169" s="4" t="s">
        <v>153</v>
      </c>
      <c r="P169" s="4" t="s">
        <v>153</v>
      </c>
      <c r="Q169" s="4" t="s">
        <v>153</v>
      </c>
      <c r="R169" s="4" t="s">
        <v>153</v>
      </c>
      <c r="S169" s="4" t="s">
        <v>153</v>
      </c>
      <c r="T169" s="4" t="s">
        <v>153</v>
      </c>
      <c r="U169" s="4" t="s">
        <v>153</v>
      </c>
      <c r="V169" s="4" t="s">
        <v>153</v>
      </c>
      <c r="W169" s="4" t="s">
        <v>153</v>
      </c>
      <c r="X169" s="4" t="s">
        <v>153</v>
      </c>
      <c r="Y169" s="4" t="s">
        <v>153</v>
      </c>
      <c r="Z169" s="4" t="s">
        <v>153</v>
      </c>
      <c r="AA169" s="4" t="s">
        <v>153</v>
      </c>
      <c r="AB169" s="4" t="s">
        <v>153</v>
      </c>
      <c r="AC169" s="4" t="s">
        <v>153</v>
      </c>
      <c r="AD169" s="4" t="s">
        <v>153</v>
      </c>
      <c r="AE169" s="4" t="s">
        <v>153</v>
      </c>
      <c r="AF169" s="4" t="s">
        <v>153</v>
      </c>
      <c r="AG169" s="4" t="s">
        <v>153</v>
      </c>
      <c r="AH169" s="4" t="s">
        <v>153</v>
      </c>
      <c r="AI169" s="5"/>
      <c r="AJ169" t="s">
        <v>153</v>
      </c>
      <c r="AK169" s="4"/>
      <c r="AL169" t="s">
        <v>153</v>
      </c>
      <c r="AM169" t="s">
        <v>153</v>
      </c>
      <c r="AO169" t="s">
        <v>153</v>
      </c>
      <c r="AP169" s="4"/>
      <c r="AQ169" t="s">
        <v>153</v>
      </c>
      <c r="AR169" s="5">
        <v>45415</v>
      </c>
      <c r="AS169">
        <v>1</v>
      </c>
      <c r="AT169" s="4" t="s">
        <v>484</v>
      </c>
      <c r="AU169" s="4" t="s">
        <v>2243</v>
      </c>
      <c r="AV169" s="4" t="s">
        <v>256</v>
      </c>
      <c r="AW169" t="s">
        <v>153</v>
      </c>
      <c r="AX169" t="s">
        <v>153</v>
      </c>
      <c r="AY169" t="s">
        <v>2244</v>
      </c>
      <c r="AZ169" t="s">
        <v>2245</v>
      </c>
      <c r="BA169" t="s">
        <v>153</v>
      </c>
      <c r="BB169" t="s">
        <v>153</v>
      </c>
      <c r="BC169" t="s">
        <v>153</v>
      </c>
      <c r="BD169" s="4" t="s">
        <v>2246</v>
      </c>
      <c r="BE169" s="4" t="s">
        <v>2247</v>
      </c>
      <c r="BF169" t="s">
        <v>243</v>
      </c>
      <c r="BG169" s="4" t="s">
        <v>153</v>
      </c>
      <c r="BH169" t="s">
        <v>153</v>
      </c>
      <c r="BI169" s="4" t="s">
        <v>153</v>
      </c>
      <c r="BJ169" t="s">
        <v>153</v>
      </c>
      <c r="BK169" s="4" t="s">
        <v>153</v>
      </c>
      <c r="BL169" t="s">
        <v>153</v>
      </c>
      <c r="BM169" t="s">
        <v>153</v>
      </c>
      <c r="BN169" s="4" t="s">
        <v>153</v>
      </c>
      <c r="BO169" s="4" t="s">
        <v>153</v>
      </c>
      <c r="BP169" s="4" t="s">
        <v>153</v>
      </c>
      <c r="BQ169" s="4" t="s">
        <v>153</v>
      </c>
      <c r="BR169" s="4" t="s">
        <v>153</v>
      </c>
      <c r="BS169" s="4" t="s">
        <v>153</v>
      </c>
      <c r="BT169" s="4" t="s">
        <v>153</v>
      </c>
      <c r="BU169" s="4" t="s">
        <v>153</v>
      </c>
      <c r="BV169" s="4"/>
      <c r="BW169" s="4" t="s">
        <v>153</v>
      </c>
      <c r="BX169" s="4" t="s">
        <v>153</v>
      </c>
      <c r="BY169" s="4" t="s">
        <v>153</v>
      </c>
      <c r="BZ169" s="4" t="s">
        <v>153</v>
      </c>
      <c r="CA169" s="4" t="s">
        <v>153</v>
      </c>
      <c r="CB169" s="4"/>
      <c r="CC169" s="4" t="s">
        <v>153</v>
      </c>
      <c r="CD169" t="s">
        <v>153</v>
      </c>
      <c r="CE169" s="4" t="s">
        <v>153</v>
      </c>
      <c r="CF169" s="4" t="s">
        <v>153</v>
      </c>
      <c r="CG169" s="4" t="s">
        <v>153</v>
      </c>
      <c r="CH169" s="5"/>
      <c r="CI169" t="s">
        <v>153</v>
      </c>
      <c r="CJ169" s="4"/>
      <c r="CK169" t="s">
        <v>153</v>
      </c>
      <c r="CL169" t="s">
        <v>153</v>
      </c>
      <c r="CM169" t="s">
        <v>153</v>
      </c>
      <c r="CN169" t="s">
        <v>153</v>
      </c>
      <c r="CO169" s="5"/>
      <c r="CP169" s="4" t="s">
        <v>153</v>
      </c>
      <c r="CQ169" s="4" t="s">
        <v>153</v>
      </c>
      <c r="CR169" t="s">
        <v>153</v>
      </c>
      <c r="CS169" t="s">
        <v>153</v>
      </c>
      <c r="CT169" t="s">
        <v>153</v>
      </c>
      <c r="CU169" t="s">
        <v>153</v>
      </c>
      <c r="CV169" t="s">
        <v>153</v>
      </c>
      <c r="CW169" t="s">
        <v>153</v>
      </c>
      <c r="CX169" t="s">
        <v>153</v>
      </c>
      <c r="CY169" t="s">
        <v>153</v>
      </c>
      <c r="CZ169" t="s">
        <v>153</v>
      </c>
      <c r="DA169" t="s">
        <v>153</v>
      </c>
      <c r="DB169" t="s">
        <v>153</v>
      </c>
      <c r="DC169" t="s">
        <v>153</v>
      </c>
      <c r="DD169" t="s">
        <v>153</v>
      </c>
      <c r="DE169" t="s">
        <v>153</v>
      </c>
      <c r="DF169" t="s">
        <v>153</v>
      </c>
      <c r="DG169" t="s">
        <v>153</v>
      </c>
      <c r="DI169" t="s">
        <v>153</v>
      </c>
      <c r="DJ169" t="s">
        <v>153</v>
      </c>
      <c r="DK169" t="s">
        <v>153</v>
      </c>
      <c r="DL169" t="s">
        <v>153</v>
      </c>
      <c r="DN169" t="s">
        <v>153</v>
      </c>
      <c r="DO169" t="s">
        <v>153</v>
      </c>
      <c r="DP169" t="s">
        <v>153</v>
      </c>
      <c r="DQ169" t="s">
        <v>153</v>
      </c>
      <c r="DR169" t="s">
        <v>153</v>
      </c>
      <c r="DS169" t="s">
        <v>153</v>
      </c>
      <c r="DT169" t="s">
        <v>153</v>
      </c>
      <c r="DU169" t="s">
        <v>153</v>
      </c>
      <c r="DV169" t="s">
        <v>153</v>
      </c>
      <c r="DW169" t="s">
        <v>153</v>
      </c>
      <c r="DX169" s="2"/>
      <c r="DY169" t="s">
        <v>153</v>
      </c>
      <c r="DZ169" t="s">
        <v>153</v>
      </c>
      <c r="EA169" t="s">
        <v>153</v>
      </c>
      <c r="EB169" t="s">
        <v>153</v>
      </c>
      <c r="EC169" t="s">
        <v>153</v>
      </c>
      <c r="ED169" t="s">
        <v>153</v>
      </c>
      <c r="EE169" t="s">
        <v>153</v>
      </c>
      <c r="EF169" t="s">
        <v>153</v>
      </c>
      <c r="EH169" t="s">
        <v>153</v>
      </c>
      <c r="EI169" t="s">
        <v>153</v>
      </c>
      <c r="EJ169" t="s">
        <v>153</v>
      </c>
      <c r="EK169" t="s">
        <v>153</v>
      </c>
      <c r="EM169" t="s">
        <v>153</v>
      </c>
      <c r="EN169" t="s">
        <v>153</v>
      </c>
      <c r="EP169" s="4" t="s">
        <v>153</v>
      </c>
      <c r="EQ169" s="4" t="s">
        <v>153</v>
      </c>
      <c r="ER169" s="4" t="s">
        <v>153</v>
      </c>
      <c r="ES169" s="4" t="s">
        <v>153</v>
      </c>
      <c r="ET169" t="s">
        <v>153</v>
      </c>
      <c r="EU169" t="s">
        <v>2137</v>
      </c>
      <c r="EV169" t="s">
        <v>2248</v>
      </c>
      <c r="EW169">
        <v>1243430005</v>
      </c>
      <c r="EX169" t="s">
        <v>2249</v>
      </c>
    </row>
    <row r="170" spans="1:154" x14ac:dyDescent="0.25">
      <c r="A170" s="3">
        <v>45483.523379629631</v>
      </c>
      <c r="B170" s="4" t="s">
        <v>153</v>
      </c>
      <c r="C170" s="4" t="s">
        <v>659</v>
      </c>
      <c r="D170" s="4" t="s">
        <v>660</v>
      </c>
      <c r="E170" s="4" t="s">
        <v>661</v>
      </c>
      <c r="F170" s="4" t="s">
        <v>662</v>
      </c>
      <c r="G170" s="4" t="s">
        <v>252</v>
      </c>
      <c r="H170" s="4" t="s">
        <v>323</v>
      </c>
      <c r="I170" s="4" t="s">
        <v>2250</v>
      </c>
      <c r="J170" s="4" t="s">
        <v>2251</v>
      </c>
      <c r="K170" s="5"/>
      <c r="L170" s="4" t="s">
        <v>153</v>
      </c>
      <c r="M170" s="4" t="s">
        <v>153</v>
      </c>
      <c r="N170" s="4" t="s">
        <v>153</v>
      </c>
      <c r="O170" s="4" t="s">
        <v>153</v>
      </c>
      <c r="P170" s="4" t="s">
        <v>153</v>
      </c>
      <c r="Q170" s="4" t="s">
        <v>153</v>
      </c>
      <c r="R170" s="4" t="s">
        <v>153</v>
      </c>
      <c r="S170" s="4" t="s">
        <v>153</v>
      </c>
      <c r="T170" s="4" t="s">
        <v>153</v>
      </c>
      <c r="U170" s="4" t="s">
        <v>153</v>
      </c>
      <c r="V170" s="4" t="s">
        <v>153</v>
      </c>
      <c r="W170" s="4" t="s">
        <v>153</v>
      </c>
      <c r="X170" s="4" t="s">
        <v>153</v>
      </c>
      <c r="Y170" s="4" t="s">
        <v>153</v>
      </c>
      <c r="Z170" s="4" t="s">
        <v>153</v>
      </c>
      <c r="AA170" s="4" t="s">
        <v>153</v>
      </c>
      <c r="AB170" s="4" t="s">
        <v>153</v>
      </c>
      <c r="AC170" s="4" t="s">
        <v>153</v>
      </c>
      <c r="AD170" s="4" t="s">
        <v>153</v>
      </c>
      <c r="AE170" s="4" t="s">
        <v>153</v>
      </c>
      <c r="AF170" s="4" t="s">
        <v>153</v>
      </c>
      <c r="AG170" s="4" t="s">
        <v>153</v>
      </c>
      <c r="AH170" s="4" t="s">
        <v>153</v>
      </c>
      <c r="AI170" s="5"/>
      <c r="AJ170" t="s">
        <v>153</v>
      </c>
      <c r="AK170" s="4"/>
      <c r="AL170" t="s">
        <v>153</v>
      </c>
      <c r="AM170" t="s">
        <v>153</v>
      </c>
      <c r="AO170" t="s">
        <v>153</v>
      </c>
      <c r="AP170" s="4"/>
      <c r="AQ170" t="s">
        <v>153</v>
      </c>
      <c r="AR170" s="5">
        <v>45415</v>
      </c>
      <c r="AS170">
        <v>1</v>
      </c>
      <c r="AT170" s="4" t="s">
        <v>699</v>
      </c>
      <c r="AU170" s="4" t="s">
        <v>700</v>
      </c>
      <c r="AV170" s="4" t="s">
        <v>256</v>
      </c>
      <c r="AW170" t="s">
        <v>153</v>
      </c>
      <c r="AX170" t="s">
        <v>153</v>
      </c>
      <c r="AY170" t="s">
        <v>2252</v>
      </c>
      <c r="AZ170" t="s">
        <v>2253</v>
      </c>
      <c r="BA170" t="s">
        <v>153</v>
      </c>
      <c r="BB170" t="s">
        <v>153</v>
      </c>
      <c r="BC170" t="s">
        <v>153</v>
      </c>
      <c r="BD170" s="4" t="s">
        <v>2254</v>
      </c>
      <c r="BE170" s="4" t="s">
        <v>2255</v>
      </c>
      <c r="BF170" t="s">
        <v>242</v>
      </c>
      <c r="BG170" s="4" t="s">
        <v>2256</v>
      </c>
      <c r="BH170" t="s">
        <v>153</v>
      </c>
      <c r="BI170" s="4" t="s">
        <v>153</v>
      </c>
      <c r="BJ170" t="s">
        <v>153</v>
      </c>
      <c r="BK170" s="4" t="s">
        <v>153</v>
      </c>
      <c r="BL170" t="s">
        <v>153</v>
      </c>
      <c r="BM170" t="s">
        <v>153</v>
      </c>
      <c r="BN170" s="4" t="s">
        <v>153</v>
      </c>
      <c r="BO170" s="4" t="s">
        <v>153</v>
      </c>
      <c r="BP170" s="4" t="s">
        <v>153</v>
      </c>
      <c r="BQ170" s="4" t="s">
        <v>153</v>
      </c>
      <c r="BR170" s="4" t="s">
        <v>153</v>
      </c>
      <c r="BS170" s="4" t="s">
        <v>153</v>
      </c>
      <c r="BT170" s="4" t="s">
        <v>153</v>
      </c>
      <c r="BU170" s="4" t="s">
        <v>153</v>
      </c>
      <c r="BV170" s="4"/>
      <c r="BW170" s="4" t="s">
        <v>153</v>
      </c>
      <c r="BX170" s="4" t="s">
        <v>153</v>
      </c>
      <c r="BY170" s="4" t="s">
        <v>153</v>
      </c>
      <c r="BZ170" s="4" t="s">
        <v>153</v>
      </c>
      <c r="CA170" s="4" t="s">
        <v>153</v>
      </c>
      <c r="CB170" s="4"/>
      <c r="CC170" s="4" t="s">
        <v>153</v>
      </c>
      <c r="CD170" t="s">
        <v>153</v>
      </c>
      <c r="CE170" s="4" t="s">
        <v>153</v>
      </c>
      <c r="CF170" s="4" t="s">
        <v>153</v>
      </c>
      <c r="CG170" s="4" t="s">
        <v>153</v>
      </c>
      <c r="CH170" s="5"/>
      <c r="CI170" t="s">
        <v>153</v>
      </c>
      <c r="CJ170" s="4"/>
      <c r="CK170" t="s">
        <v>153</v>
      </c>
      <c r="CL170" t="s">
        <v>153</v>
      </c>
      <c r="CM170" t="s">
        <v>153</v>
      </c>
      <c r="CN170" t="s">
        <v>153</v>
      </c>
      <c r="CO170" s="5"/>
      <c r="CP170" s="4" t="s">
        <v>153</v>
      </c>
      <c r="CQ170" s="4" t="s">
        <v>153</v>
      </c>
      <c r="CR170" t="s">
        <v>153</v>
      </c>
      <c r="CS170" t="s">
        <v>153</v>
      </c>
      <c r="CT170" t="s">
        <v>153</v>
      </c>
      <c r="CU170" t="s">
        <v>153</v>
      </c>
      <c r="CV170" t="s">
        <v>153</v>
      </c>
      <c r="CW170" t="s">
        <v>153</v>
      </c>
      <c r="CX170" t="s">
        <v>153</v>
      </c>
      <c r="CY170" t="s">
        <v>153</v>
      </c>
      <c r="CZ170" t="s">
        <v>153</v>
      </c>
      <c r="DA170" t="s">
        <v>153</v>
      </c>
      <c r="DB170" t="s">
        <v>153</v>
      </c>
      <c r="DC170" t="s">
        <v>153</v>
      </c>
      <c r="DD170" t="s">
        <v>153</v>
      </c>
      <c r="DE170" t="s">
        <v>153</v>
      </c>
      <c r="DF170" t="s">
        <v>153</v>
      </c>
      <c r="DG170" t="s">
        <v>153</v>
      </c>
      <c r="DI170" t="s">
        <v>153</v>
      </c>
      <c r="DJ170" t="s">
        <v>153</v>
      </c>
      <c r="DK170" t="s">
        <v>153</v>
      </c>
      <c r="DL170" t="s">
        <v>153</v>
      </c>
      <c r="DN170" t="s">
        <v>153</v>
      </c>
      <c r="DO170" t="s">
        <v>153</v>
      </c>
      <c r="DP170" t="s">
        <v>153</v>
      </c>
      <c r="DQ170" t="s">
        <v>153</v>
      </c>
      <c r="DR170" t="s">
        <v>153</v>
      </c>
      <c r="DS170" t="s">
        <v>153</v>
      </c>
      <c r="DT170" t="s">
        <v>153</v>
      </c>
      <c r="DU170" t="s">
        <v>153</v>
      </c>
      <c r="DV170" t="s">
        <v>153</v>
      </c>
      <c r="DW170" t="s">
        <v>153</v>
      </c>
      <c r="DX170" s="2"/>
      <c r="DY170" t="s">
        <v>153</v>
      </c>
      <c r="DZ170" t="s">
        <v>153</v>
      </c>
      <c r="EA170" t="s">
        <v>153</v>
      </c>
      <c r="EB170" t="s">
        <v>153</v>
      </c>
      <c r="EC170" t="s">
        <v>153</v>
      </c>
      <c r="ED170" t="s">
        <v>153</v>
      </c>
      <c r="EE170" t="s">
        <v>153</v>
      </c>
      <c r="EF170" t="s">
        <v>153</v>
      </c>
      <c r="EH170" t="s">
        <v>153</v>
      </c>
      <c r="EI170" t="s">
        <v>153</v>
      </c>
      <c r="EJ170" t="s">
        <v>153</v>
      </c>
      <c r="EK170" t="s">
        <v>153</v>
      </c>
      <c r="EM170" t="s">
        <v>153</v>
      </c>
      <c r="EN170" t="s">
        <v>153</v>
      </c>
      <c r="EP170" s="4" t="s">
        <v>153</v>
      </c>
      <c r="EQ170" s="4" t="s">
        <v>153</v>
      </c>
      <c r="ER170" s="4" t="s">
        <v>153</v>
      </c>
      <c r="ES170" s="4" t="s">
        <v>153</v>
      </c>
      <c r="ET170" t="s">
        <v>2257</v>
      </c>
      <c r="EU170" t="s">
        <v>2137</v>
      </c>
      <c r="EV170" t="s">
        <v>2248</v>
      </c>
      <c r="EW170">
        <v>1243435276</v>
      </c>
      <c r="EX170" t="s">
        <v>2249</v>
      </c>
    </row>
    <row r="171" spans="1:154" x14ac:dyDescent="0.25">
      <c r="A171" s="3">
        <v>45483.569895833331</v>
      </c>
      <c r="B171" s="4" t="s">
        <v>153</v>
      </c>
      <c r="C171" s="4" t="s">
        <v>659</v>
      </c>
      <c r="D171" s="4" t="s">
        <v>660</v>
      </c>
      <c r="E171" s="4" t="s">
        <v>661</v>
      </c>
      <c r="F171" s="4" t="s">
        <v>662</v>
      </c>
      <c r="G171" s="4" t="s">
        <v>185</v>
      </c>
      <c r="H171" s="4" t="s">
        <v>323</v>
      </c>
      <c r="I171" s="4" t="s">
        <v>2258</v>
      </c>
      <c r="J171" s="4" t="s">
        <v>153</v>
      </c>
      <c r="K171" s="5"/>
      <c r="L171" s="4" t="s">
        <v>153</v>
      </c>
      <c r="M171" s="4" t="s">
        <v>2258</v>
      </c>
      <c r="N171" s="4" t="s">
        <v>2258</v>
      </c>
      <c r="O171" s="4" t="s">
        <v>2259</v>
      </c>
      <c r="P171" s="4" t="s">
        <v>2260</v>
      </c>
      <c r="Q171" s="4" t="s">
        <v>190</v>
      </c>
      <c r="R171" s="4" t="s">
        <v>191</v>
      </c>
      <c r="S171" s="4" t="s">
        <v>2261</v>
      </c>
      <c r="T171" s="4" t="s">
        <v>153</v>
      </c>
      <c r="U171" s="4" t="s">
        <v>2262</v>
      </c>
      <c r="V171" s="4" t="s">
        <v>153</v>
      </c>
      <c r="W171" s="4" t="s">
        <v>2263</v>
      </c>
      <c r="X171" s="4" t="s">
        <v>1700</v>
      </c>
      <c r="Y171" s="4" t="s">
        <v>2264</v>
      </c>
      <c r="Z171" s="4" t="s">
        <v>197</v>
      </c>
      <c r="AA171" s="4" t="s">
        <v>2265</v>
      </c>
      <c r="AB171" s="4" t="s">
        <v>153</v>
      </c>
      <c r="AC171" s="4" t="s">
        <v>2266</v>
      </c>
      <c r="AD171" s="4" t="s">
        <v>1700</v>
      </c>
      <c r="AE171" s="4" t="s">
        <v>2267</v>
      </c>
      <c r="AF171" s="4" t="s">
        <v>2268</v>
      </c>
      <c r="AG171" s="4" t="s">
        <v>2269</v>
      </c>
      <c r="AH171" s="4" t="s">
        <v>2270</v>
      </c>
      <c r="AI171" s="5">
        <v>44738</v>
      </c>
      <c r="AJ171" t="s">
        <v>2271</v>
      </c>
      <c r="AK171" s="4">
        <v>20</v>
      </c>
      <c r="AL171" t="s">
        <v>1436</v>
      </c>
      <c r="AM171" t="s">
        <v>153</v>
      </c>
      <c r="AO171" t="s">
        <v>153</v>
      </c>
      <c r="AP171" s="4"/>
      <c r="AQ171" t="s">
        <v>153</v>
      </c>
      <c r="AR171" s="5"/>
      <c r="AT171" s="4" t="s">
        <v>153</v>
      </c>
      <c r="AU171" s="4" t="s">
        <v>153</v>
      </c>
      <c r="AV171" s="4" t="s">
        <v>153</v>
      </c>
      <c r="AW171" t="s">
        <v>153</v>
      </c>
      <c r="AX171" t="s">
        <v>153</v>
      </c>
      <c r="AY171" t="s">
        <v>153</v>
      </c>
      <c r="AZ171" t="s">
        <v>153</v>
      </c>
      <c r="BA171" t="s">
        <v>153</v>
      </c>
      <c r="BB171" t="s">
        <v>153</v>
      </c>
      <c r="BC171" t="s">
        <v>153</v>
      </c>
      <c r="BD171" s="4" t="s">
        <v>153</v>
      </c>
      <c r="BE171" s="4" t="s">
        <v>153</v>
      </c>
      <c r="BF171" t="s">
        <v>153</v>
      </c>
      <c r="BG171" s="4" t="s">
        <v>153</v>
      </c>
      <c r="BH171" t="s">
        <v>153</v>
      </c>
      <c r="BI171" s="4" t="s">
        <v>153</v>
      </c>
      <c r="BJ171" t="s">
        <v>153</v>
      </c>
      <c r="BK171" s="4" t="s">
        <v>153</v>
      </c>
      <c r="BL171" t="s">
        <v>153</v>
      </c>
      <c r="BM171" t="s">
        <v>153</v>
      </c>
      <c r="BN171" s="4" t="s">
        <v>153</v>
      </c>
      <c r="BO171" s="4" t="s">
        <v>153</v>
      </c>
      <c r="BP171" s="4" t="s">
        <v>153</v>
      </c>
      <c r="BQ171" s="4" t="s">
        <v>153</v>
      </c>
      <c r="BR171" s="4" t="s">
        <v>153</v>
      </c>
      <c r="BS171" s="4" t="s">
        <v>153</v>
      </c>
      <c r="BT171" s="4" t="s">
        <v>153</v>
      </c>
      <c r="BU171" s="4" t="s">
        <v>153</v>
      </c>
      <c r="BV171" s="4"/>
      <c r="BW171" s="4" t="s">
        <v>153</v>
      </c>
      <c r="BX171" s="4" t="s">
        <v>153</v>
      </c>
      <c r="BY171" s="4" t="s">
        <v>153</v>
      </c>
      <c r="BZ171" s="4" t="s">
        <v>153</v>
      </c>
      <c r="CA171" s="4" t="s">
        <v>153</v>
      </c>
      <c r="CB171" s="4"/>
      <c r="CC171" s="4" t="s">
        <v>153</v>
      </c>
      <c r="CD171" t="s">
        <v>153</v>
      </c>
      <c r="CE171" s="4" t="s">
        <v>153</v>
      </c>
      <c r="CF171" s="4" t="s">
        <v>153</v>
      </c>
      <c r="CG171" s="4" t="s">
        <v>153</v>
      </c>
      <c r="CH171" s="5"/>
      <c r="CI171" t="s">
        <v>153</v>
      </c>
      <c r="CJ171" s="4"/>
      <c r="CK171" t="s">
        <v>153</v>
      </c>
      <c r="CL171" t="s">
        <v>153</v>
      </c>
      <c r="CM171" t="s">
        <v>153</v>
      </c>
      <c r="CN171" t="s">
        <v>153</v>
      </c>
      <c r="CO171" s="5"/>
      <c r="CP171" s="4" t="s">
        <v>153</v>
      </c>
      <c r="CQ171" s="4" t="s">
        <v>153</v>
      </c>
      <c r="CR171" t="s">
        <v>153</v>
      </c>
      <c r="CS171" t="s">
        <v>153</v>
      </c>
      <c r="CT171" t="s">
        <v>153</v>
      </c>
      <c r="CU171" t="s">
        <v>153</v>
      </c>
      <c r="CV171" t="s">
        <v>153</v>
      </c>
      <c r="CW171" t="s">
        <v>153</v>
      </c>
      <c r="CX171" t="s">
        <v>153</v>
      </c>
      <c r="CY171" t="s">
        <v>153</v>
      </c>
      <c r="CZ171" t="s">
        <v>153</v>
      </c>
      <c r="DA171" t="s">
        <v>153</v>
      </c>
      <c r="DB171" t="s">
        <v>153</v>
      </c>
      <c r="DC171" t="s">
        <v>153</v>
      </c>
      <c r="DD171" t="s">
        <v>153</v>
      </c>
      <c r="DE171" t="s">
        <v>153</v>
      </c>
      <c r="DF171" t="s">
        <v>153</v>
      </c>
      <c r="DG171" t="s">
        <v>153</v>
      </c>
      <c r="DI171" t="s">
        <v>153</v>
      </c>
      <c r="DJ171" t="s">
        <v>153</v>
      </c>
      <c r="DK171" t="s">
        <v>153</v>
      </c>
      <c r="DL171" t="s">
        <v>153</v>
      </c>
      <c r="DN171" t="s">
        <v>153</v>
      </c>
      <c r="DO171" t="s">
        <v>153</v>
      </c>
      <c r="DP171" t="s">
        <v>153</v>
      </c>
      <c r="DQ171" t="s">
        <v>153</v>
      </c>
      <c r="DR171" t="s">
        <v>153</v>
      </c>
      <c r="DS171" t="s">
        <v>153</v>
      </c>
      <c r="DT171" t="s">
        <v>153</v>
      </c>
      <c r="DU171" t="s">
        <v>153</v>
      </c>
      <c r="DV171" t="s">
        <v>153</v>
      </c>
      <c r="DW171" t="s">
        <v>153</v>
      </c>
      <c r="DX171" s="2"/>
      <c r="DY171" t="s">
        <v>153</v>
      </c>
      <c r="DZ171" t="s">
        <v>153</v>
      </c>
      <c r="EA171" t="s">
        <v>153</v>
      </c>
      <c r="EB171" t="s">
        <v>153</v>
      </c>
      <c r="EC171" t="s">
        <v>153</v>
      </c>
      <c r="ED171" t="s">
        <v>153</v>
      </c>
      <c r="EE171" t="s">
        <v>153</v>
      </c>
      <c r="EF171" t="s">
        <v>153</v>
      </c>
      <c r="EH171" t="s">
        <v>153</v>
      </c>
      <c r="EI171" t="s">
        <v>153</v>
      </c>
      <c r="EJ171" t="s">
        <v>153</v>
      </c>
      <c r="EK171" t="s">
        <v>153</v>
      </c>
      <c r="EM171" t="s">
        <v>153</v>
      </c>
      <c r="EN171" t="s">
        <v>153</v>
      </c>
      <c r="EP171" s="4" t="s">
        <v>242</v>
      </c>
      <c r="EQ171" s="4" t="s">
        <v>153</v>
      </c>
      <c r="ER171" s="4" t="s">
        <v>191</v>
      </c>
      <c r="ES171" s="4" t="s">
        <v>153</v>
      </c>
      <c r="ET171" t="s">
        <v>2272</v>
      </c>
      <c r="EU171" t="s">
        <v>2137</v>
      </c>
      <c r="EV171" t="s">
        <v>2248</v>
      </c>
      <c r="EW171">
        <v>1243468635</v>
      </c>
      <c r="EX171" t="s">
        <v>2249</v>
      </c>
    </row>
    <row r="172" spans="1:154" x14ac:dyDescent="0.25">
      <c r="A172" s="3">
        <v>45509.639236111114</v>
      </c>
      <c r="B172" s="4" t="s">
        <v>153</v>
      </c>
      <c r="C172" s="4" t="s">
        <v>892</v>
      </c>
      <c r="D172" s="4" t="s">
        <v>893</v>
      </c>
      <c r="E172" s="4" t="s">
        <v>894</v>
      </c>
      <c r="F172" s="4" t="s">
        <v>895</v>
      </c>
      <c r="G172" s="4" t="s">
        <v>185</v>
      </c>
      <c r="H172" s="4" t="s">
        <v>542</v>
      </c>
      <c r="I172" s="4" t="s">
        <v>2273</v>
      </c>
      <c r="J172" s="4" t="s">
        <v>153</v>
      </c>
      <c r="K172" s="5"/>
      <c r="L172" s="4" t="s">
        <v>153</v>
      </c>
      <c r="M172" s="4" t="s">
        <v>2273</v>
      </c>
      <c r="N172" s="4" t="s">
        <v>153</v>
      </c>
      <c r="O172" s="4" t="s">
        <v>1297</v>
      </c>
      <c r="P172" s="4" t="s">
        <v>2274</v>
      </c>
      <c r="Q172" s="4" t="s">
        <v>403</v>
      </c>
      <c r="R172" s="4" t="s">
        <v>153</v>
      </c>
      <c r="S172" s="4" t="s">
        <v>153</v>
      </c>
      <c r="T172" s="4" t="s">
        <v>153</v>
      </c>
      <c r="U172" s="4" t="s">
        <v>2275</v>
      </c>
      <c r="V172" s="4" t="s">
        <v>153</v>
      </c>
      <c r="W172" s="4" t="s">
        <v>2276</v>
      </c>
      <c r="X172" s="4" t="s">
        <v>902</v>
      </c>
      <c r="Y172" s="4" t="s">
        <v>2277</v>
      </c>
      <c r="Z172" s="4" t="s">
        <v>237</v>
      </c>
      <c r="AA172" s="4" t="s">
        <v>2275</v>
      </c>
      <c r="AB172" s="4" t="s">
        <v>153</v>
      </c>
      <c r="AC172" s="4" t="s">
        <v>2276</v>
      </c>
      <c r="AD172" s="4" t="s">
        <v>902</v>
      </c>
      <c r="AE172" s="4" t="s">
        <v>2277</v>
      </c>
      <c r="AF172" s="4" t="s">
        <v>2278</v>
      </c>
      <c r="AG172" s="4" t="s">
        <v>2279</v>
      </c>
      <c r="AH172" s="4" t="s">
        <v>2280</v>
      </c>
      <c r="AI172" s="5">
        <v>45170</v>
      </c>
      <c r="AJ172" t="s">
        <v>153</v>
      </c>
      <c r="AK172" s="4">
        <v>1</v>
      </c>
      <c r="AL172" t="s">
        <v>153</v>
      </c>
      <c r="AM172" t="s">
        <v>2281</v>
      </c>
      <c r="AN172">
        <v>120</v>
      </c>
      <c r="AO172" t="s">
        <v>2282</v>
      </c>
      <c r="AP172" s="4">
        <v>922508919</v>
      </c>
      <c r="AQ172" t="s">
        <v>2283</v>
      </c>
      <c r="AR172" s="5"/>
      <c r="AT172" s="4" t="s">
        <v>153</v>
      </c>
      <c r="AU172" s="4" t="s">
        <v>153</v>
      </c>
      <c r="AV172" s="4" t="s">
        <v>153</v>
      </c>
      <c r="AW172" t="s">
        <v>153</v>
      </c>
      <c r="AX172" t="s">
        <v>153</v>
      </c>
      <c r="AY172" t="s">
        <v>153</v>
      </c>
      <c r="AZ172" t="s">
        <v>153</v>
      </c>
      <c r="BA172" t="s">
        <v>153</v>
      </c>
      <c r="BB172" t="s">
        <v>153</v>
      </c>
      <c r="BC172" t="s">
        <v>153</v>
      </c>
      <c r="BD172" s="4" t="s">
        <v>153</v>
      </c>
      <c r="BE172" s="4" t="s">
        <v>153</v>
      </c>
      <c r="BF172" t="s">
        <v>153</v>
      </c>
      <c r="BG172" s="4" t="s">
        <v>153</v>
      </c>
      <c r="BH172" t="s">
        <v>153</v>
      </c>
      <c r="BI172" s="4" t="s">
        <v>153</v>
      </c>
      <c r="BJ172" t="s">
        <v>153</v>
      </c>
      <c r="BK172" s="4" t="s">
        <v>153</v>
      </c>
      <c r="BL172" t="s">
        <v>153</v>
      </c>
      <c r="BM172" t="s">
        <v>153</v>
      </c>
      <c r="BN172" s="4" t="s">
        <v>153</v>
      </c>
      <c r="BO172" s="4" t="s">
        <v>153</v>
      </c>
      <c r="BP172" s="4" t="s">
        <v>153</v>
      </c>
      <c r="BQ172" s="4" t="s">
        <v>153</v>
      </c>
      <c r="BR172" s="4" t="s">
        <v>153</v>
      </c>
      <c r="BS172" s="4" t="s">
        <v>153</v>
      </c>
      <c r="BT172" s="4" t="s">
        <v>153</v>
      </c>
      <c r="BU172" s="4" t="s">
        <v>153</v>
      </c>
      <c r="BV172" s="4"/>
      <c r="BW172" s="4" t="s">
        <v>153</v>
      </c>
      <c r="BX172" s="4" t="s">
        <v>153</v>
      </c>
      <c r="BY172" s="4" t="s">
        <v>153</v>
      </c>
      <c r="BZ172" s="4" t="s">
        <v>153</v>
      </c>
      <c r="CA172" s="4" t="s">
        <v>153</v>
      </c>
      <c r="CB172" s="4"/>
      <c r="CC172" s="4" t="s">
        <v>153</v>
      </c>
      <c r="CD172" t="s">
        <v>153</v>
      </c>
      <c r="CE172" s="4" t="s">
        <v>153</v>
      </c>
      <c r="CF172" s="4" t="s">
        <v>153</v>
      </c>
      <c r="CG172" s="4" t="s">
        <v>153</v>
      </c>
      <c r="CH172" s="5"/>
      <c r="CI172" t="s">
        <v>153</v>
      </c>
      <c r="CJ172" s="4"/>
      <c r="CK172" t="s">
        <v>153</v>
      </c>
      <c r="CL172" t="s">
        <v>153</v>
      </c>
      <c r="CM172" t="s">
        <v>153</v>
      </c>
      <c r="CN172" t="s">
        <v>153</v>
      </c>
      <c r="CO172" s="5"/>
      <c r="CP172" s="4" t="s">
        <v>153</v>
      </c>
      <c r="CQ172" s="4" t="s">
        <v>153</v>
      </c>
      <c r="CR172" t="s">
        <v>153</v>
      </c>
      <c r="CS172" t="s">
        <v>153</v>
      </c>
      <c r="CT172" t="s">
        <v>153</v>
      </c>
      <c r="CU172" t="s">
        <v>153</v>
      </c>
      <c r="CV172" t="s">
        <v>153</v>
      </c>
      <c r="CW172" t="s">
        <v>153</v>
      </c>
      <c r="CX172" t="s">
        <v>153</v>
      </c>
      <c r="CY172" t="s">
        <v>153</v>
      </c>
      <c r="CZ172" t="s">
        <v>153</v>
      </c>
      <c r="DA172" t="s">
        <v>153</v>
      </c>
      <c r="DB172" t="s">
        <v>153</v>
      </c>
      <c r="DC172" t="s">
        <v>153</v>
      </c>
      <c r="DD172" t="s">
        <v>153</v>
      </c>
      <c r="DE172" t="s">
        <v>153</v>
      </c>
      <c r="DF172" t="s">
        <v>153</v>
      </c>
      <c r="DG172" t="s">
        <v>153</v>
      </c>
      <c r="DI172" t="s">
        <v>153</v>
      </c>
      <c r="DJ172" t="s">
        <v>153</v>
      </c>
      <c r="DK172" t="s">
        <v>153</v>
      </c>
      <c r="DL172" t="s">
        <v>153</v>
      </c>
      <c r="DN172" t="s">
        <v>153</v>
      </c>
      <c r="DO172" t="s">
        <v>153</v>
      </c>
      <c r="DP172" t="s">
        <v>153</v>
      </c>
      <c r="DQ172" t="s">
        <v>153</v>
      </c>
      <c r="DR172" t="s">
        <v>153</v>
      </c>
      <c r="DS172" t="s">
        <v>153</v>
      </c>
      <c r="DT172" t="s">
        <v>153</v>
      </c>
      <c r="DU172" t="s">
        <v>153</v>
      </c>
      <c r="DV172" t="s">
        <v>153</v>
      </c>
      <c r="DW172" t="s">
        <v>153</v>
      </c>
      <c r="DX172" s="2"/>
      <c r="DY172" t="s">
        <v>153</v>
      </c>
      <c r="DZ172" t="s">
        <v>153</v>
      </c>
      <c r="EA172" t="s">
        <v>153</v>
      </c>
      <c r="EB172" t="s">
        <v>153</v>
      </c>
      <c r="EC172" t="s">
        <v>153</v>
      </c>
      <c r="ED172" t="s">
        <v>153</v>
      </c>
      <c r="EE172" t="s">
        <v>153</v>
      </c>
      <c r="EF172" t="s">
        <v>153</v>
      </c>
      <c r="EH172" t="s">
        <v>153</v>
      </c>
      <c r="EI172" t="s">
        <v>153</v>
      </c>
      <c r="EJ172" t="s">
        <v>153</v>
      </c>
      <c r="EK172" t="s">
        <v>153</v>
      </c>
      <c r="EM172" t="s">
        <v>153</v>
      </c>
      <c r="EN172" t="s">
        <v>153</v>
      </c>
      <c r="EP172" s="4" t="s">
        <v>153</v>
      </c>
      <c r="EQ172" s="4" t="s">
        <v>153</v>
      </c>
      <c r="ER172" s="4" t="s">
        <v>153</v>
      </c>
      <c r="ES172" s="4" t="s">
        <v>153</v>
      </c>
      <c r="ET172" t="s">
        <v>153</v>
      </c>
      <c r="EU172" t="s">
        <v>2284</v>
      </c>
      <c r="EV172" t="s">
        <v>2285</v>
      </c>
      <c r="EW172">
        <v>1251824038</v>
      </c>
      <c r="EX172" t="s">
        <v>2286</v>
      </c>
    </row>
    <row r="173" spans="1:154" x14ac:dyDescent="0.25">
      <c r="A173" s="3">
        <v>45510.521736111114</v>
      </c>
      <c r="B173" s="4" t="s">
        <v>153</v>
      </c>
      <c r="C173" s="4" t="s">
        <v>2287</v>
      </c>
      <c r="D173" s="4" t="s">
        <v>2288</v>
      </c>
      <c r="E173" s="4" t="s">
        <v>2289</v>
      </c>
      <c r="F173" s="4" t="s">
        <v>2290</v>
      </c>
      <c r="G173" s="4" t="s">
        <v>948</v>
      </c>
      <c r="H173" s="4" t="s">
        <v>226</v>
      </c>
      <c r="I173" s="4" t="s">
        <v>2291</v>
      </c>
      <c r="J173" s="4" t="s">
        <v>2292</v>
      </c>
      <c r="K173" s="5">
        <v>45457</v>
      </c>
      <c r="L173" s="4" t="s">
        <v>2293</v>
      </c>
      <c r="M173" s="4" t="s">
        <v>2294</v>
      </c>
      <c r="N173" s="4" t="s">
        <v>153</v>
      </c>
      <c r="O173" s="4" t="s">
        <v>153</v>
      </c>
      <c r="P173" s="4" t="s">
        <v>153</v>
      </c>
      <c r="Q173" s="4" t="s">
        <v>153</v>
      </c>
      <c r="R173" s="4" t="s">
        <v>153</v>
      </c>
      <c r="S173" s="4" t="s">
        <v>153</v>
      </c>
      <c r="T173" s="4" t="s">
        <v>153</v>
      </c>
      <c r="U173" s="4" t="s">
        <v>153</v>
      </c>
      <c r="V173" s="4" t="s">
        <v>153</v>
      </c>
      <c r="W173" s="4" t="s">
        <v>153</v>
      </c>
      <c r="X173" s="4" t="s">
        <v>153</v>
      </c>
      <c r="Y173" s="4" t="s">
        <v>153</v>
      </c>
      <c r="Z173" s="4" t="s">
        <v>153</v>
      </c>
      <c r="AA173" s="4" t="s">
        <v>153</v>
      </c>
      <c r="AB173" s="4" t="s">
        <v>153</v>
      </c>
      <c r="AC173" s="4" t="s">
        <v>153</v>
      </c>
      <c r="AD173" s="4" t="s">
        <v>153</v>
      </c>
      <c r="AE173" s="4" t="s">
        <v>153</v>
      </c>
      <c r="AF173" s="4" t="s">
        <v>153</v>
      </c>
      <c r="AG173" s="4" t="s">
        <v>153</v>
      </c>
      <c r="AH173" s="4" t="s">
        <v>153</v>
      </c>
      <c r="AI173" s="5"/>
      <c r="AJ173" t="s">
        <v>153</v>
      </c>
      <c r="AK173" s="4"/>
      <c r="AL173" t="s">
        <v>153</v>
      </c>
      <c r="AM173" t="s">
        <v>153</v>
      </c>
      <c r="AO173" t="s">
        <v>153</v>
      </c>
      <c r="AP173" s="4"/>
      <c r="AQ173" t="s">
        <v>153</v>
      </c>
      <c r="AR173" s="5">
        <v>45457</v>
      </c>
      <c r="AS173">
        <v>0</v>
      </c>
      <c r="AT173" s="4" t="s">
        <v>153</v>
      </c>
      <c r="AU173" s="4" t="s">
        <v>153</v>
      </c>
      <c r="AV173" s="4" t="s">
        <v>153</v>
      </c>
      <c r="AW173" t="s">
        <v>153</v>
      </c>
      <c r="AX173" t="s">
        <v>153</v>
      </c>
      <c r="AY173" t="s">
        <v>153</v>
      </c>
      <c r="AZ173" t="s">
        <v>153</v>
      </c>
      <c r="BA173" t="s">
        <v>153</v>
      </c>
      <c r="BB173" t="s">
        <v>153</v>
      </c>
      <c r="BC173" t="s">
        <v>153</v>
      </c>
      <c r="BD173" s="4" t="s">
        <v>2295</v>
      </c>
      <c r="BE173" s="4" t="s">
        <v>2296</v>
      </c>
      <c r="BF173" t="s">
        <v>242</v>
      </c>
      <c r="BG173" s="4" t="s">
        <v>927</v>
      </c>
      <c r="BH173" t="s">
        <v>153</v>
      </c>
      <c r="BI173" s="4" t="s">
        <v>153</v>
      </c>
      <c r="BJ173" t="s">
        <v>153</v>
      </c>
      <c r="BK173" s="4" t="s">
        <v>153</v>
      </c>
      <c r="BL173" t="s">
        <v>153</v>
      </c>
      <c r="BM173" t="s">
        <v>153</v>
      </c>
      <c r="BN173" s="4" t="s">
        <v>153</v>
      </c>
      <c r="BO173" s="4" t="s">
        <v>153</v>
      </c>
      <c r="BP173" s="4" t="s">
        <v>153</v>
      </c>
      <c r="BQ173" s="4" t="s">
        <v>153</v>
      </c>
      <c r="BR173" s="4" t="s">
        <v>153</v>
      </c>
      <c r="BS173" s="4" t="s">
        <v>153</v>
      </c>
      <c r="BT173" s="4" t="s">
        <v>153</v>
      </c>
      <c r="BU173" s="4" t="s">
        <v>153</v>
      </c>
      <c r="BV173" s="4"/>
      <c r="BW173" s="4" t="s">
        <v>153</v>
      </c>
      <c r="BX173" s="4" t="s">
        <v>153</v>
      </c>
      <c r="BY173" s="4" t="s">
        <v>153</v>
      </c>
      <c r="BZ173" s="4" t="s">
        <v>153</v>
      </c>
      <c r="CA173" s="4" t="s">
        <v>153</v>
      </c>
      <c r="CB173" s="4"/>
      <c r="CC173" s="4" t="s">
        <v>153</v>
      </c>
      <c r="CD173" t="s">
        <v>153</v>
      </c>
      <c r="CE173" s="4" t="s">
        <v>153</v>
      </c>
      <c r="CF173" s="4" t="s">
        <v>153</v>
      </c>
      <c r="CG173" s="4" t="s">
        <v>153</v>
      </c>
      <c r="CH173" s="5"/>
      <c r="CI173" t="s">
        <v>153</v>
      </c>
      <c r="CJ173" s="4"/>
      <c r="CK173" t="s">
        <v>153</v>
      </c>
      <c r="CL173" t="s">
        <v>153</v>
      </c>
      <c r="CM173" t="s">
        <v>153</v>
      </c>
      <c r="CN173" t="s">
        <v>153</v>
      </c>
      <c r="CO173" s="5"/>
      <c r="CP173" s="4" t="s">
        <v>153</v>
      </c>
      <c r="CQ173" s="4" t="s">
        <v>153</v>
      </c>
      <c r="CR173" t="s">
        <v>153</v>
      </c>
      <c r="CS173" t="s">
        <v>153</v>
      </c>
      <c r="CT173" t="s">
        <v>153</v>
      </c>
      <c r="CU173" t="s">
        <v>153</v>
      </c>
      <c r="CV173" t="s">
        <v>153</v>
      </c>
      <c r="CW173" t="s">
        <v>153</v>
      </c>
      <c r="CX173" t="s">
        <v>153</v>
      </c>
      <c r="CY173" t="s">
        <v>153</v>
      </c>
      <c r="CZ173" t="s">
        <v>153</v>
      </c>
      <c r="DA173" t="s">
        <v>153</v>
      </c>
      <c r="DB173" t="s">
        <v>153</v>
      </c>
      <c r="DC173" t="s">
        <v>153</v>
      </c>
      <c r="DD173" t="s">
        <v>153</v>
      </c>
      <c r="DE173" t="s">
        <v>153</v>
      </c>
      <c r="DF173" t="s">
        <v>153</v>
      </c>
      <c r="DG173" t="s">
        <v>153</v>
      </c>
      <c r="DI173" t="s">
        <v>153</v>
      </c>
      <c r="DJ173" t="s">
        <v>153</v>
      </c>
      <c r="DK173" t="s">
        <v>153</v>
      </c>
      <c r="DL173" t="s">
        <v>153</v>
      </c>
      <c r="DN173" t="s">
        <v>153</v>
      </c>
      <c r="DO173" t="s">
        <v>153</v>
      </c>
      <c r="DP173" t="s">
        <v>153</v>
      </c>
      <c r="DQ173" t="s">
        <v>153</v>
      </c>
      <c r="DR173" t="s">
        <v>153</v>
      </c>
      <c r="DS173" t="s">
        <v>153</v>
      </c>
      <c r="DT173" t="s">
        <v>153</v>
      </c>
      <c r="DU173" t="s">
        <v>153</v>
      </c>
      <c r="DV173" t="s">
        <v>153</v>
      </c>
      <c r="DW173" t="s">
        <v>153</v>
      </c>
      <c r="DX173" s="2"/>
      <c r="DY173" t="s">
        <v>153</v>
      </c>
      <c r="DZ173" t="s">
        <v>153</v>
      </c>
      <c r="EA173" t="s">
        <v>153</v>
      </c>
      <c r="EB173" t="s">
        <v>153</v>
      </c>
      <c r="EC173" t="s">
        <v>153</v>
      </c>
      <c r="ED173" t="s">
        <v>153</v>
      </c>
      <c r="EE173" t="s">
        <v>153</v>
      </c>
      <c r="EF173" t="s">
        <v>153</v>
      </c>
      <c r="EH173" t="s">
        <v>153</v>
      </c>
      <c r="EI173" t="s">
        <v>153</v>
      </c>
      <c r="EJ173" t="s">
        <v>153</v>
      </c>
      <c r="EK173" t="s">
        <v>153</v>
      </c>
      <c r="EM173" t="s">
        <v>153</v>
      </c>
      <c r="EN173" t="s">
        <v>153</v>
      </c>
      <c r="EP173" s="4" t="s">
        <v>153</v>
      </c>
      <c r="EQ173" s="4" t="s">
        <v>153</v>
      </c>
      <c r="ER173" s="4" t="s">
        <v>191</v>
      </c>
      <c r="ES173" s="4" t="s">
        <v>153</v>
      </c>
      <c r="ET173" t="s">
        <v>243</v>
      </c>
      <c r="EU173" t="s">
        <v>2297</v>
      </c>
      <c r="EV173" t="s">
        <v>2298</v>
      </c>
      <c r="EW173">
        <v>1252211976</v>
      </c>
      <c r="EX173" t="s">
        <v>2299</v>
      </c>
    </row>
    <row r="174" spans="1:154" x14ac:dyDescent="0.25">
      <c r="A174" s="3">
        <v>45519.466180555559</v>
      </c>
      <c r="B174" s="4" t="s">
        <v>153</v>
      </c>
      <c r="C174" s="4" t="s">
        <v>659</v>
      </c>
      <c r="D174" s="4" t="s">
        <v>660</v>
      </c>
      <c r="E174" s="4" t="s">
        <v>661</v>
      </c>
      <c r="F174" s="4" t="s">
        <v>662</v>
      </c>
      <c r="G174" s="4" t="s">
        <v>252</v>
      </c>
      <c r="H174" s="4" t="s">
        <v>323</v>
      </c>
      <c r="I174" s="4" t="s">
        <v>2300</v>
      </c>
      <c r="J174" s="4" t="s">
        <v>2301</v>
      </c>
      <c r="K174" s="5"/>
      <c r="L174" s="4" t="s">
        <v>153</v>
      </c>
      <c r="M174" s="4" t="s">
        <v>153</v>
      </c>
      <c r="N174" s="4" t="s">
        <v>153</v>
      </c>
      <c r="O174" s="4" t="s">
        <v>153</v>
      </c>
      <c r="P174" s="4" t="s">
        <v>153</v>
      </c>
      <c r="Q174" s="4" t="s">
        <v>153</v>
      </c>
      <c r="R174" s="4" t="s">
        <v>153</v>
      </c>
      <c r="S174" s="4" t="s">
        <v>153</v>
      </c>
      <c r="T174" s="4" t="s">
        <v>153</v>
      </c>
      <c r="U174" s="4" t="s">
        <v>153</v>
      </c>
      <c r="V174" s="4" t="s">
        <v>153</v>
      </c>
      <c r="W174" s="4" t="s">
        <v>153</v>
      </c>
      <c r="X174" s="4" t="s">
        <v>153</v>
      </c>
      <c r="Y174" s="4" t="s">
        <v>153</v>
      </c>
      <c r="Z174" s="4" t="s">
        <v>153</v>
      </c>
      <c r="AA174" s="4" t="s">
        <v>153</v>
      </c>
      <c r="AB174" s="4" t="s">
        <v>153</v>
      </c>
      <c r="AC174" s="4" t="s">
        <v>153</v>
      </c>
      <c r="AD174" s="4" t="s">
        <v>153</v>
      </c>
      <c r="AE174" s="4" t="s">
        <v>153</v>
      </c>
      <c r="AF174" s="4" t="s">
        <v>153</v>
      </c>
      <c r="AG174" s="4" t="s">
        <v>153</v>
      </c>
      <c r="AH174" s="4" t="s">
        <v>153</v>
      </c>
      <c r="AI174" s="5"/>
      <c r="AJ174" t="s">
        <v>153</v>
      </c>
      <c r="AK174" s="4"/>
      <c r="AL174" t="s">
        <v>153</v>
      </c>
      <c r="AM174" t="s">
        <v>153</v>
      </c>
      <c r="AO174" t="s">
        <v>153</v>
      </c>
      <c r="AP174" s="4"/>
      <c r="AQ174" t="s">
        <v>153</v>
      </c>
      <c r="AR174" s="5">
        <v>45415</v>
      </c>
      <c r="AS174">
        <v>1</v>
      </c>
      <c r="AT174" s="4" t="s">
        <v>2302</v>
      </c>
      <c r="AU174" s="4" t="s">
        <v>2303</v>
      </c>
      <c r="AV174" s="4" t="s">
        <v>256</v>
      </c>
      <c r="AW174" t="s">
        <v>153</v>
      </c>
      <c r="AX174" t="s">
        <v>153</v>
      </c>
      <c r="AY174" t="s">
        <v>153</v>
      </c>
      <c r="AZ174" t="s">
        <v>1789</v>
      </c>
      <c r="BA174" t="s">
        <v>153</v>
      </c>
      <c r="BB174" t="s">
        <v>153</v>
      </c>
      <c r="BC174" t="s">
        <v>153</v>
      </c>
      <c r="BD174" s="4" t="s">
        <v>2304</v>
      </c>
      <c r="BE174" s="4" t="s">
        <v>2305</v>
      </c>
      <c r="BF174" t="s">
        <v>243</v>
      </c>
      <c r="BG174" s="4" t="s">
        <v>153</v>
      </c>
      <c r="BH174" t="s">
        <v>153</v>
      </c>
      <c r="BI174" s="4" t="s">
        <v>153</v>
      </c>
      <c r="BJ174" t="s">
        <v>153</v>
      </c>
      <c r="BK174" s="4" t="s">
        <v>153</v>
      </c>
      <c r="BL174" t="s">
        <v>153</v>
      </c>
      <c r="BM174" t="s">
        <v>153</v>
      </c>
      <c r="BN174" s="4" t="s">
        <v>153</v>
      </c>
      <c r="BO174" s="4" t="s">
        <v>153</v>
      </c>
      <c r="BP174" s="4" t="s">
        <v>153</v>
      </c>
      <c r="BQ174" s="4" t="s">
        <v>153</v>
      </c>
      <c r="BR174" s="4" t="s">
        <v>153</v>
      </c>
      <c r="BS174" s="4" t="s">
        <v>153</v>
      </c>
      <c r="BT174" s="4" t="s">
        <v>153</v>
      </c>
      <c r="BU174" s="4" t="s">
        <v>153</v>
      </c>
      <c r="BV174" s="4"/>
      <c r="BW174" s="4" t="s">
        <v>153</v>
      </c>
      <c r="BX174" s="4" t="s">
        <v>153</v>
      </c>
      <c r="BY174" s="4" t="s">
        <v>153</v>
      </c>
      <c r="BZ174" s="4" t="s">
        <v>153</v>
      </c>
      <c r="CA174" s="4" t="s">
        <v>153</v>
      </c>
      <c r="CB174" s="4"/>
      <c r="CC174" s="4" t="s">
        <v>153</v>
      </c>
      <c r="CD174" t="s">
        <v>153</v>
      </c>
      <c r="CE174" s="4" t="s">
        <v>153</v>
      </c>
      <c r="CF174" s="4" t="s">
        <v>153</v>
      </c>
      <c r="CG174" s="4" t="s">
        <v>153</v>
      </c>
      <c r="CH174" s="5"/>
      <c r="CI174" t="s">
        <v>153</v>
      </c>
      <c r="CJ174" s="4"/>
      <c r="CK174" t="s">
        <v>153</v>
      </c>
      <c r="CL174" t="s">
        <v>153</v>
      </c>
      <c r="CM174" t="s">
        <v>153</v>
      </c>
      <c r="CN174" t="s">
        <v>153</v>
      </c>
      <c r="CO174" s="5"/>
      <c r="CP174" s="4" t="s">
        <v>153</v>
      </c>
      <c r="CQ174" s="4" t="s">
        <v>153</v>
      </c>
      <c r="CR174" t="s">
        <v>153</v>
      </c>
      <c r="CS174" t="s">
        <v>153</v>
      </c>
      <c r="CT174" t="s">
        <v>153</v>
      </c>
      <c r="CU174" t="s">
        <v>153</v>
      </c>
      <c r="CV174" t="s">
        <v>153</v>
      </c>
      <c r="CW174" t="s">
        <v>153</v>
      </c>
      <c r="CX174" t="s">
        <v>153</v>
      </c>
      <c r="CY174" t="s">
        <v>153</v>
      </c>
      <c r="CZ174" t="s">
        <v>153</v>
      </c>
      <c r="DA174" t="s">
        <v>153</v>
      </c>
      <c r="DB174" t="s">
        <v>153</v>
      </c>
      <c r="DC174" t="s">
        <v>153</v>
      </c>
      <c r="DD174" t="s">
        <v>153</v>
      </c>
      <c r="DE174" t="s">
        <v>153</v>
      </c>
      <c r="DF174" t="s">
        <v>153</v>
      </c>
      <c r="DG174" t="s">
        <v>153</v>
      </c>
      <c r="DI174" t="s">
        <v>153</v>
      </c>
      <c r="DJ174" t="s">
        <v>153</v>
      </c>
      <c r="DK174" t="s">
        <v>153</v>
      </c>
      <c r="DL174" t="s">
        <v>153</v>
      </c>
      <c r="DN174" t="s">
        <v>153</v>
      </c>
      <c r="DO174" t="s">
        <v>153</v>
      </c>
      <c r="DP174" t="s">
        <v>153</v>
      </c>
      <c r="DQ174" t="s">
        <v>153</v>
      </c>
      <c r="DR174" t="s">
        <v>153</v>
      </c>
      <c r="DS174" t="s">
        <v>153</v>
      </c>
      <c r="DT174" t="s">
        <v>153</v>
      </c>
      <c r="DU174" t="s">
        <v>153</v>
      </c>
      <c r="DV174" t="s">
        <v>153</v>
      </c>
      <c r="DW174" t="s">
        <v>153</v>
      </c>
      <c r="DX174" s="2"/>
      <c r="DY174" t="s">
        <v>153</v>
      </c>
      <c r="DZ174" t="s">
        <v>153</v>
      </c>
      <c r="EA174" t="s">
        <v>153</v>
      </c>
      <c r="EB174" t="s">
        <v>153</v>
      </c>
      <c r="EC174" t="s">
        <v>153</v>
      </c>
      <c r="ED174" t="s">
        <v>153</v>
      </c>
      <c r="EE174" t="s">
        <v>153</v>
      </c>
      <c r="EF174" t="s">
        <v>153</v>
      </c>
      <c r="EH174" t="s">
        <v>153</v>
      </c>
      <c r="EI174" t="s">
        <v>153</v>
      </c>
      <c r="EJ174" t="s">
        <v>153</v>
      </c>
      <c r="EK174" t="s">
        <v>153</v>
      </c>
      <c r="EM174" t="s">
        <v>153</v>
      </c>
      <c r="EN174" t="s">
        <v>153</v>
      </c>
      <c r="EP174" s="4" t="s">
        <v>153</v>
      </c>
      <c r="EQ174" s="4" t="s">
        <v>153</v>
      </c>
      <c r="ER174" s="4" t="s">
        <v>243</v>
      </c>
      <c r="ES174" s="4" t="s">
        <v>356</v>
      </c>
      <c r="ET174" t="s">
        <v>2306</v>
      </c>
      <c r="EU174" t="s">
        <v>2284</v>
      </c>
      <c r="EV174" t="s">
        <v>1706</v>
      </c>
      <c r="EW174">
        <v>1255431106</v>
      </c>
      <c r="EX174" t="s">
        <v>340</v>
      </c>
    </row>
    <row r="175" spans="1:154" x14ac:dyDescent="0.25">
      <c r="A175" s="3">
        <v>45519.509756944448</v>
      </c>
      <c r="B175" s="4" t="s">
        <v>153</v>
      </c>
      <c r="C175" s="4" t="s">
        <v>659</v>
      </c>
      <c r="D175" s="4" t="s">
        <v>660</v>
      </c>
      <c r="E175" s="4" t="s">
        <v>661</v>
      </c>
      <c r="F175" s="4" t="s">
        <v>662</v>
      </c>
      <c r="G175" s="4" t="s">
        <v>252</v>
      </c>
      <c r="H175" s="4" t="s">
        <v>323</v>
      </c>
      <c r="I175" s="4" t="s">
        <v>2307</v>
      </c>
      <c r="J175" s="4" t="s">
        <v>2308</v>
      </c>
      <c r="K175" s="5"/>
      <c r="L175" s="4" t="s">
        <v>153</v>
      </c>
      <c r="M175" s="4" t="s">
        <v>153</v>
      </c>
      <c r="N175" s="4" t="s">
        <v>153</v>
      </c>
      <c r="O175" s="4" t="s">
        <v>153</v>
      </c>
      <c r="P175" s="4" t="s">
        <v>153</v>
      </c>
      <c r="Q175" s="4" t="s">
        <v>153</v>
      </c>
      <c r="R175" s="4" t="s">
        <v>153</v>
      </c>
      <c r="S175" s="4" t="s">
        <v>153</v>
      </c>
      <c r="T175" s="4" t="s">
        <v>153</v>
      </c>
      <c r="U175" s="4" t="s">
        <v>153</v>
      </c>
      <c r="V175" s="4" t="s">
        <v>153</v>
      </c>
      <c r="W175" s="4" t="s">
        <v>153</v>
      </c>
      <c r="X175" s="4" t="s">
        <v>153</v>
      </c>
      <c r="Y175" s="4" t="s">
        <v>153</v>
      </c>
      <c r="Z175" s="4" t="s">
        <v>153</v>
      </c>
      <c r="AA175" s="4" t="s">
        <v>153</v>
      </c>
      <c r="AB175" s="4" t="s">
        <v>153</v>
      </c>
      <c r="AC175" s="4" t="s">
        <v>153</v>
      </c>
      <c r="AD175" s="4" t="s">
        <v>153</v>
      </c>
      <c r="AE175" s="4" t="s">
        <v>153</v>
      </c>
      <c r="AF175" s="4" t="s">
        <v>153</v>
      </c>
      <c r="AG175" s="4" t="s">
        <v>153</v>
      </c>
      <c r="AH175" s="4" t="s">
        <v>153</v>
      </c>
      <c r="AI175" s="5"/>
      <c r="AJ175" t="s">
        <v>153</v>
      </c>
      <c r="AK175" s="4"/>
      <c r="AL175" t="s">
        <v>153</v>
      </c>
      <c r="AM175" t="s">
        <v>153</v>
      </c>
      <c r="AO175" t="s">
        <v>153</v>
      </c>
      <c r="AP175" s="4"/>
      <c r="AQ175" t="s">
        <v>153</v>
      </c>
      <c r="AR175" s="5">
        <v>45415</v>
      </c>
      <c r="AS175">
        <v>3</v>
      </c>
      <c r="AT175" s="4" t="s">
        <v>2309</v>
      </c>
      <c r="AU175" s="4" t="s">
        <v>2310</v>
      </c>
      <c r="AV175" s="4" t="s">
        <v>153</v>
      </c>
      <c r="AW175" t="s">
        <v>153</v>
      </c>
      <c r="AX175" t="s">
        <v>153</v>
      </c>
      <c r="AY175" t="s">
        <v>153</v>
      </c>
      <c r="AZ175" t="s">
        <v>2311</v>
      </c>
      <c r="BA175" t="s">
        <v>153</v>
      </c>
      <c r="BB175" t="s">
        <v>153</v>
      </c>
      <c r="BC175" t="s">
        <v>2312</v>
      </c>
      <c r="BD175" s="4" t="s">
        <v>2313</v>
      </c>
      <c r="BE175" s="4" t="s">
        <v>2314</v>
      </c>
      <c r="BF175" t="s">
        <v>243</v>
      </c>
      <c r="BG175" s="4" t="s">
        <v>153</v>
      </c>
      <c r="BH175" t="s">
        <v>153</v>
      </c>
      <c r="BI175" s="4" t="s">
        <v>153</v>
      </c>
      <c r="BJ175" t="s">
        <v>153</v>
      </c>
      <c r="BK175" s="4" t="s">
        <v>153</v>
      </c>
      <c r="BL175" t="s">
        <v>153</v>
      </c>
      <c r="BM175" t="s">
        <v>153</v>
      </c>
      <c r="BN175" s="4" t="s">
        <v>153</v>
      </c>
      <c r="BO175" s="4" t="s">
        <v>153</v>
      </c>
      <c r="BP175" s="4" t="s">
        <v>153</v>
      </c>
      <c r="BQ175" s="4" t="s">
        <v>153</v>
      </c>
      <c r="BR175" s="4" t="s">
        <v>153</v>
      </c>
      <c r="BS175" s="4" t="s">
        <v>153</v>
      </c>
      <c r="BT175" s="4" t="s">
        <v>153</v>
      </c>
      <c r="BU175" s="4" t="s">
        <v>153</v>
      </c>
      <c r="BV175" s="4"/>
      <c r="BW175" s="4" t="s">
        <v>153</v>
      </c>
      <c r="BX175" s="4" t="s">
        <v>153</v>
      </c>
      <c r="BY175" s="4" t="s">
        <v>153</v>
      </c>
      <c r="BZ175" s="4" t="s">
        <v>153</v>
      </c>
      <c r="CA175" s="4" t="s">
        <v>153</v>
      </c>
      <c r="CB175" s="4"/>
      <c r="CC175" s="4" t="s">
        <v>153</v>
      </c>
      <c r="CD175" t="s">
        <v>153</v>
      </c>
      <c r="CE175" s="4" t="s">
        <v>153</v>
      </c>
      <c r="CF175" s="4" t="s">
        <v>153</v>
      </c>
      <c r="CG175" s="4" t="s">
        <v>153</v>
      </c>
      <c r="CH175" s="5"/>
      <c r="CI175" t="s">
        <v>153</v>
      </c>
      <c r="CJ175" s="4"/>
      <c r="CK175" t="s">
        <v>153</v>
      </c>
      <c r="CL175" t="s">
        <v>153</v>
      </c>
      <c r="CM175" t="s">
        <v>153</v>
      </c>
      <c r="CN175" t="s">
        <v>153</v>
      </c>
      <c r="CO175" s="5"/>
      <c r="CP175" s="4" t="s">
        <v>153</v>
      </c>
      <c r="CQ175" s="4" t="s">
        <v>153</v>
      </c>
      <c r="CR175" t="s">
        <v>153</v>
      </c>
      <c r="CS175" t="s">
        <v>153</v>
      </c>
      <c r="CT175" t="s">
        <v>153</v>
      </c>
      <c r="CU175" t="s">
        <v>153</v>
      </c>
      <c r="CV175" t="s">
        <v>153</v>
      </c>
      <c r="CW175" t="s">
        <v>153</v>
      </c>
      <c r="CX175" t="s">
        <v>153</v>
      </c>
      <c r="CY175" t="s">
        <v>153</v>
      </c>
      <c r="CZ175" t="s">
        <v>153</v>
      </c>
      <c r="DA175" t="s">
        <v>153</v>
      </c>
      <c r="DB175" t="s">
        <v>153</v>
      </c>
      <c r="DC175" t="s">
        <v>153</v>
      </c>
      <c r="DD175" t="s">
        <v>153</v>
      </c>
      <c r="DE175" t="s">
        <v>153</v>
      </c>
      <c r="DF175" t="s">
        <v>153</v>
      </c>
      <c r="DG175" t="s">
        <v>153</v>
      </c>
      <c r="DI175" t="s">
        <v>153</v>
      </c>
      <c r="DJ175" t="s">
        <v>153</v>
      </c>
      <c r="DK175" t="s">
        <v>153</v>
      </c>
      <c r="DL175" t="s">
        <v>153</v>
      </c>
      <c r="DN175" t="s">
        <v>153</v>
      </c>
      <c r="DO175" t="s">
        <v>153</v>
      </c>
      <c r="DP175" t="s">
        <v>153</v>
      </c>
      <c r="DQ175" t="s">
        <v>153</v>
      </c>
      <c r="DR175" t="s">
        <v>153</v>
      </c>
      <c r="DS175" t="s">
        <v>153</v>
      </c>
      <c r="DT175" t="s">
        <v>153</v>
      </c>
      <c r="DU175" t="s">
        <v>153</v>
      </c>
      <c r="DV175" t="s">
        <v>153</v>
      </c>
      <c r="DW175" t="s">
        <v>153</v>
      </c>
      <c r="DX175" s="2"/>
      <c r="DY175" t="s">
        <v>153</v>
      </c>
      <c r="DZ175" t="s">
        <v>153</v>
      </c>
      <c r="EA175" t="s">
        <v>153</v>
      </c>
      <c r="EB175" t="s">
        <v>153</v>
      </c>
      <c r="EC175" t="s">
        <v>153</v>
      </c>
      <c r="ED175" t="s">
        <v>153</v>
      </c>
      <c r="EE175" t="s">
        <v>153</v>
      </c>
      <c r="EF175" t="s">
        <v>153</v>
      </c>
      <c r="EH175" t="s">
        <v>153</v>
      </c>
      <c r="EI175" t="s">
        <v>153</v>
      </c>
      <c r="EJ175" t="s">
        <v>153</v>
      </c>
      <c r="EK175" t="s">
        <v>153</v>
      </c>
      <c r="EM175" t="s">
        <v>153</v>
      </c>
      <c r="EN175" t="s">
        <v>153</v>
      </c>
      <c r="EP175" s="4" t="s">
        <v>153</v>
      </c>
      <c r="EQ175" s="4" t="s">
        <v>153</v>
      </c>
      <c r="ER175" s="4" t="s">
        <v>243</v>
      </c>
      <c r="ES175" s="4" t="s">
        <v>356</v>
      </c>
      <c r="ET175" t="s">
        <v>2315</v>
      </c>
      <c r="EU175" t="s">
        <v>2284</v>
      </c>
      <c r="EV175" t="s">
        <v>1706</v>
      </c>
      <c r="EW175">
        <v>1255458714</v>
      </c>
      <c r="EX175" t="s">
        <v>340</v>
      </c>
    </row>
    <row r="176" spans="1:154" x14ac:dyDescent="0.25">
      <c r="A176" s="3">
        <v>45519.526261574072</v>
      </c>
      <c r="B176" s="4" t="s">
        <v>153</v>
      </c>
      <c r="C176" s="4" t="s">
        <v>659</v>
      </c>
      <c r="D176" s="4" t="s">
        <v>660</v>
      </c>
      <c r="E176" s="4" t="s">
        <v>661</v>
      </c>
      <c r="F176" s="4" t="s">
        <v>662</v>
      </c>
      <c r="G176" s="4" t="s">
        <v>252</v>
      </c>
      <c r="H176" s="4" t="s">
        <v>323</v>
      </c>
      <c r="I176" s="4" t="s">
        <v>2316</v>
      </c>
      <c r="J176" s="4" t="s">
        <v>2317</v>
      </c>
      <c r="K176" s="5"/>
      <c r="L176" s="4" t="s">
        <v>153</v>
      </c>
      <c r="M176" s="4" t="s">
        <v>153</v>
      </c>
      <c r="N176" s="4" t="s">
        <v>153</v>
      </c>
      <c r="O176" s="4" t="s">
        <v>153</v>
      </c>
      <c r="P176" s="4" t="s">
        <v>153</v>
      </c>
      <c r="Q176" s="4" t="s">
        <v>153</v>
      </c>
      <c r="R176" s="4" t="s">
        <v>153</v>
      </c>
      <c r="S176" s="4" t="s">
        <v>153</v>
      </c>
      <c r="T176" s="4" t="s">
        <v>153</v>
      </c>
      <c r="U176" s="4" t="s">
        <v>153</v>
      </c>
      <c r="V176" s="4" t="s">
        <v>153</v>
      </c>
      <c r="W176" s="4" t="s">
        <v>153</v>
      </c>
      <c r="X176" s="4" t="s">
        <v>153</v>
      </c>
      <c r="Y176" s="4" t="s">
        <v>153</v>
      </c>
      <c r="Z176" s="4" t="s">
        <v>153</v>
      </c>
      <c r="AA176" s="4" t="s">
        <v>153</v>
      </c>
      <c r="AB176" s="4" t="s">
        <v>153</v>
      </c>
      <c r="AC176" s="4" t="s">
        <v>153</v>
      </c>
      <c r="AD176" s="4" t="s">
        <v>153</v>
      </c>
      <c r="AE176" s="4" t="s">
        <v>153</v>
      </c>
      <c r="AF176" s="4" t="s">
        <v>153</v>
      </c>
      <c r="AG176" s="4" t="s">
        <v>153</v>
      </c>
      <c r="AH176" s="4" t="s">
        <v>153</v>
      </c>
      <c r="AI176" s="5"/>
      <c r="AJ176" t="s">
        <v>153</v>
      </c>
      <c r="AK176" s="4"/>
      <c r="AL176" t="s">
        <v>153</v>
      </c>
      <c r="AM176" t="s">
        <v>153</v>
      </c>
      <c r="AO176" t="s">
        <v>153</v>
      </c>
      <c r="AP176" s="4"/>
      <c r="AQ176" t="s">
        <v>153</v>
      </c>
      <c r="AR176" s="5">
        <v>45415</v>
      </c>
      <c r="AS176">
        <v>1</v>
      </c>
      <c r="AT176" s="4" t="s">
        <v>718</v>
      </c>
      <c r="AU176" s="4" t="s">
        <v>719</v>
      </c>
      <c r="AV176" s="4" t="s">
        <v>153</v>
      </c>
      <c r="AW176" t="s">
        <v>153</v>
      </c>
      <c r="AX176" t="s">
        <v>153</v>
      </c>
      <c r="AY176" t="s">
        <v>153</v>
      </c>
      <c r="AZ176" t="s">
        <v>2318</v>
      </c>
      <c r="BA176" t="s">
        <v>153</v>
      </c>
      <c r="BB176" t="s">
        <v>153</v>
      </c>
      <c r="BC176" t="s">
        <v>153</v>
      </c>
      <c r="BD176" s="4" t="s">
        <v>2319</v>
      </c>
      <c r="BE176" s="4" t="s">
        <v>2320</v>
      </c>
      <c r="BF176" t="s">
        <v>243</v>
      </c>
      <c r="BG176" s="4" t="s">
        <v>153</v>
      </c>
      <c r="BH176" t="s">
        <v>153</v>
      </c>
      <c r="BI176" s="4" t="s">
        <v>153</v>
      </c>
      <c r="BJ176" t="s">
        <v>153</v>
      </c>
      <c r="BK176" s="4" t="s">
        <v>153</v>
      </c>
      <c r="BL176" t="s">
        <v>153</v>
      </c>
      <c r="BM176" t="s">
        <v>153</v>
      </c>
      <c r="BN176" s="4" t="s">
        <v>153</v>
      </c>
      <c r="BO176" s="4" t="s">
        <v>153</v>
      </c>
      <c r="BP176" s="4" t="s">
        <v>153</v>
      </c>
      <c r="BQ176" s="4" t="s">
        <v>153</v>
      </c>
      <c r="BR176" s="4" t="s">
        <v>153</v>
      </c>
      <c r="BS176" s="4" t="s">
        <v>153</v>
      </c>
      <c r="BT176" s="4" t="s">
        <v>153</v>
      </c>
      <c r="BU176" s="4" t="s">
        <v>153</v>
      </c>
      <c r="BV176" s="4"/>
      <c r="BW176" s="4" t="s">
        <v>153</v>
      </c>
      <c r="BX176" s="4" t="s">
        <v>153</v>
      </c>
      <c r="BY176" s="4" t="s">
        <v>153</v>
      </c>
      <c r="BZ176" s="4" t="s">
        <v>153</v>
      </c>
      <c r="CA176" s="4" t="s">
        <v>153</v>
      </c>
      <c r="CB176" s="4"/>
      <c r="CC176" s="4" t="s">
        <v>153</v>
      </c>
      <c r="CD176" t="s">
        <v>153</v>
      </c>
      <c r="CE176" s="4" t="s">
        <v>153</v>
      </c>
      <c r="CF176" s="4" t="s">
        <v>153</v>
      </c>
      <c r="CG176" s="4" t="s">
        <v>153</v>
      </c>
      <c r="CH176" s="5"/>
      <c r="CI176" t="s">
        <v>153</v>
      </c>
      <c r="CJ176" s="4"/>
      <c r="CK176" t="s">
        <v>153</v>
      </c>
      <c r="CL176" t="s">
        <v>153</v>
      </c>
      <c r="CM176" t="s">
        <v>153</v>
      </c>
      <c r="CN176" t="s">
        <v>153</v>
      </c>
      <c r="CO176" s="5"/>
      <c r="CP176" s="4" t="s">
        <v>153</v>
      </c>
      <c r="CQ176" s="4" t="s">
        <v>153</v>
      </c>
      <c r="CR176" t="s">
        <v>153</v>
      </c>
      <c r="CS176" t="s">
        <v>153</v>
      </c>
      <c r="CT176" t="s">
        <v>153</v>
      </c>
      <c r="CU176" t="s">
        <v>153</v>
      </c>
      <c r="CV176" t="s">
        <v>153</v>
      </c>
      <c r="CW176" t="s">
        <v>153</v>
      </c>
      <c r="CX176" t="s">
        <v>153</v>
      </c>
      <c r="CY176" t="s">
        <v>153</v>
      </c>
      <c r="CZ176" t="s">
        <v>153</v>
      </c>
      <c r="DA176" t="s">
        <v>153</v>
      </c>
      <c r="DB176" t="s">
        <v>153</v>
      </c>
      <c r="DC176" t="s">
        <v>153</v>
      </c>
      <c r="DD176" t="s">
        <v>153</v>
      </c>
      <c r="DE176" t="s">
        <v>153</v>
      </c>
      <c r="DF176" t="s">
        <v>153</v>
      </c>
      <c r="DG176" t="s">
        <v>153</v>
      </c>
      <c r="DI176" t="s">
        <v>153</v>
      </c>
      <c r="DJ176" t="s">
        <v>153</v>
      </c>
      <c r="DK176" t="s">
        <v>153</v>
      </c>
      <c r="DL176" t="s">
        <v>153</v>
      </c>
      <c r="DN176" t="s">
        <v>153</v>
      </c>
      <c r="DO176" t="s">
        <v>153</v>
      </c>
      <c r="DP176" t="s">
        <v>153</v>
      </c>
      <c r="DQ176" t="s">
        <v>153</v>
      </c>
      <c r="DR176" t="s">
        <v>153</v>
      </c>
      <c r="DS176" t="s">
        <v>153</v>
      </c>
      <c r="DT176" t="s">
        <v>153</v>
      </c>
      <c r="DU176" t="s">
        <v>153</v>
      </c>
      <c r="DV176" t="s">
        <v>153</v>
      </c>
      <c r="DW176" t="s">
        <v>153</v>
      </c>
      <c r="DX176" s="2"/>
      <c r="DY176" t="s">
        <v>153</v>
      </c>
      <c r="DZ176" t="s">
        <v>153</v>
      </c>
      <c r="EA176" t="s">
        <v>153</v>
      </c>
      <c r="EB176" t="s">
        <v>153</v>
      </c>
      <c r="EC176" t="s">
        <v>153</v>
      </c>
      <c r="ED176" t="s">
        <v>153</v>
      </c>
      <c r="EE176" t="s">
        <v>153</v>
      </c>
      <c r="EF176" t="s">
        <v>153</v>
      </c>
      <c r="EH176" t="s">
        <v>153</v>
      </c>
      <c r="EI176" t="s">
        <v>153</v>
      </c>
      <c r="EJ176" t="s">
        <v>153</v>
      </c>
      <c r="EK176" t="s">
        <v>153</v>
      </c>
      <c r="EM176" t="s">
        <v>153</v>
      </c>
      <c r="EN176" t="s">
        <v>153</v>
      </c>
      <c r="EP176" s="4" t="s">
        <v>153</v>
      </c>
      <c r="EQ176" s="4" t="s">
        <v>153</v>
      </c>
      <c r="ER176" s="4" t="s">
        <v>205</v>
      </c>
      <c r="ES176" s="4" t="s">
        <v>153</v>
      </c>
      <c r="ET176" t="s">
        <v>2321</v>
      </c>
      <c r="EU176" t="s">
        <v>2284</v>
      </c>
      <c r="EV176" t="s">
        <v>1706</v>
      </c>
      <c r="EW176">
        <v>1255469290</v>
      </c>
      <c r="EX176" t="s">
        <v>340</v>
      </c>
    </row>
    <row r="177" spans="1:154" x14ac:dyDescent="0.25">
      <c r="A177" s="3">
        <v>45519.557881944442</v>
      </c>
      <c r="B177" s="4" t="s">
        <v>153</v>
      </c>
      <c r="C177" s="4" t="s">
        <v>659</v>
      </c>
      <c r="D177" s="4" t="s">
        <v>660</v>
      </c>
      <c r="E177" s="4" t="s">
        <v>661</v>
      </c>
      <c r="F177" s="4" t="s">
        <v>662</v>
      </c>
      <c r="G177" s="4" t="s">
        <v>252</v>
      </c>
      <c r="H177" s="4" t="s">
        <v>323</v>
      </c>
      <c r="I177" s="4" t="s">
        <v>2322</v>
      </c>
      <c r="J177" s="4" t="s">
        <v>2242</v>
      </c>
      <c r="K177" s="5"/>
      <c r="L177" s="4" t="s">
        <v>153</v>
      </c>
      <c r="M177" s="4" t="s">
        <v>153</v>
      </c>
      <c r="N177" s="4" t="s">
        <v>153</v>
      </c>
      <c r="O177" s="4" t="s">
        <v>153</v>
      </c>
      <c r="P177" s="4" t="s">
        <v>153</v>
      </c>
      <c r="Q177" s="4" t="s">
        <v>153</v>
      </c>
      <c r="R177" s="4" t="s">
        <v>153</v>
      </c>
      <c r="S177" s="4" t="s">
        <v>153</v>
      </c>
      <c r="T177" s="4" t="s">
        <v>153</v>
      </c>
      <c r="U177" s="4" t="s">
        <v>153</v>
      </c>
      <c r="V177" s="4" t="s">
        <v>153</v>
      </c>
      <c r="W177" s="4" t="s">
        <v>153</v>
      </c>
      <c r="X177" s="4" t="s">
        <v>153</v>
      </c>
      <c r="Y177" s="4" t="s">
        <v>153</v>
      </c>
      <c r="Z177" s="4" t="s">
        <v>153</v>
      </c>
      <c r="AA177" s="4" t="s">
        <v>153</v>
      </c>
      <c r="AB177" s="4" t="s">
        <v>153</v>
      </c>
      <c r="AC177" s="4" t="s">
        <v>153</v>
      </c>
      <c r="AD177" s="4" t="s">
        <v>153</v>
      </c>
      <c r="AE177" s="4" t="s">
        <v>153</v>
      </c>
      <c r="AF177" s="4" t="s">
        <v>153</v>
      </c>
      <c r="AG177" s="4" t="s">
        <v>153</v>
      </c>
      <c r="AH177" s="4" t="s">
        <v>153</v>
      </c>
      <c r="AI177" s="5"/>
      <c r="AJ177" t="s">
        <v>153</v>
      </c>
      <c r="AK177" s="4"/>
      <c r="AL177" t="s">
        <v>153</v>
      </c>
      <c r="AM177" t="s">
        <v>153</v>
      </c>
      <c r="AO177" t="s">
        <v>153</v>
      </c>
      <c r="AP177" s="4"/>
      <c r="AQ177" t="s">
        <v>153</v>
      </c>
      <c r="AR177" s="5">
        <v>45163</v>
      </c>
      <c r="AS177">
        <v>2</v>
      </c>
      <c r="AT177" s="4" t="s">
        <v>2323</v>
      </c>
      <c r="AU177" s="4" t="s">
        <v>2324</v>
      </c>
      <c r="AV177" s="4" t="s">
        <v>921</v>
      </c>
      <c r="AW177" t="s">
        <v>153</v>
      </c>
      <c r="AX177" t="s">
        <v>153</v>
      </c>
      <c r="AY177" t="s">
        <v>153</v>
      </c>
      <c r="AZ177" t="s">
        <v>2325</v>
      </c>
      <c r="BA177" t="s">
        <v>153</v>
      </c>
      <c r="BB177" t="s">
        <v>153</v>
      </c>
      <c r="BC177" t="s">
        <v>2326</v>
      </c>
      <c r="BD177" s="4" t="s">
        <v>2327</v>
      </c>
      <c r="BE177" s="4" t="s">
        <v>2328</v>
      </c>
      <c r="BF177" t="s">
        <v>243</v>
      </c>
      <c r="BG177" s="4" t="s">
        <v>153</v>
      </c>
      <c r="BH177" t="s">
        <v>153</v>
      </c>
      <c r="BI177" s="4" t="s">
        <v>153</v>
      </c>
      <c r="BJ177" t="s">
        <v>153</v>
      </c>
      <c r="BK177" s="4" t="s">
        <v>153</v>
      </c>
      <c r="BL177" t="s">
        <v>153</v>
      </c>
      <c r="BM177" t="s">
        <v>153</v>
      </c>
      <c r="BN177" s="4" t="s">
        <v>153</v>
      </c>
      <c r="BO177" s="4" t="s">
        <v>153</v>
      </c>
      <c r="BP177" s="4" t="s">
        <v>153</v>
      </c>
      <c r="BQ177" s="4" t="s">
        <v>153</v>
      </c>
      <c r="BR177" s="4" t="s">
        <v>153</v>
      </c>
      <c r="BS177" s="4" t="s">
        <v>153</v>
      </c>
      <c r="BT177" s="4" t="s">
        <v>153</v>
      </c>
      <c r="BU177" s="4" t="s">
        <v>153</v>
      </c>
      <c r="BV177" s="4"/>
      <c r="BW177" s="4" t="s">
        <v>153</v>
      </c>
      <c r="BX177" s="4" t="s">
        <v>153</v>
      </c>
      <c r="BY177" s="4" t="s">
        <v>153</v>
      </c>
      <c r="BZ177" s="4" t="s">
        <v>153</v>
      </c>
      <c r="CA177" s="4" t="s">
        <v>153</v>
      </c>
      <c r="CB177" s="4"/>
      <c r="CC177" s="4" t="s">
        <v>153</v>
      </c>
      <c r="CD177" t="s">
        <v>153</v>
      </c>
      <c r="CE177" s="4" t="s">
        <v>153</v>
      </c>
      <c r="CF177" s="4" t="s">
        <v>153</v>
      </c>
      <c r="CG177" s="4" t="s">
        <v>153</v>
      </c>
      <c r="CH177" s="5"/>
      <c r="CI177" t="s">
        <v>153</v>
      </c>
      <c r="CJ177" s="4"/>
      <c r="CK177" t="s">
        <v>153</v>
      </c>
      <c r="CL177" t="s">
        <v>153</v>
      </c>
      <c r="CM177" t="s">
        <v>153</v>
      </c>
      <c r="CN177" t="s">
        <v>153</v>
      </c>
      <c r="CO177" s="5"/>
      <c r="CP177" s="4" t="s">
        <v>153</v>
      </c>
      <c r="CQ177" s="4" t="s">
        <v>153</v>
      </c>
      <c r="CR177" t="s">
        <v>153</v>
      </c>
      <c r="CS177" t="s">
        <v>153</v>
      </c>
      <c r="CT177" t="s">
        <v>153</v>
      </c>
      <c r="CU177" t="s">
        <v>153</v>
      </c>
      <c r="CV177" t="s">
        <v>153</v>
      </c>
      <c r="CW177" t="s">
        <v>153</v>
      </c>
      <c r="CX177" t="s">
        <v>153</v>
      </c>
      <c r="CY177" t="s">
        <v>153</v>
      </c>
      <c r="CZ177" t="s">
        <v>153</v>
      </c>
      <c r="DA177" t="s">
        <v>153</v>
      </c>
      <c r="DB177" t="s">
        <v>153</v>
      </c>
      <c r="DC177" t="s">
        <v>153</v>
      </c>
      <c r="DD177" t="s">
        <v>153</v>
      </c>
      <c r="DE177" t="s">
        <v>153</v>
      </c>
      <c r="DF177" t="s">
        <v>153</v>
      </c>
      <c r="DG177" t="s">
        <v>153</v>
      </c>
      <c r="DI177" t="s">
        <v>153</v>
      </c>
      <c r="DJ177" t="s">
        <v>153</v>
      </c>
      <c r="DK177" t="s">
        <v>153</v>
      </c>
      <c r="DL177" t="s">
        <v>153</v>
      </c>
      <c r="DN177" t="s">
        <v>153</v>
      </c>
      <c r="DO177" t="s">
        <v>153</v>
      </c>
      <c r="DP177" t="s">
        <v>153</v>
      </c>
      <c r="DQ177" t="s">
        <v>153</v>
      </c>
      <c r="DR177" t="s">
        <v>153</v>
      </c>
      <c r="DS177" t="s">
        <v>153</v>
      </c>
      <c r="DT177" t="s">
        <v>153</v>
      </c>
      <c r="DU177" t="s">
        <v>153</v>
      </c>
      <c r="DV177" t="s">
        <v>153</v>
      </c>
      <c r="DW177" t="s">
        <v>153</v>
      </c>
      <c r="DX177" s="2"/>
      <c r="DY177" t="s">
        <v>153</v>
      </c>
      <c r="DZ177" t="s">
        <v>153</v>
      </c>
      <c r="EA177" t="s">
        <v>153</v>
      </c>
      <c r="EB177" t="s">
        <v>153</v>
      </c>
      <c r="EC177" t="s">
        <v>153</v>
      </c>
      <c r="ED177" t="s">
        <v>153</v>
      </c>
      <c r="EE177" t="s">
        <v>153</v>
      </c>
      <c r="EF177" t="s">
        <v>153</v>
      </c>
      <c r="EH177" t="s">
        <v>153</v>
      </c>
      <c r="EI177" t="s">
        <v>153</v>
      </c>
      <c r="EJ177" t="s">
        <v>153</v>
      </c>
      <c r="EK177" t="s">
        <v>153</v>
      </c>
      <c r="EM177" t="s">
        <v>153</v>
      </c>
      <c r="EN177" t="s">
        <v>153</v>
      </c>
      <c r="EP177" s="4" t="s">
        <v>153</v>
      </c>
      <c r="EQ177" s="4" t="s">
        <v>153</v>
      </c>
      <c r="ER177" s="4" t="s">
        <v>191</v>
      </c>
      <c r="ES177" s="4" t="s">
        <v>153</v>
      </c>
      <c r="ET177" t="s">
        <v>2329</v>
      </c>
      <c r="EU177" t="s">
        <v>2284</v>
      </c>
      <c r="EV177" t="s">
        <v>1706</v>
      </c>
      <c r="EW177">
        <v>1255489548</v>
      </c>
      <c r="EX177" t="s">
        <v>340</v>
      </c>
    </row>
    <row r="178" spans="1:154" x14ac:dyDescent="0.25">
      <c r="A178" s="3">
        <v>45519.609837962962</v>
      </c>
      <c r="B178" s="4" t="s">
        <v>153</v>
      </c>
      <c r="C178" s="4" t="s">
        <v>659</v>
      </c>
      <c r="D178" s="4" t="s">
        <v>660</v>
      </c>
      <c r="E178" s="4" t="s">
        <v>661</v>
      </c>
      <c r="F178" s="4" t="s">
        <v>662</v>
      </c>
      <c r="G178" s="4" t="s">
        <v>252</v>
      </c>
      <c r="H178" s="4" t="s">
        <v>323</v>
      </c>
      <c r="I178" s="4" t="s">
        <v>698</v>
      </c>
      <c r="J178" s="4" t="s">
        <v>2251</v>
      </c>
      <c r="K178" s="5"/>
      <c r="L178" s="4" t="s">
        <v>153</v>
      </c>
      <c r="M178" s="4" t="s">
        <v>153</v>
      </c>
      <c r="N178" s="4" t="s">
        <v>153</v>
      </c>
      <c r="O178" s="4" t="s">
        <v>153</v>
      </c>
      <c r="P178" s="4" t="s">
        <v>153</v>
      </c>
      <c r="Q178" s="4" t="s">
        <v>153</v>
      </c>
      <c r="R178" s="4" t="s">
        <v>153</v>
      </c>
      <c r="S178" s="4" t="s">
        <v>153</v>
      </c>
      <c r="T178" s="4" t="s">
        <v>153</v>
      </c>
      <c r="U178" s="4" t="s">
        <v>153</v>
      </c>
      <c r="V178" s="4" t="s">
        <v>153</v>
      </c>
      <c r="W178" s="4" t="s">
        <v>153</v>
      </c>
      <c r="X178" s="4" t="s">
        <v>153</v>
      </c>
      <c r="Y178" s="4" t="s">
        <v>153</v>
      </c>
      <c r="Z178" s="4" t="s">
        <v>153</v>
      </c>
      <c r="AA178" s="4" t="s">
        <v>153</v>
      </c>
      <c r="AB178" s="4" t="s">
        <v>153</v>
      </c>
      <c r="AC178" s="4" t="s">
        <v>153</v>
      </c>
      <c r="AD178" s="4" t="s">
        <v>153</v>
      </c>
      <c r="AE178" s="4" t="s">
        <v>153</v>
      </c>
      <c r="AF178" s="4" t="s">
        <v>153</v>
      </c>
      <c r="AG178" s="4" t="s">
        <v>153</v>
      </c>
      <c r="AH178" s="4" t="s">
        <v>153</v>
      </c>
      <c r="AI178" s="5"/>
      <c r="AJ178" t="s">
        <v>153</v>
      </c>
      <c r="AK178" s="4"/>
      <c r="AL178" t="s">
        <v>153</v>
      </c>
      <c r="AM178" t="s">
        <v>153</v>
      </c>
      <c r="AO178" t="s">
        <v>153</v>
      </c>
      <c r="AP178" s="4"/>
      <c r="AQ178" t="s">
        <v>153</v>
      </c>
      <c r="AR178" s="5">
        <v>45415</v>
      </c>
      <c r="AS178">
        <v>1</v>
      </c>
      <c r="AT178" s="4" t="s">
        <v>699</v>
      </c>
      <c r="AU178" s="4" t="s">
        <v>700</v>
      </c>
      <c r="AV178" s="4" t="s">
        <v>256</v>
      </c>
      <c r="AW178" t="s">
        <v>153</v>
      </c>
      <c r="AX178" t="s">
        <v>153</v>
      </c>
      <c r="AY178" t="s">
        <v>153</v>
      </c>
      <c r="AZ178" t="s">
        <v>2330</v>
      </c>
      <c r="BA178" t="s">
        <v>153</v>
      </c>
      <c r="BB178" t="s">
        <v>153</v>
      </c>
      <c r="BC178" t="s">
        <v>153</v>
      </c>
      <c r="BD178" s="4" t="s">
        <v>2331</v>
      </c>
      <c r="BE178" s="4" t="s">
        <v>2332</v>
      </c>
      <c r="BF178" t="s">
        <v>243</v>
      </c>
      <c r="BG178" s="4" t="s">
        <v>153</v>
      </c>
      <c r="BH178" t="s">
        <v>153</v>
      </c>
      <c r="BI178" s="4" t="s">
        <v>153</v>
      </c>
      <c r="BJ178" t="s">
        <v>153</v>
      </c>
      <c r="BK178" s="4" t="s">
        <v>153</v>
      </c>
      <c r="BL178" t="s">
        <v>153</v>
      </c>
      <c r="BM178" t="s">
        <v>153</v>
      </c>
      <c r="BN178" s="4" t="s">
        <v>153</v>
      </c>
      <c r="BO178" s="4" t="s">
        <v>153</v>
      </c>
      <c r="BP178" s="4" t="s">
        <v>153</v>
      </c>
      <c r="BQ178" s="4" t="s">
        <v>153</v>
      </c>
      <c r="BR178" s="4" t="s">
        <v>153</v>
      </c>
      <c r="BS178" s="4" t="s">
        <v>153</v>
      </c>
      <c r="BT178" s="4" t="s">
        <v>153</v>
      </c>
      <c r="BU178" s="4" t="s">
        <v>153</v>
      </c>
      <c r="BV178" s="4"/>
      <c r="BW178" s="4" t="s">
        <v>153</v>
      </c>
      <c r="BX178" s="4" t="s">
        <v>153</v>
      </c>
      <c r="BY178" s="4" t="s">
        <v>153</v>
      </c>
      <c r="BZ178" s="4" t="s">
        <v>153</v>
      </c>
      <c r="CA178" s="4" t="s">
        <v>153</v>
      </c>
      <c r="CB178" s="4"/>
      <c r="CC178" s="4" t="s">
        <v>153</v>
      </c>
      <c r="CD178" t="s">
        <v>153</v>
      </c>
      <c r="CE178" s="4" t="s">
        <v>153</v>
      </c>
      <c r="CF178" s="4" t="s">
        <v>153</v>
      </c>
      <c r="CG178" s="4" t="s">
        <v>153</v>
      </c>
      <c r="CH178" s="5"/>
      <c r="CI178" t="s">
        <v>153</v>
      </c>
      <c r="CJ178" s="4"/>
      <c r="CK178" t="s">
        <v>153</v>
      </c>
      <c r="CL178" t="s">
        <v>153</v>
      </c>
      <c r="CM178" t="s">
        <v>153</v>
      </c>
      <c r="CN178" t="s">
        <v>153</v>
      </c>
      <c r="CO178" s="5"/>
      <c r="CP178" s="4" t="s">
        <v>153</v>
      </c>
      <c r="CQ178" s="4" t="s">
        <v>153</v>
      </c>
      <c r="CR178" t="s">
        <v>153</v>
      </c>
      <c r="CS178" t="s">
        <v>153</v>
      </c>
      <c r="CT178" t="s">
        <v>153</v>
      </c>
      <c r="CU178" t="s">
        <v>153</v>
      </c>
      <c r="CV178" t="s">
        <v>153</v>
      </c>
      <c r="CW178" t="s">
        <v>153</v>
      </c>
      <c r="CX178" t="s">
        <v>153</v>
      </c>
      <c r="CY178" t="s">
        <v>153</v>
      </c>
      <c r="CZ178" t="s">
        <v>153</v>
      </c>
      <c r="DA178" t="s">
        <v>153</v>
      </c>
      <c r="DB178" t="s">
        <v>153</v>
      </c>
      <c r="DC178" t="s">
        <v>153</v>
      </c>
      <c r="DD178" t="s">
        <v>153</v>
      </c>
      <c r="DE178" t="s">
        <v>153</v>
      </c>
      <c r="DF178" t="s">
        <v>153</v>
      </c>
      <c r="DG178" t="s">
        <v>153</v>
      </c>
      <c r="DI178" t="s">
        <v>153</v>
      </c>
      <c r="DJ178" t="s">
        <v>153</v>
      </c>
      <c r="DK178" t="s">
        <v>153</v>
      </c>
      <c r="DL178" t="s">
        <v>153</v>
      </c>
      <c r="DN178" t="s">
        <v>153</v>
      </c>
      <c r="DO178" t="s">
        <v>153</v>
      </c>
      <c r="DP178" t="s">
        <v>153</v>
      </c>
      <c r="DQ178" t="s">
        <v>153</v>
      </c>
      <c r="DR178" t="s">
        <v>153</v>
      </c>
      <c r="DS178" t="s">
        <v>153</v>
      </c>
      <c r="DT178" t="s">
        <v>153</v>
      </c>
      <c r="DU178" t="s">
        <v>153</v>
      </c>
      <c r="DV178" t="s">
        <v>153</v>
      </c>
      <c r="DW178" t="s">
        <v>153</v>
      </c>
      <c r="DX178" s="2"/>
      <c r="DY178" t="s">
        <v>153</v>
      </c>
      <c r="DZ178" t="s">
        <v>153</v>
      </c>
      <c r="EA178" t="s">
        <v>153</v>
      </c>
      <c r="EB178" t="s">
        <v>153</v>
      </c>
      <c r="EC178" t="s">
        <v>153</v>
      </c>
      <c r="ED178" t="s">
        <v>153</v>
      </c>
      <c r="EE178" t="s">
        <v>153</v>
      </c>
      <c r="EF178" t="s">
        <v>153</v>
      </c>
      <c r="EH178" t="s">
        <v>153</v>
      </c>
      <c r="EI178" t="s">
        <v>153</v>
      </c>
      <c r="EJ178" t="s">
        <v>153</v>
      </c>
      <c r="EK178" t="s">
        <v>153</v>
      </c>
      <c r="EM178" t="s">
        <v>153</v>
      </c>
      <c r="EN178" t="s">
        <v>153</v>
      </c>
      <c r="EP178" s="4" t="s">
        <v>153</v>
      </c>
      <c r="EQ178" s="4" t="s">
        <v>153</v>
      </c>
      <c r="ER178" s="4" t="s">
        <v>191</v>
      </c>
      <c r="ES178" s="4" t="s">
        <v>153</v>
      </c>
      <c r="ET178" t="s">
        <v>2333</v>
      </c>
      <c r="EU178" t="s">
        <v>2284</v>
      </c>
      <c r="EV178" t="s">
        <v>1706</v>
      </c>
      <c r="EW178">
        <v>1255524762</v>
      </c>
      <c r="EX178" t="s">
        <v>340</v>
      </c>
    </row>
    <row r="179" spans="1:154" x14ac:dyDescent="0.25">
      <c r="A179" s="3">
        <v>45519.614918981482</v>
      </c>
      <c r="B179" s="4" t="s">
        <v>153</v>
      </c>
      <c r="C179" s="4" t="s">
        <v>659</v>
      </c>
      <c r="D179" s="4" t="s">
        <v>660</v>
      </c>
      <c r="E179" s="4" t="s">
        <v>661</v>
      </c>
      <c r="F179" s="4" t="s">
        <v>662</v>
      </c>
      <c r="G179" s="4" t="s">
        <v>252</v>
      </c>
      <c r="H179" s="4" t="s">
        <v>323</v>
      </c>
      <c r="I179" s="4" t="s">
        <v>2334</v>
      </c>
      <c r="J179" s="4" t="s">
        <v>2335</v>
      </c>
      <c r="K179" s="5"/>
      <c r="L179" s="4" t="s">
        <v>153</v>
      </c>
      <c r="M179" s="4" t="s">
        <v>153</v>
      </c>
      <c r="N179" s="4" t="s">
        <v>153</v>
      </c>
      <c r="O179" s="4" t="s">
        <v>153</v>
      </c>
      <c r="P179" s="4" t="s">
        <v>153</v>
      </c>
      <c r="Q179" s="4" t="s">
        <v>153</v>
      </c>
      <c r="R179" s="4" t="s">
        <v>153</v>
      </c>
      <c r="S179" s="4" t="s">
        <v>153</v>
      </c>
      <c r="T179" s="4" t="s">
        <v>153</v>
      </c>
      <c r="U179" s="4" t="s">
        <v>153</v>
      </c>
      <c r="V179" s="4" t="s">
        <v>153</v>
      </c>
      <c r="W179" s="4" t="s">
        <v>153</v>
      </c>
      <c r="X179" s="4" t="s">
        <v>153</v>
      </c>
      <c r="Y179" s="4" t="s">
        <v>153</v>
      </c>
      <c r="Z179" s="4" t="s">
        <v>153</v>
      </c>
      <c r="AA179" s="4" t="s">
        <v>153</v>
      </c>
      <c r="AB179" s="4" t="s">
        <v>153</v>
      </c>
      <c r="AC179" s="4" t="s">
        <v>153</v>
      </c>
      <c r="AD179" s="4" t="s">
        <v>153</v>
      </c>
      <c r="AE179" s="4" t="s">
        <v>153</v>
      </c>
      <c r="AF179" s="4" t="s">
        <v>153</v>
      </c>
      <c r="AG179" s="4" t="s">
        <v>153</v>
      </c>
      <c r="AH179" s="4" t="s">
        <v>153</v>
      </c>
      <c r="AI179" s="5"/>
      <c r="AJ179" t="s">
        <v>153</v>
      </c>
      <c r="AK179" s="4"/>
      <c r="AL179" t="s">
        <v>153</v>
      </c>
      <c r="AM179" t="s">
        <v>153</v>
      </c>
      <c r="AO179" t="s">
        <v>153</v>
      </c>
      <c r="AP179" s="4"/>
      <c r="AQ179" t="s">
        <v>153</v>
      </c>
      <c r="AR179" s="5">
        <v>45415</v>
      </c>
      <c r="AS179">
        <v>2</v>
      </c>
      <c r="AT179" s="4" t="s">
        <v>742</v>
      </c>
      <c r="AU179" s="4" t="s">
        <v>2336</v>
      </c>
      <c r="AV179" s="4" t="s">
        <v>256</v>
      </c>
      <c r="AW179" t="s">
        <v>153</v>
      </c>
      <c r="AX179" t="s">
        <v>153</v>
      </c>
      <c r="AY179" t="s">
        <v>153</v>
      </c>
      <c r="AZ179" t="s">
        <v>1789</v>
      </c>
      <c r="BA179" t="s">
        <v>153</v>
      </c>
      <c r="BB179" t="s">
        <v>153</v>
      </c>
      <c r="BC179" t="s">
        <v>2337</v>
      </c>
      <c r="BD179" s="4" t="s">
        <v>2338</v>
      </c>
      <c r="BE179" s="4" t="s">
        <v>2339</v>
      </c>
      <c r="BF179" t="s">
        <v>243</v>
      </c>
      <c r="BG179" s="4" t="s">
        <v>153</v>
      </c>
      <c r="BH179" t="s">
        <v>153</v>
      </c>
      <c r="BI179" s="4" t="s">
        <v>153</v>
      </c>
      <c r="BJ179" t="s">
        <v>153</v>
      </c>
      <c r="BK179" s="4" t="s">
        <v>153</v>
      </c>
      <c r="BL179" t="s">
        <v>153</v>
      </c>
      <c r="BM179" t="s">
        <v>153</v>
      </c>
      <c r="BN179" s="4" t="s">
        <v>153</v>
      </c>
      <c r="BO179" s="4" t="s">
        <v>153</v>
      </c>
      <c r="BP179" s="4" t="s">
        <v>153</v>
      </c>
      <c r="BQ179" s="4" t="s">
        <v>153</v>
      </c>
      <c r="BR179" s="4" t="s">
        <v>153</v>
      </c>
      <c r="BS179" s="4" t="s">
        <v>153</v>
      </c>
      <c r="BT179" s="4" t="s">
        <v>153</v>
      </c>
      <c r="BU179" s="4" t="s">
        <v>153</v>
      </c>
      <c r="BV179" s="4"/>
      <c r="BW179" s="4" t="s">
        <v>153</v>
      </c>
      <c r="BX179" s="4" t="s">
        <v>153</v>
      </c>
      <c r="BY179" s="4" t="s">
        <v>153</v>
      </c>
      <c r="BZ179" s="4" t="s">
        <v>153</v>
      </c>
      <c r="CA179" s="4" t="s">
        <v>153</v>
      </c>
      <c r="CB179" s="4"/>
      <c r="CC179" s="4" t="s">
        <v>153</v>
      </c>
      <c r="CD179" t="s">
        <v>153</v>
      </c>
      <c r="CE179" s="4" t="s">
        <v>153</v>
      </c>
      <c r="CF179" s="4" t="s">
        <v>153</v>
      </c>
      <c r="CG179" s="4" t="s">
        <v>153</v>
      </c>
      <c r="CH179" s="5"/>
      <c r="CI179" t="s">
        <v>153</v>
      </c>
      <c r="CJ179" s="4"/>
      <c r="CK179" t="s">
        <v>153</v>
      </c>
      <c r="CL179" t="s">
        <v>153</v>
      </c>
      <c r="CM179" t="s">
        <v>153</v>
      </c>
      <c r="CN179" t="s">
        <v>153</v>
      </c>
      <c r="CO179" s="5"/>
      <c r="CP179" s="4" t="s">
        <v>153</v>
      </c>
      <c r="CQ179" s="4" t="s">
        <v>153</v>
      </c>
      <c r="CR179" t="s">
        <v>153</v>
      </c>
      <c r="CS179" t="s">
        <v>153</v>
      </c>
      <c r="CT179" t="s">
        <v>153</v>
      </c>
      <c r="CU179" t="s">
        <v>153</v>
      </c>
      <c r="CV179" t="s">
        <v>153</v>
      </c>
      <c r="CW179" t="s">
        <v>153</v>
      </c>
      <c r="CX179" t="s">
        <v>153</v>
      </c>
      <c r="CY179" t="s">
        <v>153</v>
      </c>
      <c r="CZ179" t="s">
        <v>153</v>
      </c>
      <c r="DA179" t="s">
        <v>153</v>
      </c>
      <c r="DB179" t="s">
        <v>153</v>
      </c>
      <c r="DC179" t="s">
        <v>153</v>
      </c>
      <c r="DD179" t="s">
        <v>153</v>
      </c>
      <c r="DE179" t="s">
        <v>153</v>
      </c>
      <c r="DF179" t="s">
        <v>153</v>
      </c>
      <c r="DG179" t="s">
        <v>153</v>
      </c>
      <c r="DI179" t="s">
        <v>153</v>
      </c>
      <c r="DJ179" t="s">
        <v>153</v>
      </c>
      <c r="DK179" t="s">
        <v>153</v>
      </c>
      <c r="DL179" t="s">
        <v>153</v>
      </c>
      <c r="DN179" t="s">
        <v>153</v>
      </c>
      <c r="DO179" t="s">
        <v>153</v>
      </c>
      <c r="DP179" t="s">
        <v>153</v>
      </c>
      <c r="DQ179" t="s">
        <v>153</v>
      </c>
      <c r="DR179" t="s">
        <v>153</v>
      </c>
      <c r="DS179" t="s">
        <v>153</v>
      </c>
      <c r="DT179" t="s">
        <v>153</v>
      </c>
      <c r="DU179" t="s">
        <v>153</v>
      </c>
      <c r="DV179" t="s">
        <v>153</v>
      </c>
      <c r="DW179" t="s">
        <v>153</v>
      </c>
      <c r="DX179" s="2"/>
      <c r="DY179" t="s">
        <v>153</v>
      </c>
      <c r="DZ179" t="s">
        <v>153</v>
      </c>
      <c r="EA179" t="s">
        <v>153</v>
      </c>
      <c r="EB179" t="s">
        <v>153</v>
      </c>
      <c r="EC179" t="s">
        <v>153</v>
      </c>
      <c r="ED179" t="s">
        <v>153</v>
      </c>
      <c r="EE179" t="s">
        <v>153</v>
      </c>
      <c r="EF179" t="s">
        <v>153</v>
      </c>
      <c r="EH179" t="s">
        <v>153</v>
      </c>
      <c r="EI179" t="s">
        <v>153</v>
      </c>
      <c r="EJ179" t="s">
        <v>153</v>
      </c>
      <c r="EK179" t="s">
        <v>153</v>
      </c>
      <c r="EM179" t="s">
        <v>153</v>
      </c>
      <c r="EN179" t="s">
        <v>153</v>
      </c>
      <c r="EP179" s="4" t="s">
        <v>153</v>
      </c>
      <c r="EQ179" s="4" t="s">
        <v>153</v>
      </c>
      <c r="ER179" s="4" t="s">
        <v>176</v>
      </c>
      <c r="ES179" s="4" t="s">
        <v>153</v>
      </c>
      <c r="ET179" t="s">
        <v>153</v>
      </c>
      <c r="EU179" t="s">
        <v>2284</v>
      </c>
      <c r="EV179" t="s">
        <v>1706</v>
      </c>
      <c r="EW179">
        <v>1255527894</v>
      </c>
      <c r="EX179" t="s">
        <v>340</v>
      </c>
    </row>
    <row r="180" spans="1:154" x14ac:dyDescent="0.25">
      <c r="A180" s="3">
        <v>45519.625659722224</v>
      </c>
      <c r="B180" s="4" t="s">
        <v>153</v>
      </c>
      <c r="C180" s="4" t="s">
        <v>892</v>
      </c>
      <c r="D180" s="4" t="s">
        <v>893</v>
      </c>
      <c r="E180" s="4" t="s">
        <v>894</v>
      </c>
      <c r="F180" s="4" t="s">
        <v>895</v>
      </c>
      <c r="G180" s="4" t="s">
        <v>948</v>
      </c>
      <c r="H180" s="4" t="s">
        <v>542</v>
      </c>
      <c r="I180" s="4" t="s">
        <v>2340</v>
      </c>
      <c r="J180" s="4" t="s">
        <v>2341</v>
      </c>
      <c r="K180" s="5">
        <v>45519</v>
      </c>
      <c r="L180" s="4" t="s">
        <v>327</v>
      </c>
      <c r="M180" s="4" t="s">
        <v>2342</v>
      </c>
      <c r="N180" s="4" t="s">
        <v>1325</v>
      </c>
      <c r="O180" s="4" t="s">
        <v>2343</v>
      </c>
      <c r="P180" s="4" t="s">
        <v>2344</v>
      </c>
      <c r="Q180" s="4" t="s">
        <v>153</v>
      </c>
      <c r="R180" s="4" t="s">
        <v>191</v>
      </c>
      <c r="S180" s="4" t="s">
        <v>2345</v>
      </c>
      <c r="T180" s="4" t="s">
        <v>153</v>
      </c>
      <c r="U180" s="4" t="s">
        <v>2346</v>
      </c>
      <c r="V180" s="4" t="s">
        <v>153</v>
      </c>
      <c r="W180" s="4" t="s">
        <v>2347</v>
      </c>
      <c r="X180" s="4" t="s">
        <v>722</v>
      </c>
      <c r="Y180" s="4" t="s">
        <v>2348</v>
      </c>
      <c r="Z180" s="4" t="s">
        <v>197</v>
      </c>
      <c r="AA180" s="4" t="s">
        <v>2349</v>
      </c>
      <c r="AB180" s="4" t="s">
        <v>2350</v>
      </c>
      <c r="AC180" s="4" t="s">
        <v>2347</v>
      </c>
      <c r="AD180" s="4" t="s">
        <v>722</v>
      </c>
      <c r="AE180" s="4" t="s">
        <v>2348</v>
      </c>
      <c r="AF180" s="4" t="s">
        <v>2351</v>
      </c>
      <c r="AG180" s="4" t="s">
        <v>2352</v>
      </c>
      <c r="AH180" s="4" t="s">
        <v>2353</v>
      </c>
      <c r="AI180" s="5"/>
      <c r="AJ180" t="s">
        <v>153</v>
      </c>
      <c r="AK180" s="4">
        <v>1</v>
      </c>
      <c r="AL180" t="s">
        <v>153</v>
      </c>
      <c r="AM180" t="s">
        <v>153</v>
      </c>
      <c r="AO180" t="s">
        <v>153</v>
      </c>
      <c r="AP180" s="4"/>
      <c r="AQ180" t="s">
        <v>153</v>
      </c>
      <c r="AR180" s="5"/>
      <c r="AT180" s="4" t="s">
        <v>153</v>
      </c>
      <c r="AU180" s="4" t="s">
        <v>153</v>
      </c>
      <c r="AV180" s="4" t="s">
        <v>153</v>
      </c>
      <c r="AW180" t="s">
        <v>153</v>
      </c>
      <c r="AX180" t="s">
        <v>153</v>
      </c>
      <c r="AY180" t="s">
        <v>153</v>
      </c>
      <c r="AZ180" t="s">
        <v>153</v>
      </c>
      <c r="BA180" t="s">
        <v>153</v>
      </c>
      <c r="BB180" t="s">
        <v>153</v>
      </c>
      <c r="BC180" t="s">
        <v>153</v>
      </c>
      <c r="BD180" s="4" t="s">
        <v>153</v>
      </c>
      <c r="BE180" s="4" t="s">
        <v>153</v>
      </c>
      <c r="BF180" t="s">
        <v>153</v>
      </c>
      <c r="BG180" s="4" t="s">
        <v>153</v>
      </c>
      <c r="BH180" t="s">
        <v>153</v>
      </c>
      <c r="BI180" s="4" t="s">
        <v>153</v>
      </c>
      <c r="BJ180" t="s">
        <v>153</v>
      </c>
      <c r="BK180" s="4" t="s">
        <v>153</v>
      </c>
      <c r="BL180" t="s">
        <v>153</v>
      </c>
      <c r="BM180" t="s">
        <v>153</v>
      </c>
      <c r="BN180" s="4" t="s">
        <v>153</v>
      </c>
      <c r="BO180" s="4" t="s">
        <v>153</v>
      </c>
      <c r="BP180" s="4" t="s">
        <v>153</v>
      </c>
      <c r="BQ180" s="4" t="s">
        <v>153</v>
      </c>
      <c r="BR180" s="4" t="s">
        <v>153</v>
      </c>
      <c r="BS180" s="4" t="s">
        <v>153</v>
      </c>
      <c r="BT180" s="4" t="s">
        <v>153</v>
      </c>
      <c r="BU180" s="4" t="s">
        <v>153</v>
      </c>
      <c r="BV180" s="4"/>
      <c r="BW180" s="4" t="s">
        <v>153</v>
      </c>
      <c r="BX180" s="4" t="s">
        <v>153</v>
      </c>
      <c r="BY180" s="4" t="s">
        <v>153</v>
      </c>
      <c r="BZ180" s="4" t="s">
        <v>153</v>
      </c>
      <c r="CA180" s="4" t="s">
        <v>153</v>
      </c>
      <c r="CB180" s="4"/>
      <c r="CC180" s="4" t="s">
        <v>153</v>
      </c>
      <c r="CD180" t="s">
        <v>153</v>
      </c>
      <c r="CE180" s="4" t="s">
        <v>153</v>
      </c>
      <c r="CF180" s="4" t="s">
        <v>153</v>
      </c>
      <c r="CG180" s="4" t="s">
        <v>153</v>
      </c>
      <c r="CH180" s="5"/>
      <c r="CI180" t="s">
        <v>153</v>
      </c>
      <c r="CJ180" s="4"/>
      <c r="CK180" t="s">
        <v>153</v>
      </c>
      <c r="CL180" t="s">
        <v>153</v>
      </c>
      <c r="CM180" t="s">
        <v>153</v>
      </c>
      <c r="CN180" t="s">
        <v>153</v>
      </c>
      <c r="CO180" s="5"/>
      <c r="CP180" s="4" t="s">
        <v>153</v>
      </c>
      <c r="CQ180" s="4" t="s">
        <v>153</v>
      </c>
      <c r="CR180" t="s">
        <v>153</v>
      </c>
      <c r="CS180" t="s">
        <v>153</v>
      </c>
      <c r="CT180" t="s">
        <v>153</v>
      </c>
      <c r="CU180" t="s">
        <v>153</v>
      </c>
      <c r="CV180" t="s">
        <v>153</v>
      </c>
      <c r="CW180" t="s">
        <v>153</v>
      </c>
      <c r="CX180" t="s">
        <v>153</v>
      </c>
      <c r="CY180" t="s">
        <v>153</v>
      </c>
      <c r="CZ180" t="s">
        <v>153</v>
      </c>
      <c r="DA180" t="s">
        <v>153</v>
      </c>
      <c r="DB180" t="s">
        <v>153</v>
      </c>
      <c r="DC180" t="s">
        <v>153</v>
      </c>
      <c r="DD180" t="s">
        <v>153</v>
      </c>
      <c r="DE180" t="s">
        <v>153</v>
      </c>
      <c r="DF180" t="s">
        <v>153</v>
      </c>
      <c r="DG180" t="s">
        <v>153</v>
      </c>
      <c r="DI180" t="s">
        <v>153</v>
      </c>
      <c r="DJ180" t="s">
        <v>153</v>
      </c>
      <c r="DK180" t="s">
        <v>153</v>
      </c>
      <c r="DL180" t="s">
        <v>153</v>
      </c>
      <c r="DN180" t="s">
        <v>153</v>
      </c>
      <c r="DO180" t="s">
        <v>153</v>
      </c>
      <c r="DP180" t="s">
        <v>153</v>
      </c>
      <c r="DQ180" t="s">
        <v>153</v>
      </c>
      <c r="DR180" t="s">
        <v>153</v>
      </c>
      <c r="DS180" t="s">
        <v>153</v>
      </c>
      <c r="DT180" t="s">
        <v>153</v>
      </c>
      <c r="DU180" t="s">
        <v>153</v>
      </c>
      <c r="DV180" t="s">
        <v>153</v>
      </c>
      <c r="DW180" t="s">
        <v>153</v>
      </c>
      <c r="DX180" s="2"/>
      <c r="DY180" t="s">
        <v>153</v>
      </c>
      <c r="DZ180" t="s">
        <v>153</v>
      </c>
      <c r="EA180" t="s">
        <v>153</v>
      </c>
      <c r="EB180" t="s">
        <v>153</v>
      </c>
      <c r="EC180" t="s">
        <v>153</v>
      </c>
      <c r="ED180" t="s">
        <v>153</v>
      </c>
      <c r="EE180" t="s">
        <v>153</v>
      </c>
      <c r="EF180" t="s">
        <v>153</v>
      </c>
      <c r="EH180" t="s">
        <v>153</v>
      </c>
      <c r="EI180" t="s">
        <v>153</v>
      </c>
      <c r="EJ180" t="s">
        <v>153</v>
      </c>
      <c r="EK180" t="s">
        <v>153</v>
      </c>
      <c r="EM180" t="s">
        <v>153</v>
      </c>
      <c r="EN180" t="s">
        <v>153</v>
      </c>
      <c r="EP180" s="4" t="s">
        <v>242</v>
      </c>
      <c r="EQ180" s="4" t="s">
        <v>153</v>
      </c>
      <c r="ER180" s="4" t="s">
        <v>205</v>
      </c>
      <c r="ES180" s="4" t="s">
        <v>153</v>
      </c>
      <c r="ET180" t="s">
        <v>153</v>
      </c>
      <c r="EU180" t="s">
        <v>2284</v>
      </c>
      <c r="EV180" t="s">
        <v>2285</v>
      </c>
      <c r="EW180">
        <v>1255534698</v>
      </c>
      <c r="EX180" t="s">
        <v>2286</v>
      </c>
    </row>
    <row r="181" spans="1:154" x14ac:dyDescent="0.25">
      <c r="A181" s="3">
        <v>45519.630057870374</v>
      </c>
      <c r="B181" s="4" t="s">
        <v>153</v>
      </c>
      <c r="C181" s="4" t="s">
        <v>659</v>
      </c>
      <c r="D181" s="4" t="s">
        <v>660</v>
      </c>
      <c r="E181" s="4" t="s">
        <v>661</v>
      </c>
      <c r="F181" s="4" t="s">
        <v>662</v>
      </c>
      <c r="G181" s="4" t="s">
        <v>252</v>
      </c>
      <c r="H181" s="4" t="s">
        <v>323</v>
      </c>
      <c r="I181" s="4" t="s">
        <v>2354</v>
      </c>
      <c r="J181" s="4" t="s">
        <v>2355</v>
      </c>
      <c r="K181" s="5"/>
      <c r="L181" s="4" t="s">
        <v>153</v>
      </c>
      <c r="M181" s="4" t="s">
        <v>153</v>
      </c>
      <c r="N181" s="4" t="s">
        <v>153</v>
      </c>
      <c r="O181" s="4" t="s">
        <v>153</v>
      </c>
      <c r="P181" s="4" t="s">
        <v>153</v>
      </c>
      <c r="Q181" s="4" t="s">
        <v>153</v>
      </c>
      <c r="R181" s="4" t="s">
        <v>153</v>
      </c>
      <c r="S181" s="4" t="s">
        <v>153</v>
      </c>
      <c r="T181" s="4" t="s">
        <v>153</v>
      </c>
      <c r="U181" s="4" t="s">
        <v>153</v>
      </c>
      <c r="V181" s="4" t="s">
        <v>153</v>
      </c>
      <c r="W181" s="4" t="s">
        <v>153</v>
      </c>
      <c r="X181" s="4" t="s">
        <v>153</v>
      </c>
      <c r="Y181" s="4" t="s">
        <v>153</v>
      </c>
      <c r="Z181" s="4" t="s">
        <v>153</v>
      </c>
      <c r="AA181" s="4" t="s">
        <v>153</v>
      </c>
      <c r="AB181" s="4" t="s">
        <v>153</v>
      </c>
      <c r="AC181" s="4" t="s">
        <v>153</v>
      </c>
      <c r="AD181" s="4" t="s">
        <v>153</v>
      </c>
      <c r="AE181" s="4" t="s">
        <v>153</v>
      </c>
      <c r="AF181" s="4" t="s">
        <v>153</v>
      </c>
      <c r="AG181" s="4" t="s">
        <v>153</v>
      </c>
      <c r="AH181" s="4" t="s">
        <v>153</v>
      </c>
      <c r="AI181" s="5"/>
      <c r="AJ181" t="s">
        <v>153</v>
      </c>
      <c r="AK181" s="4"/>
      <c r="AL181" t="s">
        <v>153</v>
      </c>
      <c r="AM181" t="s">
        <v>153</v>
      </c>
      <c r="AO181" t="s">
        <v>153</v>
      </c>
      <c r="AP181" s="4"/>
      <c r="AQ181" t="s">
        <v>153</v>
      </c>
      <c r="AR181" s="5">
        <v>45415</v>
      </c>
      <c r="AS181">
        <v>3</v>
      </c>
      <c r="AT181" s="4" t="s">
        <v>719</v>
      </c>
      <c r="AU181" s="4" t="s">
        <v>2356</v>
      </c>
      <c r="AV181" s="4" t="s">
        <v>256</v>
      </c>
      <c r="AW181" t="s">
        <v>153</v>
      </c>
      <c r="AX181" t="s">
        <v>153</v>
      </c>
      <c r="AY181" t="s">
        <v>153</v>
      </c>
      <c r="AZ181" t="s">
        <v>653</v>
      </c>
      <c r="BA181" t="s">
        <v>153</v>
      </c>
      <c r="BB181" t="s">
        <v>153</v>
      </c>
      <c r="BC181" t="s">
        <v>2357</v>
      </c>
      <c r="BD181" s="4" t="s">
        <v>2358</v>
      </c>
      <c r="BE181" s="4" t="s">
        <v>2359</v>
      </c>
      <c r="BF181" t="s">
        <v>243</v>
      </c>
      <c r="BG181" s="4" t="s">
        <v>153</v>
      </c>
      <c r="BH181" t="s">
        <v>153</v>
      </c>
      <c r="BI181" s="4" t="s">
        <v>153</v>
      </c>
      <c r="BJ181" t="s">
        <v>153</v>
      </c>
      <c r="BK181" s="4" t="s">
        <v>153</v>
      </c>
      <c r="BL181" t="s">
        <v>153</v>
      </c>
      <c r="BM181" t="s">
        <v>153</v>
      </c>
      <c r="BN181" s="4" t="s">
        <v>153</v>
      </c>
      <c r="BO181" s="4" t="s">
        <v>153</v>
      </c>
      <c r="BP181" s="4" t="s">
        <v>153</v>
      </c>
      <c r="BQ181" s="4" t="s">
        <v>153</v>
      </c>
      <c r="BR181" s="4" t="s">
        <v>153</v>
      </c>
      <c r="BS181" s="4" t="s">
        <v>153</v>
      </c>
      <c r="BT181" s="4" t="s">
        <v>153</v>
      </c>
      <c r="BU181" s="4" t="s">
        <v>153</v>
      </c>
      <c r="BV181" s="4"/>
      <c r="BW181" s="4" t="s">
        <v>153</v>
      </c>
      <c r="BX181" s="4" t="s">
        <v>153</v>
      </c>
      <c r="BY181" s="4" t="s">
        <v>153</v>
      </c>
      <c r="BZ181" s="4" t="s">
        <v>153</v>
      </c>
      <c r="CA181" s="4" t="s">
        <v>153</v>
      </c>
      <c r="CB181" s="4"/>
      <c r="CC181" s="4" t="s">
        <v>153</v>
      </c>
      <c r="CD181" t="s">
        <v>153</v>
      </c>
      <c r="CE181" s="4" t="s">
        <v>153</v>
      </c>
      <c r="CF181" s="4" t="s">
        <v>153</v>
      </c>
      <c r="CG181" s="4" t="s">
        <v>153</v>
      </c>
      <c r="CH181" s="5"/>
      <c r="CI181" t="s">
        <v>153</v>
      </c>
      <c r="CJ181" s="4"/>
      <c r="CK181" t="s">
        <v>153</v>
      </c>
      <c r="CL181" t="s">
        <v>153</v>
      </c>
      <c r="CM181" t="s">
        <v>153</v>
      </c>
      <c r="CN181" t="s">
        <v>153</v>
      </c>
      <c r="CO181" s="5"/>
      <c r="CP181" s="4" t="s">
        <v>153</v>
      </c>
      <c r="CQ181" s="4" t="s">
        <v>153</v>
      </c>
      <c r="CR181" t="s">
        <v>153</v>
      </c>
      <c r="CS181" t="s">
        <v>153</v>
      </c>
      <c r="CT181" t="s">
        <v>153</v>
      </c>
      <c r="CU181" t="s">
        <v>153</v>
      </c>
      <c r="CV181" t="s">
        <v>153</v>
      </c>
      <c r="CW181" t="s">
        <v>153</v>
      </c>
      <c r="CX181" t="s">
        <v>153</v>
      </c>
      <c r="CY181" t="s">
        <v>153</v>
      </c>
      <c r="CZ181" t="s">
        <v>153</v>
      </c>
      <c r="DA181" t="s">
        <v>153</v>
      </c>
      <c r="DB181" t="s">
        <v>153</v>
      </c>
      <c r="DC181" t="s">
        <v>153</v>
      </c>
      <c r="DD181" t="s">
        <v>153</v>
      </c>
      <c r="DE181" t="s">
        <v>153</v>
      </c>
      <c r="DF181" t="s">
        <v>153</v>
      </c>
      <c r="DG181" t="s">
        <v>153</v>
      </c>
      <c r="DI181" t="s">
        <v>153</v>
      </c>
      <c r="DJ181" t="s">
        <v>153</v>
      </c>
      <c r="DK181" t="s">
        <v>153</v>
      </c>
      <c r="DL181" t="s">
        <v>153</v>
      </c>
      <c r="DN181" t="s">
        <v>153</v>
      </c>
      <c r="DO181" t="s">
        <v>153</v>
      </c>
      <c r="DP181" t="s">
        <v>153</v>
      </c>
      <c r="DQ181" t="s">
        <v>153</v>
      </c>
      <c r="DR181" t="s">
        <v>153</v>
      </c>
      <c r="DS181" t="s">
        <v>153</v>
      </c>
      <c r="DT181" t="s">
        <v>153</v>
      </c>
      <c r="DU181" t="s">
        <v>153</v>
      </c>
      <c r="DV181" t="s">
        <v>153</v>
      </c>
      <c r="DW181" t="s">
        <v>153</v>
      </c>
      <c r="DX181" s="2"/>
      <c r="DY181" t="s">
        <v>153</v>
      </c>
      <c r="DZ181" t="s">
        <v>153</v>
      </c>
      <c r="EA181" t="s">
        <v>153</v>
      </c>
      <c r="EB181" t="s">
        <v>153</v>
      </c>
      <c r="EC181" t="s">
        <v>153</v>
      </c>
      <c r="ED181" t="s">
        <v>153</v>
      </c>
      <c r="EE181" t="s">
        <v>153</v>
      </c>
      <c r="EF181" t="s">
        <v>153</v>
      </c>
      <c r="EH181" t="s">
        <v>153</v>
      </c>
      <c r="EI181" t="s">
        <v>153</v>
      </c>
      <c r="EJ181" t="s">
        <v>153</v>
      </c>
      <c r="EK181" t="s">
        <v>153</v>
      </c>
      <c r="EM181" t="s">
        <v>153</v>
      </c>
      <c r="EN181" t="s">
        <v>153</v>
      </c>
      <c r="EP181" s="4" t="s">
        <v>153</v>
      </c>
      <c r="EQ181" s="4" t="s">
        <v>153</v>
      </c>
      <c r="ER181" s="4" t="s">
        <v>191</v>
      </c>
      <c r="ES181" s="4" t="s">
        <v>153</v>
      </c>
      <c r="ET181" t="s">
        <v>2333</v>
      </c>
      <c r="EU181" t="s">
        <v>2284</v>
      </c>
      <c r="EV181" t="s">
        <v>1706</v>
      </c>
      <c r="EW181">
        <v>1255537515</v>
      </c>
      <c r="EX181" t="s">
        <v>340</v>
      </c>
    </row>
    <row r="182" spans="1:154" x14ac:dyDescent="0.25">
      <c r="A182" s="3">
        <v>45523.365752314814</v>
      </c>
      <c r="B182" s="4" t="s">
        <v>153</v>
      </c>
      <c r="C182" s="4" t="s">
        <v>892</v>
      </c>
      <c r="D182" s="4" t="s">
        <v>893</v>
      </c>
      <c r="E182" s="4" t="s">
        <v>894</v>
      </c>
      <c r="F182" s="4" t="s">
        <v>895</v>
      </c>
      <c r="G182" s="4" t="s">
        <v>423</v>
      </c>
      <c r="H182" s="4" t="s">
        <v>542</v>
      </c>
      <c r="I182" s="4" t="s">
        <v>2360</v>
      </c>
      <c r="J182" s="4" t="s">
        <v>2361</v>
      </c>
      <c r="K182" s="5"/>
      <c r="L182" s="4" t="s">
        <v>153</v>
      </c>
      <c r="M182" s="4" t="s">
        <v>153</v>
      </c>
      <c r="N182" s="4" t="s">
        <v>153</v>
      </c>
      <c r="O182" s="4" t="s">
        <v>153</v>
      </c>
      <c r="P182" s="4" t="s">
        <v>153</v>
      </c>
      <c r="Q182" s="4" t="s">
        <v>153</v>
      </c>
      <c r="R182" s="4" t="s">
        <v>153</v>
      </c>
      <c r="S182" s="4" t="s">
        <v>153</v>
      </c>
      <c r="T182" s="4" t="s">
        <v>153</v>
      </c>
      <c r="U182" s="4" t="s">
        <v>153</v>
      </c>
      <c r="V182" s="4" t="s">
        <v>153</v>
      </c>
      <c r="W182" s="4" t="s">
        <v>153</v>
      </c>
      <c r="X182" s="4" t="s">
        <v>153</v>
      </c>
      <c r="Y182" s="4" t="s">
        <v>153</v>
      </c>
      <c r="Z182" s="4" t="s">
        <v>153</v>
      </c>
      <c r="AA182" s="4" t="s">
        <v>153</v>
      </c>
      <c r="AB182" s="4" t="s">
        <v>153</v>
      </c>
      <c r="AC182" s="4" t="s">
        <v>153</v>
      </c>
      <c r="AD182" s="4" t="s">
        <v>153</v>
      </c>
      <c r="AE182" s="4" t="s">
        <v>153</v>
      </c>
      <c r="AF182" s="4" t="s">
        <v>153</v>
      </c>
      <c r="AG182" s="4" t="s">
        <v>153</v>
      </c>
      <c r="AH182" s="4" t="s">
        <v>153</v>
      </c>
      <c r="AI182" s="5"/>
      <c r="AJ182" t="s">
        <v>153</v>
      </c>
      <c r="AK182" s="4"/>
      <c r="AL182" t="s">
        <v>153</v>
      </c>
      <c r="AM182" t="s">
        <v>153</v>
      </c>
      <c r="AO182" t="s">
        <v>153</v>
      </c>
      <c r="AP182" s="4"/>
      <c r="AQ182" t="s">
        <v>153</v>
      </c>
      <c r="AR182" s="5"/>
      <c r="AT182" s="4" t="s">
        <v>153</v>
      </c>
      <c r="AU182" s="4" t="s">
        <v>153</v>
      </c>
      <c r="AV182" s="4" t="s">
        <v>153</v>
      </c>
      <c r="AW182" t="s">
        <v>153</v>
      </c>
      <c r="AX182" t="s">
        <v>153</v>
      </c>
      <c r="AY182" t="s">
        <v>153</v>
      </c>
      <c r="AZ182" t="s">
        <v>153</v>
      </c>
      <c r="BA182" t="s">
        <v>153</v>
      </c>
      <c r="BB182" t="s">
        <v>153</v>
      </c>
      <c r="BC182" t="s">
        <v>153</v>
      </c>
      <c r="BD182" s="4" t="s">
        <v>153</v>
      </c>
      <c r="BE182" s="4" t="s">
        <v>153</v>
      </c>
      <c r="BF182" t="s">
        <v>153</v>
      </c>
      <c r="BG182" s="4" t="s">
        <v>153</v>
      </c>
      <c r="BH182" t="s">
        <v>153</v>
      </c>
      <c r="BI182" s="4" t="s">
        <v>2362</v>
      </c>
      <c r="BJ182" t="s">
        <v>153</v>
      </c>
      <c r="BK182" s="4" t="s">
        <v>2363</v>
      </c>
      <c r="BL182" t="s">
        <v>153</v>
      </c>
      <c r="BM182" t="s">
        <v>153</v>
      </c>
      <c r="BN182" s="4" t="s">
        <v>153</v>
      </c>
      <c r="BO182" s="4" t="s">
        <v>153</v>
      </c>
      <c r="BP182" s="4" t="s">
        <v>153</v>
      </c>
      <c r="BQ182" s="4" t="s">
        <v>153</v>
      </c>
      <c r="BR182" s="4" t="s">
        <v>153</v>
      </c>
      <c r="BS182" s="4" t="s">
        <v>153</v>
      </c>
      <c r="BT182" s="4" t="s">
        <v>153</v>
      </c>
      <c r="BU182" s="4" t="s">
        <v>153</v>
      </c>
      <c r="BV182" s="4"/>
      <c r="BW182" s="4" t="s">
        <v>430</v>
      </c>
      <c r="BX182" s="4" t="s">
        <v>153</v>
      </c>
      <c r="BY182" s="4" t="s">
        <v>153</v>
      </c>
      <c r="BZ182" s="4" t="s">
        <v>153</v>
      </c>
      <c r="CA182" s="4" t="s">
        <v>153</v>
      </c>
      <c r="CB182" s="4"/>
      <c r="CC182" s="4" t="s">
        <v>430</v>
      </c>
      <c r="CD182" t="s">
        <v>153</v>
      </c>
      <c r="CE182" s="4" t="s">
        <v>153</v>
      </c>
      <c r="CF182" s="4" t="s">
        <v>153</v>
      </c>
      <c r="CG182" s="4" t="s">
        <v>153</v>
      </c>
      <c r="CH182" s="5"/>
      <c r="CI182" t="s">
        <v>153</v>
      </c>
      <c r="CJ182" s="4"/>
      <c r="CK182" t="s">
        <v>153</v>
      </c>
      <c r="CL182" t="s">
        <v>153</v>
      </c>
      <c r="CM182" t="s">
        <v>153</v>
      </c>
      <c r="CN182" t="s">
        <v>153</v>
      </c>
      <c r="CO182" s="5"/>
      <c r="CP182" s="4" t="s">
        <v>153</v>
      </c>
      <c r="CQ182" s="4" t="s">
        <v>153</v>
      </c>
      <c r="CR182" t="s">
        <v>153</v>
      </c>
      <c r="CS182" t="s">
        <v>153</v>
      </c>
      <c r="CT182" t="s">
        <v>153</v>
      </c>
      <c r="CU182" t="s">
        <v>153</v>
      </c>
      <c r="CV182" t="s">
        <v>153</v>
      </c>
      <c r="CW182" t="s">
        <v>153</v>
      </c>
      <c r="CX182" t="s">
        <v>153</v>
      </c>
      <c r="CY182" t="s">
        <v>153</v>
      </c>
      <c r="CZ182" t="s">
        <v>153</v>
      </c>
      <c r="DA182" t="s">
        <v>153</v>
      </c>
      <c r="DB182" t="s">
        <v>153</v>
      </c>
      <c r="DC182" t="s">
        <v>153</v>
      </c>
      <c r="DD182" t="s">
        <v>153</v>
      </c>
      <c r="DE182" t="s">
        <v>153</v>
      </c>
      <c r="DF182" t="s">
        <v>153</v>
      </c>
      <c r="DG182" t="s">
        <v>153</v>
      </c>
      <c r="DI182" t="s">
        <v>153</v>
      </c>
      <c r="DJ182" t="s">
        <v>153</v>
      </c>
      <c r="DK182" t="s">
        <v>153</v>
      </c>
      <c r="DL182" t="s">
        <v>153</v>
      </c>
      <c r="DN182" t="s">
        <v>153</v>
      </c>
      <c r="DO182" t="s">
        <v>153</v>
      </c>
      <c r="DP182" t="s">
        <v>153</v>
      </c>
      <c r="DQ182" t="s">
        <v>153</v>
      </c>
      <c r="DR182" t="s">
        <v>153</v>
      </c>
      <c r="DS182" t="s">
        <v>153</v>
      </c>
      <c r="DT182" t="s">
        <v>153</v>
      </c>
      <c r="DU182" t="s">
        <v>153</v>
      </c>
      <c r="DV182" t="s">
        <v>153</v>
      </c>
      <c r="DW182" t="s">
        <v>153</v>
      </c>
      <c r="DX182" s="2"/>
      <c r="DY182" t="s">
        <v>153</v>
      </c>
      <c r="DZ182" t="s">
        <v>153</v>
      </c>
      <c r="EA182" t="s">
        <v>153</v>
      </c>
      <c r="EB182" t="s">
        <v>153</v>
      </c>
      <c r="EC182" t="s">
        <v>153</v>
      </c>
      <c r="ED182" t="s">
        <v>153</v>
      </c>
      <c r="EE182" t="s">
        <v>153</v>
      </c>
      <c r="EF182" t="s">
        <v>153</v>
      </c>
      <c r="EH182" t="s">
        <v>153</v>
      </c>
      <c r="EI182" t="s">
        <v>153</v>
      </c>
      <c r="EJ182" t="s">
        <v>153</v>
      </c>
      <c r="EK182" t="s">
        <v>153</v>
      </c>
      <c r="EM182" t="s">
        <v>153</v>
      </c>
      <c r="EN182" t="s">
        <v>153</v>
      </c>
      <c r="EP182" s="4" t="s">
        <v>153</v>
      </c>
      <c r="EQ182" s="4" t="s">
        <v>153</v>
      </c>
      <c r="ER182" s="4" t="s">
        <v>153</v>
      </c>
      <c r="ES182" s="4" t="s">
        <v>153</v>
      </c>
      <c r="ET182" t="s">
        <v>153</v>
      </c>
      <c r="EU182" t="s">
        <v>2284</v>
      </c>
      <c r="EV182" t="s">
        <v>2364</v>
      </c>
      <c r="EW182">
        <v>1256665160</v>
      </c>
      <c r="EX182" t="s">
        <v>2365</v>
      </c>
    </row>
    <row r="183" spans="1:154" x14ac:dyDescent="0.25">
      <c r="A183" s="3">
        <v>45523.794479166667</v>
      </c>
      <c r="B183" s="4" t="s">
        <v>153</v>
      </c>
      <c r="C183" s="4" t="s">
        <v>1363</v>
      </c>
      <c r="D183" s="4" t="s">
        <v>1364</v>
      </c>
      <c r="E183" s="4" t="s">
        <v>1365</v>
      </c>
      <c r="F183" s="4" t="s">
        <v>1366</v>
      </c>
      <c r="G183" s="4" t="s">
        <v>423</v>
      </c>
      <c r="H183" s="4" t="s">
        <v>793</v>
      </c>
      <c r="I183" s="4" t="s">
        <v>2366</v>
      </c>
      <c r="J183" s="4" t="s">
        <v>2367</v>
      </c>
      <c r="K183" s="5"/>
      <c r="L183" s="4" t="s">
        <v>153</v>
      </c>
      <c r="M183" s="4" t="s">
        <v>153</v>
      </c>
      <c r="N183" s="4" t="s">
        <v>153</v>
      </c>
      <c r="O183" s="4" t="s">
        <v>153</v>
      </c>
      <c r="P183" s="4" t="s">
        <v>153</v>
      </c>
      <c r="Q183" s="4" t="s">
        <v>153</v>
      </c>
      <c r="R183" s="4" t="s">
        <v>153</v>
      </c>
      <c r="S183" s="4" t="s">
        <v>153</v>
      </c>
      <c r="T183" s="4" t="s">
        <v>153</v>
      </c>
      <c r="U183" s="4" t="s">
        <v>153</v>
      </c>
      <c r="V183" s="4" t="s">
        <v>153</v>
      </c>
      <c r="W183" s="4" t="s">
        <v>153</v>
      </c>
      <c r="X183" s="4" t="s">
        <v>153</v>
      </c>
      <c r="Y183" s="4" t="s">
        <v>153</v>
      </c>
      <c r="Z183" s="4" t="s">
        <v>153</v>
      </c>
      <c r="AA183" s="4" t="s">
        <v>153</v>
      </c>
      <c r="AB183" s="4" t="s">
        <v>153</v>
      </c>
      <c r="AC183" s="4" t="s">
        <v>153</v>
      </c>
      <c r="AD183" s="4" t="s">
        <v>153</v>
      </c>
      <c r="AE183" s="4" t="s">
        <v>153</v>
      </c>
      <c r="AF183" s="4" t="s">
        <v>153</v>
      </c>
      <c r="AG183" s="4" t="s">
        <v>153</v>
      </c>
      <c r="AH183" s="4" t="s">
        <v>153</v>
      </c>
      <c r="AI183" s="5"/>
      <c r="AJ183" t="s">
        <v>153</v>
      </c>
      <c r="AK183" s="4"/>
      <c r="AL183" t="s">
        <v>153</v>
      </c>
      <c r="AM183" t="s">
        <v>153</v>
      </c>
      <c r="AO183" t="s">
        <v>153</v>
      </c>
      <c r="AP183" s="4"/>
      <c r="AQ183" t="s">
        <v>153</v>
      </c>
      <c r="AR183" s="5"/>
      <c r="AT183" s="4" t="s">
        <v>153</v>
      </c>
      <c r="AU183" s="4" t="s">
        <v>153</v>
      </c>
      <c r="AV183" s="4" t="s">
        <v>153</v>
      </c>
      <c r="AW183" t="s">
        <v>153</v>
      </c>
      <c r="AX183" t="s">
        <v>153</v>
      </c>
      <c r="AY183" t="s">
        <v>153</v>
      </c>
      <c r="AZ183" t="s">
        <v>153</v>
      </c>
      <c r="BA183" t="s">
        <v>153</v>
      </c>
      <c r="BB183" t="s">
        <v>153</v>
      </c>
      <c r="BC183" t="s">
        <v>153</v>
      </c>
      <c r="BD183" s="4" t="s">
        <v>153</v>
      </c>
      <c r="BE183" s="4" t="s">
        <v>153</v>
      </c>
      <c r="BF183" t="s">
        <v>153</v>
      </c>
      <c r="BG183" s="4" t="s">
        <v>153</v>
      </c>
      <c r="BH183" t="s">
        <v>153</v>
      </c>
      <c r="BI183" s="4" t="s">
        <v>153</v>
      </c>
      <c r="BJ183" t="s">
        <v>153</v>
      </c>
      <c r="BK183" s="4" t="s">
        <v>153</v>
      </c>
      <c r="BL183" t="s">
        <v>153</v>
      </c>
      <c r="BM183" t="s">
        <v>153</v>
      </c>
      <c r="BN183" s="4" t="s">
        <v>153</v>
      </c>
      <c r="BO183" s="4" t="s">
        <v>153</v>
      </c>
      <c r="BP183" s="4" t="s">
        <v>153</v>
      </c>
      <c r="BQ183" s="4" t="s">
        <v>153</v>
      </c>
      <c r="BR183" s="4" t="s">
        <v>2368</v>
      </c>
      <c r="BS183" s="4" t="s">
        <v>153</v>
      </c>
      <c r="BT183" s="4" t="s">
        <v>2127</v>
      </c>
      <c r="BU183" s="4" t="s">
        <v>2114</v>
      </c>
      <c r="BV183" s="4">
        <v>40214</v>
      </c>
      <c r="BW183" s="4" t="s">
        <v>430</v>
      </c>
      <c r="BX183" s="4" t="s">
        <v>2369</v>
      </c>
      <c r="BY183" s="4" t="s">
        <v>153</v>
      </c>
      <c r="BZ183" s="4" t="s">
        <v>2127</v>
      </c>
      <c r="CA183" s="4" t="s">
        <v>2114</v>
      </c>
      <c r="CB183" s="4">
        <v>40214</v>
      </c>
      <c r="CC183" s="4" t="s">
        <v>430</v>
      </c>
      <c r="CD183" t="s">
        <v>2370</v>
      </c>
      <c r="CE183" s="4" t="s">
        <v>153</v>
      </c>
      <c r="CF183" s="4" t="s">
        <v>153</v>
      </c>
      <c r="CG183" s="4" t="s">
        <v>153</v>
      </c>
      <c r="CH183" s="5"/>
      <c r="CI183" t="s">
        <v>153</v>
      </c>
      <c r="CJ183" s="4"/>
      <c r="CK183" t="s">
        <v>153</v>
      </c>
      <c r="CL183" t="s">
        <v>153</v>
      </c>
      <c r="CM183" t="s">
        <v>153</v>
      </c>
      <c r="CN183" t="s">
        <v>153</v>
      </c>
      <c r="CO183" s="5"/>
      <c r="CP183" s="4" t="s">
        <v>153</v>
      </c>
      <c r="CQ183" s="4" t="s">
        <v>153</v>
      </c>
      <c r="CR183" t="s">
        <v>153</v>
      </c>
      <c r="CS183" t="s">
        <v>153</v>
      </c>
      <c r="CT183" t="s">
        <v>153</v>
      </c>
      <c r="CU183" t="s">
        <v>153</v>
      </c>
      <c r="CV183" t="s">
        <v>153</v>
      </c>
      <c r="CW183" t="s">
        <v>153</v>
      </c>
      <c r="CX183" t="s">
        <v>153</v>
      </c>
      <c r="CY183" t="s">
        <v>153</v>
      </c>
      <c r="CZ183" t="s">
        <v>153</v>
      </c>
      <c r="DA183" t="s">
        <v>153</v>
      </c>
      <c r="DB183" t="s">
        <v>153</v>
      </c>
      <c r="DC183" t="s">
        <v>153</v>
      </c>
      <c r="DD183" t="s">
        <v>153</v>
      </c>
      <c r="DE183" t="s">
        <v>153</v>
      </c>
      <c r="DF183" t="s">
        <v>153</v>
      </c>
      <c r="DG183" t="s">
        <v>153</v>
      </c>
      <c r="DI183" t="s">
        <v>153</v>
      </c>
      <c r="DJ183" t="s">
        <v>153</v>
      </c>
      <c r="DK183" t="s">
        <v>153</v>
      </c>
      <c r="DL183" t="s">
        <v>153</v>
      </c>
      <c r="DN183" t="s">
        <v>153</v>
      </c>
      <c r="DO183" t="s">
        <v>153</v>
      </c>
      <c r="DP183" t="s">
        <v>153</v>
      </c>
      <c r="DQ183" t="s">
        <v>153</v>
      </c>
      <c r="DR183" t="s">
        <v>153</v>
      </c>
      <c r="DS183" t="s">
        <v>153</v>
      </c>
      <c r="DT183" t="s">
        <v>153</v>
      </c>
      <c r="DU183" t="s">
        <v>153</v>
      </c>
      <c r="DV183" t="s">
        <v>153</v>
      </c>
      <c r="DW183" t="s">
        <v>153</v>
      </c>
      <c r="DX183" s="2"/>
      <c r="DY183" t="s">
        <v>153</v>
      </c>
      <c r="DZ183" t="s">
        <v>153</v>
      </c>
      <c r="EA183" t="s">
        <v>153</v>
      </c>
      <c r="EB183" t="s">
        <v>153</v>
      </c>
      <c r="EC183" t="s">
        <v>153</v>
      </c>
      <c r="ED183" t="s">
        <v>153</v>
      </c>
      <c r="EE183" t="s">
        <v>153</v>
      </c>
      <c r="EF183" t="s">
        <v>153</v>
      </c>
      <c r="EH183" t="s">
        <v>153</v>
      </c>
      <c r="EI183" t="s">
        <v>153</v>
      </c>
      <c r="EJ183" t="s">
        <v>153</v>
      </c>
      <c r="EK183" t="s">
        <v>153</v>
      </c>
      <c r="EM183" t="s">
        <v>153</v>
      </c>
      <c r="EN183" t="s">
        <v>153</v>
      </c>
      <c r="EP183" s="4" t="s">
        <v>153</v>
      </c>
      <c r="EQ183" s="4" t="s">
        <v>153</v>
      </c>
      <c r="ER183" s="4" t="s">
        <v>153</v>
      </c>
      <c r="ES183" s="4" t="s">
        <v>153</v>
      </c>
      <c r="ET183" t="s">
        <v>153</v>
      </c>
      <c r="EU183" t="s">
        <v>2284</v>
      </c>
      <c r="EV183" t="s">
        <v>2119</v>
      </c>
      <c r="EW183">
        <v>1256949831</v>
      </c>
      <c r="EX183" t="s">
        <v>2120</v>
      </c>
    </row>
    <row r="184" spans="1:154" x14ac:dyDescent="0.25">
      <c r="A184" s="3">
        <v>45524.749710648146</v>
      </c>
      <c r="B184" s="4" t="s">
        <v>153</v>
      </c>
      <c r="C184" s="4" t="s">
        <v>822</v>
      </c>
      <c r="D184" s="4" t="s">
        <v>823</v>
      </c>
      <c r="E184" s="4" t="s">
        <v>824</v>
      </c>
      <c r="F184" s="4" t="s">
        <v>825</v>
      </c>
      <c r="G184" s="4" t="s">
        <v>185</v>
      </c>
      <c r="H184" s="4" t="s">
        <v>826</v>
      </c>
      <c r="I184" s="4" t="s">
        <v>2371</v>
      </c>
      <c r="J184" s="4" t="s">
        <v>153</v>
      </c>
      <c r="K184" s="5"/>
      <c r="L184" s="4" t="s">
        <v>153</v>
      </c>
      <c r="M184" s="4" t="s">
        <v>2371</v>
      </c>
      <c r="N184" s="4" t="s">
        <v>2372</v>
      </c>
      <c r="O184" s="4" t="s">
        <v>2373</v>
      </c>
      <c r="P184" s="4" t="s">
        <v>2374</v>
      </c>
      <c r="Q184" s="4" t="s">
        <v>190</v>
      </c>
      <c r="R184" s="4" t="s">
        <v>191</v>
      </c>
      <c r="S184" s="4" t="s">
        <v>2375</v>
      </c>
      <c r="T184" s="4" t="s">
        <v>153</v>
      </c>
      <c r="U184" s="4" t="s">
        <v>2376</v>
      </c>
      <c r="V184" s="4" t="s">
        <v>153</v>
      </c>
      <c r="W184" s="4" t="s">
        <v>2377</v>
      </c>
      <c r="X184" s="4" t="s">
        <v>347</v>
      </c>
      <c r="Y184" s="4" t="s">
        <v>2378</v>
      </c>
      <c r="Z184" s="4" t="s">
        <v>237</v>
      </c>
      <c r="AA184" s="4" t="s">
        <v>2379</v>
      </c>
      <c r="AB184" s="4" t="s">
        <v>153</v>
      </c>
      <c r="AC184" s="4" t="s">
        <v>2377</v>
      </c>
      <c r="AD184" s="4" t="s">
        <v>347</v>
      </c>
      <c r="AE184" s="4" t="s">
        <v>2380</v>
      </c>
      <c r="AF184" s="4" t="s">
        <v>2381</v>
      </c>
      <c r="AG184" s="4" t="s">
        <v>2382</v>
      </c>
      <c r="AH184" s="4" t="s">
        <v>480</v>
      </c>
      <c r="AI184" s="5">
        <v>45474</v>
      </c>
      <c r="AJ184" t="s">
        <v>2383</v>
      </c>
      <c r="AK184" s="4">
        <v>5</v>
      </c>
      <c r="AL184" t="s">
        <v>153</v>
      </c>
      <c r="AM184" t="s">
        <v>153</v>
      </c>
      <c r="AO184" t="s">
        <v>153</v>
      </c>
      <c r="AP184" s="4"/>
      <c r="AQ184" t="s">
        <v>153</v>
      </c>
      <c r="AR184" s="5"/>
      <c r="AT184" s="4" t="s">
        <v>153</v>
      </c>
      <c r="AU184" s="4" t="s">
        <v>153</v>
      </c>
      <c r="AV184" s="4" t="s">
        <v>153</v>
      </c>
      <c r="AW184" t="s">
        <v>153</v>
      </c>
      <c r="AX184" t="s">
        <v>153</v>
      </c>
      <c r="AY184" t="s">
        <v>153</v>
      </c>
      <c r="AZ184" t="s">
        <v>153</v>
      </c>
      <c r="BA184" t="s">
        <v>153</v>
      </c>
      <c r="BB184" t="s">
        <v>153</v>
      </c>
      <c r="BC184" t="s">
        <v>153</v>
      </c>
      <c r="BD184" s="4" t="s">
        <v>153</v>
      </c>
      <c r="BE184" s="4" t="s">
        <v>153</v>
      </c>
      <c r="BF184" t="s">
        <v>153</v>
      </c>
      <c r="BG184" s="4" t="s">
        <v>153</v>
      </c>
      <c r="BH184" t="s">
        <v>153</v>
      </c>
      <c r="BI184" s="4" t="s">
        <v>153</v>
      </c>
      <c r="BJ184" t="s">
        <v>153</v>
      </c>
      <c r="BK184" s="4" t="s">
        <v>153</v>
      </c>
      <c r="BL184" t="s">
        <v>153</v>
      </c>
      <c r="BM184" t="s">
        <v>153</v>
      </c>
      <c r="BN184" s="4" t="s">
        <v>153</v>
      </c>
      <c r="BO184" s="4" t="s">
        <v>153</v>
      </c>
      <c r="BP184" s="4" t="s">
        <v>153</v>
      </c>
      <c r="BQ184" s="4" t="s">
        <v>153</v>
      </c>
      <c r="BR184" s="4" t="s">
        <v>153</v>
      </c>
      <c r="BS184" s="4" t="s">
        <v>153</v>
      </c>
      <c r="BT184" s="4" t="s">
        <v>153</v>
      </c>
      <c r="BU184" s="4" t="s">
        <v>153</v>
      </c>
      <c r="BV184" s="4"/>
      <c r="BW184" s="4" t="s">
        <v>153</v>
      </c>
      <c r="BX184" s="4" t="s">
        <v>153</v>
      </c>
      <c r="BY184" s="4" t="s">
        <v>153</v>
      </c>
      <c r="BZ184" s="4" t="s">
        <v>153</v>
      </c>
      <c r="CA184" s="4" t="s">
        <v>153</v>
      </c>
      <c r="CB184" s="4"/>
      <c r="CC184" s="4" t="s">
        <v>153</v>
      </c>
      <c r="CD184" t="s">
        <v>153</v>
      </c>
      <c r="CE184" s="4" t="s">
        <v>153</v>
      </c>
      <c r="CF184" s="4" t="s">
        <v>153</v>
      </c>
      <c r="CG184" s="4" t="s">
        <v>153</v>
      </c>
      <c r="CH184" s="5"/>
      <c r="CI184" t="s">
        <v>153</v>
      </c>
      <c r="CJ184" s="4"/>
      <c r="CK184" t="s">
        <v>153</v>
      </c>
      <c r="CL184" t="s">
        <v>153</v>
      </c>
      <c r="CM184" t="s">
        <v>153</v>
      </c>
      <c r="CN184" t="s">
        <v>153</v>
      </c>
      <c r="CO184" s="5"/>
      <c r="CP184" s="4" t="s">
        <v>153</v>
      </c>
      <c r="CQ184" s="4" t="s">
        <v>153</v>
      </c>
      <c r="CR184" t="s">
        <v>153</v>
      </c>
      <c r="CS184" t="s">
        <v>153</v>
      </c>
      <c r="CT184" t="s">
        <v>153</v>
      </c>
      <c r="CU184" t="s">
        <v>153</v>
      </c>
      <c r="CV184" t="s">
        <v>153</v>
      </c>
      <c r="CW184" t="s">
        <v>153</v>
      </c>
      <c r="CX184" t="s">
        <v>153</v>
      </c>
      <c r="CY184" t="s">
        <v>153</v>
      </c>
      <c r="CZ184" t="s">
        <v>153</v>
      </c>
      <c r="DA184" t="s">
        <v>153</v>
      </c>
      <c r="DB184" t="s">
        <v>153</v>
      </c>
      <c r="DC184" t="s">
        <v>153</v>
      </c>
      <c r="DD184" t="s">
        <v>153</v>
      </c>
      <c r="DE184" t="s">
        <v>153</v>
      </c>
      <c r="DF184" t="s">
        <v>153</v>
      </c>
      <c r="DG184" t="s">
        <v>153</v>
      </c>
      <c r="DI184" t="s">
        <v>153</v>
      </c>
      <c r="DJ184" t="s">
        <v>153</v>
      </c>
      <c r="DK184" t="s">
        <v>153</v>
      </c>
      <c r="DL184" t="s">
        <v>153</v>
      </c>
      <c r="DN184" t="s">
        <v>153</v>
      </c>
      <c r="DO184" t="s">
        <v>153</v>
      </c>
      <c r="DP184" t="s">
        <v>153</v>
      </c>
      <c r="DQ184" t="s">
        <v>153</v>
      </c>
      <c r="DR184" t="s">
        <v>153</v>
      </c>
      <c r="DS184" t="s">
        <v>153</v>
      </c>
      <c r="DT184" t="s">
        <v>153</v>
      </c>
      <c r="DU184" t="s">
        <v>153</v>
      </c>
      <c r="DV184" t="s">
        <v>153</v>
      </c>
      <c r="DW184" t="s">
        <v>153</v>
      </c>
      <c r="DX184" s="2"/>
      <c r="DY184" t="s">
        <v>153</v>
      </c>
      <c r="DZ184" t="s">
        <v>153</v>
      </c>
      <c r="EA184" t="s">
        <v>153</v>
      </c>
      <c r="EB184" t="s">
        <v>153</v>
      </c>
      <c r="EC184" t="s">
        <v>153</v>
      </c>
      <c r="ED184" t="s">
        <v>153</v>
      </c>
      <c r="EE184" t="s">
        <v>153</v>
      </c>
      <c r="EF184" t="s">
        <v>153</v>
      </c>
      <c r="EH184" t="s">
        <v>153</v>
      </c>
      <c r="EI184" t="s">
        <v>153</v>
      </c>
      <c r="EJ184" t="s">
        <v>153</v>
      </c>
      <c r="EK184" t="s">
        <v>153</v>
      </c>
      <c r="EM184" t="s">
        <v>153</v>
      </c>
      <c r="EN184" t="s">
        <v>153</v>
      </c>
      <c r="EP184" s="4" t="s">
        <v>243</v>
      </c>
      <c r="EQ184" s="4" t="s">
        <v>842</v>
      </c>
      <c r="ER184" s="4" t="s">
        <v>153</v>
      </c>
      <c r="ES184" s="4" t="s">
        <v>153</v>
      </c>
      <c r="ET184" t="s">
        <v>2384</v>
      </c>
      <c r="EU184" t="s">
        <v>2385</v>
      </c>
      <c r="EV184" t="s">
        <v>845</v>
      </c>
      <c r="EW184">
        <v>1257364388</v>
      </c>
      <c r="EX184" t="s">
        <v>2096</v>
      </c>
    </row>
    <row r="185" spans="1:154" x14ac:dyDescent="0.25">
      <c r="A185" s="3">
        <v>45525.828993055555</v>
      </c>
      <c r="B185" s="4" t="s">
        <v>153</v>
      </c>
      <c r="C185" s="4" t="s">
        <v>822</v>
      </c>
      <c r="D185" s="4" t="s">
        <v>823</v>
      </c>
      <c r="E185" s="4" t="s">
        <v>824</v>
      </c>
      <c r="F185" s="4" t="s">
        <v>825</v>
      </c>
      <c r="G185" s="4" t="s">
        <v>423</v>
      </c>
      <c r="H185" s="4" t="s">
        <v>826</v>
      </c>
      <c r="I185" s="4" t="s">
        <v>2386</v>
      </c>
      <c r="J185" s="4" t="s">
        <v>2387</v>
      </c>
      <c r="K185" s="5"/>
      <c r="L185" s="4" t="s">
        <v>153</v>
      </c>
      <c r="M185" s="4" t="s">
        <v>153</v>
      </c>
      <c r="N185" s="4" t="s">
        <v>153</v>
      </c>
      <c r="O185" s="4" t="s">
        <v>153</v>
      </c>
      <c r="P185" s="4" t="s">
        <v>153</v>
      </c>
      <c r="Q185" s="4" t="s">
        <v>153</v>
      </c>
      <c r="R185" s="4" t="s">
        <v>153</v>
      </c>
      <c r="S185" s="4" t="s">
        <v>153</v>
      </c>
      <c r="T185" s="4" t="s">
        <v>153</v>
      </c>
      <c r="U185" s="4" t="s">
        <v>153</v>
      </c>
      <c r="V185" s="4" t="s">
        <v>153</v>
      </c>
      <c r="W185" s="4" t="s">
        <v>153</v>
      </c>
      <c r="X185" s="4" t="s">
        <v>153</v>
      </c>
      <c r="Y185" s="4" t="s">
        <v>153</v>
      </c>
      <c r="Z185" s="4" t="s">
        <v>153</v>
      </c>
      <c r="AA185" s="4" t="s">
        <v>153</v>
      </c>
      <c r="AB185" s="4" t="s">
        <v>153</v>
      </c>
      <c r="AC185" s="4" t="s">
        <v>153</v>
      </c>
      <c r="AD185" s="4" t="s">
        <v>153</v>
      </c>
      <c r="AE185" s="4" t="s">
        <v>153</v>
      </c>
      <c r="AF185" s="4" t="s">
        <v>153</v>
      </c>
      <c r="AG185" s="4" t="s">
        <v>153</v>
      </c>
      <c r="AH185" s="4" t="s">
        <v>153</v>
      </c>
      <c r="AI185" s="5"/>
      <c r="AJ185" t="s">
        <v>153</v>
      </c>
      <c r="AK185" s="4"/>
      <c r="AL185" t="s">
        <v>153</v>
      </c>
      <c r="AM185" t="s">
        <v>153</v>
      </c>
      <c r="AO185" t="s">
        <v>153</v>
      </c>
      <c r="AP185" s="4"/>
      <c r="AQ185" t="s">
        <v>153</v>
      </c>
      <c r="AR185" s="5"/>
      <c r="AT185" s="4" t="s">
        <v>153</v>
      </c>
      <c r="AU185" s="4" t="s">
        <v>153</v>
      </c>
      <c r="AV185" s="4" t="s">
        <v>153</v>
      </c>
      <c r="AW185" t="s">
        <v>153</v>
      </c>
      <c r="AX185" t="s">
        <v>153</v>
      </c>
      <c r="AY185" t="s">
        <v>153</v>
      </c>
      <c r="AZ185" t="s">
        <v>153</v>
      </c>
      <c r="BA185" t="s">
        <v>153</v>
      </c>
      <c r="BB185" t="s">
        <v>153</v>
      </c>
      <c r="BC185" t="s">
        <v>153</v>
      </c>
      <c r="BD185" s="4" t="s">
        <v>153</v>
      </c>
      <c r="BE185" s="4" t="s">
        <v>153</v>
      </c>
      <c r="BF185" t="s">
        <v>153</v>
      </c>
      <c r="BG185" s="4" t="s">
        <v>153</v>
      </c>
      <c r="BH185" t="s">
        <v>153</v>
      </c>
      <c r="BI185" s="4" t="s">
        <v>153</v>
      </c>
      <c r="BJ185" t="s">
        <v>153</v>
      </c>
      <c r="BK185" s="4" t="s">
        <v>153</v>
      </c>
      <c r="BL185" t="s">
        <v>153</v>
      </c>
      <c r="BM185" t="s">
        <v>153</v>
      </c>
      <c r="BN185" s="4" t="s">
        <v>153</v>
      </c>
      <c r="BO185" s="4" t="s">
        <v>191</v>
      </c>
      <c r="BP185" s="4" t="s">
        <v>2388</v>
      </c>
      <c r="BQ185" s="4" t="s">
        <v>153</v>
      </c>
      <c r="BR185" s="4" t="s">
        <v>153</v>
      </c>
      <c r="BS185" s="4" t="s">
        <v>153</v>
      </c>
      <c r="BT185" s="4" t="s">
        <v>153</v>
      </c>
      <c r="BU185" s="4" t="s">
        <v>347</v>
      </c>
      <c r="BV185" s="4"/>
      <c r="BW185" s="4" t="s">
        <v>430</v>
      </c>
      <c r="BX185" s="4" t="s">
        <v>2389</v>
      </c>
      <c r="BY185" s="4" t="s">
        <v>2390</v>
      </c>
      <c r="BZ185" s="4" t="s">
        <v>2089</v>
      </c>
      <c r="CA185" s="4" t="s">
        <v>347</v>
      </c>
      <c r="CB185" s="4">
        <v>91810</v>
      </c>
      <c r="CC185" s="4" t="s">
        <v>430</v>
      </c>
      <c r="CD185" t="s">
        <v>2391</v>
      </c>
      <c r="CE185" s="4" t="s">
        <v>153</v>
      </c>
      <c r="CF185" s="4" t="s">
        <v>153</v>
      </c>
      <c r="CG185" s="4" t="s">
        <v>153</v>
      </c>
      <c r="CH185" s="5"/>
      <c r="CI185" t="s">
        <v>153</v>
      </c>
      <c r="CJ185" s="4"/>
      <c r="CK185" t="s">
        <v>153</v>
      </c>
      <c r="CL185" t="s">
        <v>153</v>
      </c>
      <c r="CM185" t="s">
        <v>2392</v>
      </c>
      <c r="CN185" t="s">
        <v>153</v>
      </c>
      <c r="CO185" s="5"/>
      <c r="CP185" s="4" t="s">
        <v>153</v>
      </c>
      <c r="CQ185" s="4" t="s">
        <v>153</v>
      </c>
      <c r="CR185" t="s">
        <v>153</v>
      </c>
      <c r="CS185" t="s">
        <v>153</v>
      </c>
      <c r="CT185" t="s">
        <v>153</v>
      </c>
      <c r="CU185" t="s">
        <v>153</v>
      </c>
      <c r="CV185" t="s">
        <v>153</v>
      </c>
      <c r="CW185" t="s">
        <v>153</v>
      </c>
      <c r="CX185" t="s">
        <v>153</v>
      </c>
      <c r="CY185" t="s">
        <v>153</v>
      </c>
      <c r="CZ185" t="s">
        <v>153</v>
      </c>
      <c r="DA185" t="s">
        <v>153</v>
      </c>
      <c r="DB185" t="s">
        <v>153</v>
      </c>
      <c r="DC185" t="s">
        <v>153</v>
      </c>
      <c r="DD185" t="s">
        <v>153</v>
      </c>
      <c r="DE185" t="s">
        <v>153</v>
      </c>
      <c r="DF185" t="s">
        <v>153</v>
      </c>
      <c r="DG185" t="s">
        <v>153</v>
      </c>
      <c r="DI185" t="s">
        <v>153</v>
      </c>
      <c r="DJ185" t="s">
        <v>153</v>
      </c>
      <c r="DK185" t="s">
        <v>153</v>
      </c>
      <c r="DL185" t="s">
        <v>153</v>
      </c>
      <c r="DN185" t="s">
        <v>153</v>
      </c>
      <c r="DO185" t="s">
        <v>153</v>
      </c>
      <c r="DP185" t="s">
        <v>153</v>
      </c>
      <c r="DQ185" t="s">
        <v>153</v>
      </c>
      <c r="DR185" t="s">
        <v>153</v>
      </c>
      <c r="DS185" t="s">
        <v>153</v>
      </c>
      <c r="DT185" t="s">
        <v>153</v>
      </c>
      <c r="DU185" t="s">
        <v>153</v>
      </c>
      <c r="DV185" t="s">
        <v>153</v>
      </c>
      <c r="DW185" t="s">
        <v>153</v>
      </c>
      <c r="DX185" s="2"/>
      <c r="DY185" t="s">
        <v>153</v>
      </c>
      <c r="DZ185" t="s">
        <v>153</v>
      </c>
      <c r="EA185" t="s">
        <v>153</v>
      </c>
      <c r="EB185" t="s">
        <v>153</v>
      </c>
      <c r="EC185" t="s">
        <v>153</v>
      </c>
      <c r="ED185" t="s">
        <v>153</v>
      </c>
      <c r="EE185" t="s">
        <v>153</v>
      </c>
      <c r="EF185" t="s">
        <v>153</v>
      </c>
      <c r="EH185" t="s">
        <v>153</v>
      </c>
      <c r="EI185" t="s">
        <v>153</v>
      </c>
      <c r="EJ185" t="s">
        <v>153</v>
      </c>
      <c r="EK185" t="s">
        <v>153</v>
      </c>
      <c r="EM185" t="s">
        <v>153</v>
      </c>
      <c r="EN185" t="s">
        <v>153</v>
      </c>
      <c r="EP185" s="4" t="s">
        <v>153</v>
      </c>
      <c r="EQ185" s="4" t="s">
        <v>153</v>
      </c>
      <c r="ER185" s="4" t="s">
        <v>153</v>
      </c>
      <c r="ES185" s="4" t="s">
        <v>153</v>
      </c>
      <c r="ET185" t="s">
        <v>153</v>
      </c>
      <c r="EU185" t="s">
        <v>2385</v>
      </c>
      <c r="EV185" t="s">
        <v>845</v>
      </c>
      <c r="EW185">
        <v>1257799256</v>
      </c>
      <c r="EX185" t="s">
        <v>2096</v>
      </c>
    </row>
    <row r="186" spans="1:154" x14ac:dyDescent="0.25">
      <c r="A186" s="3">
        <v>45530.609270833331</v>
      </c>
      <c r="B186" s="4" t="s">
        <v>153</v>
      </c>
      <c r="C186" s="4" t="s">
        <v>281</v>
      </c>
      <c r="D186" s="4" t="s">
        <v>265</v>
      </c>
      <c r="E186" s="4" t="s">
        <v>266</v>
      </c>
      <c r="F186" s="4" t="s">
        <v>267</v>
      </c>
      <c r="G186" s="4" t="s">
        <v>185</v>
      </c>
      <c r="H186" s="4" t="s">
        <v>268</v>
      </c>
      <c r="I186" s="4" t="s">
        <v>2393</v>
      </c>
      <c r="J186" s="4" t="s">
        <v>153</v>
      </c>
      <c r="K186" s="5"/>
      <c r="L186" s="4" t="s">
        <v>153</v>
      </c>
      <c r="M186" s="4" t="s">
        <v>2394</v>
      </c>
      <c r="N186" s="4" t="s">
        <v>2395</v>
      </c>
      <c r="O186" s="4" t="s">
        <v>2396</v>
      </c>
      <c r="P186" s="4" t="s">
        <v>296</v>
      </c>
      <c r="Q186" s="4" t="s">
        <v>190</v>
      </c>
      <c r="R186" s="4" t="s">
        <v>308</v>
      </c>
      <c r="S186" s="4" t="s">
        <v>153</v>
      </c>
      <c r="T186" s="4" t="s">
        <v>2229</v>
      </c>
      <c r="U186" s="4" t="s">
        <v>1678</v>
      </c>
      <c r="V186" s="4" t="s">
        <v>153</v>
      </c>
      <c r="W186" s="4" t="s">
        <v>2230</v>
      </c>
      <c r="X186" s="4" t="s">
        <v>429</v>
      </c>
      <c r="Y186" s="4" t="s">
        <v>1680</v>
      </c>
      <c r="Z186" s="4" t="s">
        <v>2397</v>
      </c>
      <c r="AA186" s="4" t="s">
        <v>2398</v>
      </c>
      <c r="AB186" s="4" t="s">
        <v>153</v>
      </c>
      <c r="AC186" s="4" t="s">
        <v>2399</v>
      </c>
      <c r="AD186" s="4" t="s">
        <v>429</v>
      </c>
      <c r="AE186" s="4" t="s">
        <v>2400</v>
      </c>
      <c r="AF186" s="4" t="s">
        <v>2401</v>
      </c>
      <c r="AG186" s="4" t="s">
        <v>2402</v>
      </c>
      <c r="AH186" s="4" t="s">
        <v>153</v>
      </c>
      <c r="AI186" s="5">
        <v>45391</v>
      </c>
      <c r="AJ186" t="s">
        <v>240</v>
      </c>
      <c r="AK186" s="4">
        <v>0</v>
      </c>
      <c r="AL186" t="s">
        <v>153</v>
      </c>
      <c r="AM186" t="s">
        <v>153</v>
      </c>
      <c r="AO186" t="s">
        <v>153</v>
      </c>
      <c r="AP186" s="4"/>
      <c r="AQ186" t="s">
        <v>153</v>
      </c>
      <c r="AR186" s="5"/>
      <c r="AT186" s="4" t="s">
        <v>153</v>
      </c>
      <c r="AU186" s="4" t="s">
        <v>153</v>
      </c>
      <c r="AV186" s="4" t="s">
        <v>153</v>
      </c>
      <c r="AW186" t="s">
        <v>153</v>
      </c>
      <c r="AX186" t="s">
        <v>153</v>
      </c>
      <c r="AY186" t="s">
        <v>153</v>
      </c>
      <c r="AZ186" t="s">
        <v>153</v>
      </c>
      <c r="BA186" t="s">
        <v>153</v>
      </c>
      <c r="BB186" t="s">
        <v>153</v>
      </c>
      <c r="BC186" t="s">
        <v>153</v>
      </c>
      <c r="BD186" s="4" t="s">
        <v>153</v>
      </c>
      <c r="BE186" s="4" t="s">
        <v>153</v>
      </c>
      <c r="BF186" t="s">
        <v>153</v>
      </c>
      <c r="BG186" s="4" t="s">
        <v>153</v>
      </c>
      <c r="BH186" t="s">
        <v>153</v>
      </c>
      <c r="BI186" s="4" t="s">
        <v>153</v>
      </c>
      <c r="BJ186" t="s">
        <v>153</v>
      </c>
      <c r="BK186" s="4" t="s">
        <v>153</v>
      </c>
      <c r="BL186" t="s">
        <v>153</v>
      </c>
      <c r="BM186" t="s">
        <v>153</v>
      </c>
      <c r="BN186" s="4" t="s">
        <v>153</v>
      </c>
      <c r="BO186" s="4" t="s">
        <v>153</v>
      </c>
      <c r="BP186" s="4" t="s">
        <v>153</v>
      </c>
      <c r="BQ186" s="4" t="s">
        <v>153</v>
      </c>
      <c r="BR186" s="4" t="s">
        <v>153</v>
      </c>
      <c r="BS186" s="4" t="s">
        <v>153</v>
      </c>
      <c r="BT186" s="4" t="s">
        <v>153</v>
      </c>
      <c r="BU186" s="4" t="s">
        <v>153</v>
      </c>
      <c r="BV186" s="4"/>
      <c r="BW186" s="4" t="s">
        <v>153</v>
      </c>
      <c r="BX186" s="4" t="s">
        <v>153</v>
      </c>
      <c r="BY186" s="4" t="s">
        <v>153</v>
      </c>
      <c r="BZ186" s="4" t="s">
        <v>153</v>
      </c>
      <c r="CA186" s="4" t="s">
        <v>153</v>
      </c>
      <c r="CB186" s="4"/>
      <c r="CC186" s="4" t="s">
        <v>153</v>
      </c>
      <c r="CD186" t="s">
        <v>153</v>
      </c>
      <c r="CE186" s="4" t="s">
        <v>153</v>
      </c>
      <c r="CF186" s="4" t="s">
        <v>153</v>
      </c>
      <c r="CG186" s="4" t="s">
        <v>153</v>
      </c>
      <c r="CH186" s="5"/>
      <c r="CI186" t="s">
        <v>153</v>
      </c>
      <c r="CJ186" s="4"/>
      <c r="CK186" t="s">
        <v>153</v>
      </c>
      <c r="CL186" t="s">
        <v>153</v>
      </c>
      <c r="CM186" t="s">
        <v>153</v>
      </c>
      <c r="CN186" t="s">
        <v>153</v>
      </c>
      <c r="CO186" s="5"/>
      <c r="CP186" s="4" t="s">
        <v>153</v>
      </c>
      <c r="CQ186" s="4" t="s">
        <v>153</v>
      </c>
      <c r="CR186" t="s">
        <v>153</v>
      </c>
      <c r="CS186" t="s">
        <v>153</v>
      </c>
      <c r="CT186" t="s">
        <v>153</v>
      </c>
      <c r="CU186" t="s">
        <v>153</v>
      </c>
      <c r="CV186" t="s">
        <v>153</v>
      </c>
      <c r="CW186" t="s">
        <v>153</v>
      </c>
      <c r="CX186" t="s">
        <v>153</v>
      </c>
      <c r="CY186" t="s">
        <v>153</v>
      </c>
      <c r="CZ186" t="s">
        <v>153</v>
      </c>
      <c r="DA186" t="s">
        <v>153</v>
      </c>
      <c r="DB186" t="s">
        <v>153</v>
      </c>
      <c r="DC186" t="s">
        <v>153</v>
      </c>
      <c r="DD186" t="s">
        <v>153</v>
      </c>
      <c r="DE186" t="s">
        <v>153</v>
      </c>
      <c r="DF186" t="s">
        <v>153</v>
      </c>
      <c r="DG186" t="s">
        <v>153</v>
      </c>
      <c r="DI186" t="s">
        <v>153</v>
      </c>
      <c r="DJ186" t="s">
        <v>153</v>
      </c>
      <c r="DK186" t="s">
        <v>153</v>
      </c>
      <c r="DL186" t="s">
        <v>153</v>
      </c>
      <c r="DN186" t="s">
        <v>153</v>
      </c>
      <c r="DO186" t="s">
        <v>153</v>
      </c>
      <c r="DP186" t="s">
        <v>153</v>
      </c>
      <c r="DQ186" t="s">
        <v>153</v>
      </c>
      <c r="DR186" t="s">
        <v>153</v>
      </c>
      <c r="DS186" t="s">
        <v>153</v>
      </c>
      <c r="DT186" t="s">
        <v>153</v>
      </c>
      <c r="DU186" t="s">
        <v>153</v>
      </c>
      <c r="DV186" t="s">
        <v>153</v>
      </c>
      <c r="DW186" t="s">
        <v>153</v>
      </c>
      <c r="DX186" s="2"/>
      <c r="DY186" t="s">
        <v>153</v>
      </c>
      <c r="DZ186" t="s">
        <v>153</v>
      </c>
      <c r="EA186" t="s">
        <v>153</v>
      </c>
      <c r="EB186" t="s">
        <v>153</v>
      </c>
      <c r="EC186" t="s">
        <v>153</v>
      </c>
      <c r="ED186" t="s">
        <v>153</v>
      </c>
      <c r="EE186" t="s">
        <v>153</v>
      </c>
      <c r="EF186" t="s">
        <v>153</v>
      </c>
      <c r="EH186" t="s">
        <v>153</v>
      </c>
      <c r="EI186" t="s">
        <v>153</v>
      </c>
      <c r="EJ186" t="s">
        <v>153</v>
      </c>
      <c r="EK186" t="s">
        <v>153</v>
      </c>
      <c r="EM186" t="s">
        <v>153</v>
      </c>
      <c r="EN186" t="s">
        <v>153</v>
      </c>
      <c r="EP186" s="4" t="s">
        <v>153</v>
      </c>
      <c r="EQ186" s="4" t="s">
        <v>153</v>
      </c>
      <c r="ER186" s="4" t="s">
        <v>191</v>
      </c>
      <c r="ES186" s="4" t="s">
        <v>153</v>
      </c>
      <c r="ET186" t="s">
        <v>2403</v>
      </c>
      <c r="EU186" t="s">
        <v>2385</v>
      </c>
      <c r="EV186" t="s">
        <v>2404</v>
      </c>
      <c r="EW186">
        <v>1259162849</v>
      </c>
      <c r="EX186" t="s">
        <v>2405</v>
      </c>
    </row>
    <row r="187" spans="1:154" x14ac:dyDescent="0.25">
      <c r="A187" s="3">
        <v>45541.573379629626</v>
      </c>
      <c r="B187" s="4" t="s">
        <v>153</v>
      </c>
      <c r="C187" s="4" t="s">
        <v>2406</v>
      </c>
      <c r="D187" s="4" t="s">
        <v>2407</v>
      </c>
      <c r="E187" s="4" t="s">
        <v>2408</v>
      </c>
      <c r="F187" s="4" t="s">
        <v>2409</v>
      </c>
      <c r="G187" s="4" t="s">
        <v>185</v>
      </c>
      <c r="H187" s="4" t="s">
        <v>159</v>
      </c>
      <c r="I187" s="4" t="s">
        <v>2410</v>
      </c>
      <c r="J187" s="4" t="s">
        <v>153</v>
      </c>
      <c r="K187" s="5"/>
      <c r="L187" s="4" t="s">
        <v>153</v>
      </c>
      <c r="M187" s="4" t="s">
        <v>2411</v>
      </c>
      <c r="N187" s="4" t="s">
        <v>2412</v>
      </c>
      <c r="O187" s="4" t="s">
        <v>2406</v>
      </c>
      <c r="P187" s="4" t="s">
        <v>2407</v>
      </c>
      <c r="Q187" s="4" t="s">
        <v>294</v>
      </c>
      <c r="R187" s="4" t="s">
        <v>191</v>
      </c>
      <c r="S187" s="4" t="s">
        <v>2413</v>
      </c>
      <c r="T187" s="4" t="s">
        <v>153</v>
      </c>
      <c r="U187" s="4" t="s">
        <v>2414</v>
      </c>
      <c r="V187" s="4" t="s">
        <v>2415</v>
      </c>
      <c r="W187" s="4" t="s">
        <v>2416</v>
      </c>
      <c r="X187" s="4" t="s">
        <v>167</v>
      </c>
      <c r="Y187" s="4" t="s">
        <v>2417</v>
      </c>
      <c r="Z187" s="4" t="s">
        <v>197</v>
      </c>
      <c r="AA187" s="4" t="s">
        <v>2418</v>
      </c>
      <c r="AB187" s="4" t="s">
        <v>153</v>
      </c>
      <c r="AC187" s="4" t="s">
        <v>2419</v>
      </c>
      <c r="AD187" s="4" t="s">
        <v>167</v>
      </c>
      <c r="AE187" s="4" t="s">
        <v>2420</v>
      </c>
      <c r="AF187" s="4" t="s">
        <v>2421</v>
      </c>
      <c r="AG187" s="4" t="s">
        <v>2422</v>
      </c>
      <c r="AH187" s="4" t="s">
        <v>2423</v>
      </c>
      <c r="AI187" s="5">
        <v>45292</v>
      </c>
      <c r="AJ187" t="s">
        <v>2424</v>
      </c>
      <c r="AK187" s="4"/>
      <c r="AL187" t="s">
        <v>2425</v>
      </c>
      <c r="AM187" t="s">
        <v>153</v>
      </c>
      <c r="AO187" t="s">
        <v>153</v>
      </c>
      <c r="AP187" s="4"/>
      <c r="AQ187" t="s">
        <v>153</v>
      </c>
      <c r="AR187" s="5"/>
      <c r="AT187" s="4" t="s">
        <v>153</v>
      </c>
      <c r="AU187" s="4" t="s">
        <v>153</v>
      </c>
      <c r="AV187" s="4" t="s">
        <v>153</v>
      </c>
      <c r="AW187" t="s">
        <v>153</v>
      </c>
      <c r="AX187" t="s">
        <v>153</v>
      </c>
      <c r="AY187" t="s">
        <v>153</v>
      </c>
      <c r="AZ187" t="s">
        <v>153</v>
      </c>
      <c r="BA187" t="s">
        <v>153</v>
      </c>
      <c r="BB187" t="s">
        <v>153</v>
      </c>
      <c r="BC187" t="s">
        <v>153</v>
      </c>
      <c r="BD187" s="4" t="s">
        <v>153</v>
      </c>
      <c r="BE187" s="4" t="s">
        <v>153</v>
      </c>
      <c r="BF187" t="s">
        <v>153</v>
      </c>
      <c r="BG187" s="4" t="s">
        <v>153</v>
      </c>
      <c r="BH187" t="s">
        <v>153</v>
      </c>
      <c r="BI187" s="4" t="s">
        <v>153</v>
      </c>
      <c r="BJ187" t="s">
        <v>153</v>
      </c>
      <c r="BK187" s="4" t="s">
        <v>153</v>
      </c>
      <c r="BL187" t="s">
        <v>153</v>
      </c>
      <c r="BM187" t="s">
        <v>153</v>
      </c>
      <c r="BN187" s="4" t="s">
        <v>153</v>
      </c>
      <c r="BO187" s="4" t="s">
        <v>153</v>
      </c>
      <c r="BP187" s="4" t="s">
        <v>153</v>
      </c>
      <c r="BQ187" s="4" t="s">
        <v>153</v>
      </c>
      <c r="BR187" s="4" t="s">
        <v>153</v>
      </c>
      <c r="BS187" s="4" t="s">
        <v>153</v>
      </c>
      <c r="BT187" s="4" t="s">
        <v>153</v>
      </c>
      <c r="BU187" s="4" t="s">
        <v>153</v>
      </c>
      <c r="BV187" s="4"/>
      <c r="BW187" s="4" t="s">
        <v>153</v>
      </c>
      <c r="BX187" s="4" t="s">
        <v>153</v>
      </c>
      <c r="BY187" s="4" t="s">
        <v>153</v>
      </c>
      <c r="BZ187" s="4" t="s">
        <v>153</v>
      </c>
      <c r="CA187" s="4" t="s">
        <v>153</v>
      </c>
      <c r="CB187" s="4"/>
      <c r="CC187" s="4" t="s">
        <v>153</v>
      </c>
      <c r="CD187" t="s">
        <v>153</v>
      </c>
      <c r="CE187" s="4" t="s">
        <v>153</v>
      </c>
      <c r="CF187" s="4" t="s">
        <v>153</v>
      </c>
      <c r="CG187" s="4" t="s">
        <v>153</v>
      </c>
      <c r="CH187" s="5"/>
      <c r="CI187" t="s">
        <v>153</v>
      </c>
      <c r="CJ187" s="4"/>
      <c r="CK187" t="s">
        <v>153</v>
      </c>
      <c r="CL187" t="s">
        <v>153</v>
      </c>
      <c r="CM187" t="s">
        <v>153</v>
      </c>
      <c r="CN187" t="s">
        <v>153</v>
      </c>
      <c r="CO187" s="5"/>
      <c r="CP187" s="4" t="s">
        <v>153</v>
      </c>
      <c r="CQ187" s="4" t="s">
        <v>153</v>
      </c>
      <c r="CR187" t="s">
        <v>153</v>
      </c>
      <c r="CS187" t="s">
        <v>153</v>
      </c>
      <c r="CT187" t="s">
        <v>153</v>
      </c>
      <c r="CU187" t="s">
        <v>153</v>
      </c>
      <c r="CV187" t="s">
        <v>153</v>
      </c>
      <c r="CW187" t="s">
        <v>153</v>
      </c>
      <c r="CX187" t="s">
        <v>153</v>
      </c>
      <c r="CY187" t="s">
        <v>153</v>
      </c>
      <c r="CZ187" t="s">
        <v>153</v>
      </c>
      <c r="DA187" t="s">
        <v>153</v>
      </c>
      <c r="DB187" t="s">
        <v>153</v>
      </c>
      <c r="DC187" t="s">
        <v>153</v>
      </c>
      <c r="DD187" t="s">
        <v>153</v>
      </c>
      <c r="DE187" t="s">
        <v>153</v>
      </c>
      <c r="DF187" t="s">
        <v>153</v>
      </c>
      <c r="DG187" t="s">
        <v>153</v>
      </c>
      <c r="DI187" t="s">
        <v>153</v>
      </c>
      <c r="DJ187" t="s">
        <v>153</v>
      </c>
      <c r="DK187" t="s">
        <v>153</v>
      </c>
      <c r="DL187" t="s">
        <v>153</v>
      </c>
      <c r="DN187" t="s">
        <v>153</v>
      </c>
      <c r="DO187" t="s">
        <v>153</v>
      </c>
      <c r="DP187" t="s">
        <v>153</v>
      </c>
      <c r="DQ187" t="s">
        <v>153</v>
      </c>
      <c r="DR187" t="s">
        <v>153</v>
      </c>
      <c r="DS187" t="s">
        <v>153</v>
      </c>
      <c r="DT187" t="s">
        <v>153</v>
      </c>
      <c r="DU187" t="s">
        <v>153</v>
      </c>
      <c r="DV187" t="s">
        <v>153</v>
      </c>
      <c r="DW187" t="s">
        <v>153</v>
      </c>
      <c r="DX187" s="2"/>
      <c r="DY187" t="s">
        <v>153</v>
      </c>
      <c r="DZ187" t="s">
        <v>153</v>
      </c>
      <c r="EA187" t="s">
        <v>153</v>
      </c>
      <c r="EB187" t="s">
        <v>153</v>
      </c>
      <c r="EC187" t="s">
        <v>153</v>
      </c>
      <c r="ED187" t="s">
        <v>153</v>
      </c>
      <c r="EE187" t="s">
        <v>153</v>
      </c>
      <c r="EF187" t="s">
        <v>153</v>
      </c>
      <c r="EH187" t="s">
        <v>153</v>
      </c>
      <c r="EI187" t="s">
        <v>153</v>
      </c>
      <c r="EJ187" t="s">
        <v>153</v>
      </c>
      <c r="EK187" t="s">
        <v>153</v>
      </c>
      <c r="EM187" t="s">
        <v>153</v>
      </c>
      <c r="EN187" t="s">
        <v>153</v>
      </c>
      <c r="EP187" s="4" t="s">
        <v>242</v>
      </c>
      <c r="EQ187" s="4" t="s">
        <v>153</v>
      </c>
      <c r="ER187" s="4" t="s">
        <v>191</v>
      </c>
      <c r="ES187" s="4" t="s">
        <v>153</v>
      </c>
      <c r="ET187" t="s">
        <v>2426</v>
      </c>
      <c r="EU187" t="s">
        <v>2427</v>
      </c>
      <c r="EV187" t="s">
        <v>2428</v>
      </c>
      <c r="EW187">
        <v>1262837713</v>
      </c>
      <c r="EX187" t="s">
        <v>2429</v>
      </c>
    </row>
    <row r="188" spans="1:154" x14ac:dyDescent="0.25">
      <c r="A188" s="3">
        <v>45553.547847222224</v>
      </c>
      <c r="B188" s="4" t="s">
        <v>153</v>
      </c>
      <c r="C188" s="4" t="s">
        <v>892</v>
      </c>
      <c r="D188" s="4" t="s">
        <v>893</v>
      </c>
      <c r="E188" s="4" t="s">
        <v>894</v>
      </c>
      <c r="F188" s="4" t="s">
        <v>895</v>
      </c>
      <c r="G188" s="4" t="s">
        <v>252</v>
      </c>
      <c r="H188" s="4" t="s">
        <v>542</v>
      </c>
      <c r="I188" s="4" t="s">
        <v>2430</v>
      </c>
      <c r="J188" s="4" t="s">
        <v>2431</v>
      </c>
      <c r="K188" s="5"/>
      <c r="L188" s="4" t="s">
        <v>153</v>
      </c>
      <c r="M188" s="4" t="s">
        <v>153</v>
      </c>
      <c r="N188" s="4" t="s">
        <v>153</v>
      </c>
      <c r="O188" s="4" t="s">
        <v>153</v>
      </c>
      <c r="P188" s="4" t="s">
        <v>153</v>
      </c>
      <c r="Q188" s="4" t="s">
        <v>153</v>
      </c>
      <c r="R188" s="4" t="s">
        <v>153</v>
      </c>
      <c r="S188" s="4" t="s">
        <v>153</v>
      </c>
      <c r="T188" s="4" t="s">
        <v>153</v>
      </c>
      <c r="U188" s="4" t="s">
        <v>153</v>
      </c>
      <c r="V188" s="4" t="s">
        <v>153</v>
      </c>
      <c r="W188" s="4" t="s">
        <v>153</v>
      </c>
      <c r="X188" s="4" t="s">
        <v>153</v>
      </c>
      <c r="Y188" s="4" t="s">
        <v>153</v>
      </c>
      <c r="Z188" s="4" t="s">
        <v>153</v>
      </c>
      <c r="AA188" s="4" t="s">
        <v>153</v>
      </c>
      <c r="AB188" s="4" t="s">
        <v>153</v>
      </c>
      <c r="AC188" s="4" t="s">
        <v>153</v>
      </c>
      <c r="AD188" s="4" t="s">
        <v>153</v>
      </c>
      <c r="AE188" s="4" t="s">
        <v>153</v>
      </c>
      <c r="AF188" s="4" t="s">
        <v>153</v>
      </c>
      <c r="AG188" s="4" t="s">
        <v>153</v>
      </c>
      <c r="AH188" s="4" t="s">
        <v>153</v>
      </c>
      <c r="AI188" s="5"/>
      <c r="AJ188" t="s">
        <v>153</v>
      </c>
      <c r="AK188" s="4"/>
      <c r="AL188" t="s">
        <v>153</v>
      </c>
      <c r="AM188" t="s">
        <v>153</v>
      </c>
      <c r="AO188" t="s">
        <v>153</v>
      </c>
      <c r="AP188" s="4"/>
      <c r="AQ188" t="s">
        <v>153</v>
      </c>
      <c r="AR188" s="5">
        <v>45473</v>
      </c>
      <c r="AS188">
        <v>1</v>
      </c>
      <c r="AT188" s="4" t="s">
        <v>1565</v>
      </c>
      <c r="AU188" s="4" t="s">
        <v>2432</v>
      </c>
      <c r="AV188" s="4" t="s">
        <v>271</v>
      </c>
      <c r="AW188" t="s">
        <v>153</v>
      </c>
      <c r="AX188" t="s">
        <v>153</v>
      </c>
      <c r="AY188" t="s">
        <v>153</v>
      </c>
      <c r="AZ188" t="s">
        <v>2433</v>
      </c>
      <c r="BA188" t="s">
        <v>153</v>
      </c>
      <c r="BB188" t="s">
        <v>153</v>
      </c>
      <c r="BC188" t="s">
        <v>153</v>
      </c>
      <c r="BD188" s="4" t="s">
        <v>2434</v>
      </c>
      <c r="BE188" s="4" t="s">
        <v>2435</v>
      </c>
      <c r="BF188" t="s">
        <v>242</v>
      </c>
      <c r="BG188" s="4" t="s">
        <v>362</v>
      </c>
      <c r="BH188" t="s">
        <v>153</v>
      </c>
      <c r="BI188" s="4" t="s">
        <v>153</v>
      </c>
      <c r="BJ188" t="s">
        <v>153</v>
      </c>
      <c r="BK188" s="4" t="s">
        <v>153</v>
      </c>
      <c r="BL188" t="s">
        <v>153</v>
      </c>
      <c r="BM188" t="s">
        <v>153</v>
      </c>
      <c r="BN188" s="4" t="s">
        <v>153</v>
      </c>
      <c r="BO188" s="4" t="s">
        <v>153</v>
      </c>
      <c r="BP188" s="4" t="s">
        <v>153</v>
      </c>
      <c r="BQ188" s="4" t="s">
        <v>153</v>
      </c>
      <c r="BR188" s="4" t="s">
        <v>153</v>
      </c>
      <c r="BS188" s="4" t="s">
        <v>153</v>
      </c>
      <c r="BT188" s="4" t="s">
        <v>153</v>
      </c>
      <c r="BU188" s="4" t="s">
        <v>153</v>
      </c>
      <c r="BV188" s="4"/>
      <c r="BW188" s="4" t="s">
        <v>153</v>
      </c>
      <c r="BX188" s="4" t="s">
        <v>153</v>
      </c>
      <c r="BY188" s="4" t="s">
        <v>153</v>
      </c>
      <c r="BZ188" s="4" t="s">
        <v>153</v>
      </c>
      <c r="CA188" s="4" t="s">
        <v>153</v>
      </c>
      <c r="CB188" s="4"/>
      <c r="CC188" s="4" t="s">
        <v>153</v>
      </c>
      <c r="CD188" t="s">
        <v>153</v>
      </c>
      <c r="CE188" s="4" t="s">
        <v>153</v>
      </c>
      <c r="CF188" s="4" t="s">
        <v>153</v>
      </c>
      <c r="CG188" s="4" t="s">
        <v>153</v>
      </c>
      <c r="CH188" s="5"/>
      <c r="CI188" t="s">
        <v>153</v>
      </c>
      <c r="CJ188" s="4"/>
      <c r="CK188" t="s">
        <v>153</v>
      </c>
      <c r="CL188" t="s">
        <v>153</v>
      </c>
      <c r="CM188" t="s">
        <v>153</v>
      </c>
      <c r="CN188" t="s">
        <v>153</v>
      </c>
      <c r="CO188" s="5"/>
      <c r="CP188" s="4" t="s">
        <v>153</v>
      </c>
      <c r="CQ188" s="4" t="s">
        <v>153</v>
      </c>
      <c r="CR188" t="s">
        <v>153</v>
      </c>
      <c r="CS188" t="s">
        <v>153</v>
      </c>
      <c r="CT188" t="s">
        <v>153</v>
      </c>
      <c r="CU188" t="s">
        <v>153</v>
      </c>
      <c r="CV188" t="s">
        <v>153</v>
      </c>
      <c r="CW188" t="s">
        <v>153</v>
      </c>
      <c r="CX188" t="s">
        <v>153</v>
      </c>
      <c r="CY188" t="s">
        <v>153</v>
      </c>
      <c r="CZ188" t="s">
        <v>153</v>
      </c>
      <c r="DA188" t="s">
        <v>153</v>
      </c>
      <c r="DB188" t="s">
        <v>153</v>
      </c>
      <c r="DC188" t="s">
        <v>153</v>
      </c>
      <c r="DD188" t="s">
        <v>153</v>
      </c>
      <c r="DE188" t="s">
        <v>153</v>
      </c>
      <c r="DF188" t="s">
        <v>153</v>
      </c>
      <c r="DG188" t="s">
        <v>153</v>
      </c>
      <c r="DI188" t="s">
        <v>153</v>
      </c>
      <c r="DJ188" t="s">
        <v>153</v>
      </c>
      <c r="DK188" t="s">
        <v>153</v>
      </c>
      <c r="DL188" t="s">
        <v>153</v>
      </c>
      <c r="DN188" t="s">
        <v>153</v>
      </c>
      <c r="DO188" t="s">
        <v>153</v>
      </c>
      <c r="DP188" t="s">
        <v>153</v>
      </c>
      <c r="DQ188" t="s">
        <v>153</v>
      </c>
      <c r="DR188" t="s">
        <v>153</v>
      </c>
      <c r="DS188" t="s">
        <v>153</v>
      </c>
      <c r="DT188" t="s">
        <v>153</v>
      </c>
      <c r="DU188" t="s">
        <v>153</v>
      </c>
      <c r="DV188" t="s">
        <v>153</v>
      </c>
      <c r="DW188" t="s">
        <v>153</v>
      </c>
      <c r="DX188" s="2"/>
      <c r="DY188" t="s">
        <v>153</v>
      </c>
      <c r="DZ188" t="s">
        <v>153</v>
      </c>
      <c r="EA188" t="s">
        <v>153</v>
      </c>
      <c r="EB188" t="s">
        <v>153</v>
      </c>
      <c r="EC188" t="s">
        <v>153</v>
      </c>
      <c r="ED188" t="s">
        <v>153</v>
      </c>
      <c r="EE188" t="s">
        <v>153</v>
      </c>
      <c r="EF188" t="s">
        <v>153</v>
      </c>
      <c r="EH188" t="s">
        <v>153</v>
      </c>
      <c r="EI188" t="s">
        <v>153</v>
      </c>
      <c r="EJ188" t="s">
        <v>153</v>
      </c>
      <c r="EK188" t="s">
        <v>153</v>
      </c>
      <c r="EM188" t="s">
        <v>153</v>
      </c>
      <c r="EN188" t="s">
        <v>153</v>
      </c>
      <c r="EP188" s="4" t="s">
        <v>153</v>
      </c>
      <c r="EQ188" s="4" t="s">
        <v>153</v>
      </c>
      <c r="ER188" s="4" t="s">
        <v>243</v>
      </c>
      <c r="ES188" s="4" t="s">
        <v>153</v>
      </c>
      <c r="ET188" t="s">
        <v>153</v>
      </c>
      <c r="EU188" t="s">
        <v>2436</v>
      </c>
      <c r="EV188" t="s">
        <v>2437</v>
      </c>
      <c r="EW188">
        <v>1266878798</v>
      </c>
      <c r="EX188" t="s">
        <v>2286</v>
      </c>
    </row>
    <row r="189" spans="1:154" x14ac:dyDescent="0.25">
      <c r="A189" s="3">
        <v>45566.754178240742</v>
      </c>
      <c r="B189" s="4" t="s">
        <v>153</v>
      </c>
      <c r="C189" s="4" t="s">
        <v>822</v>
      </c>
      <c r="D189" s="4" t="s">
        <v>823</v>
      </c>
      <c r="E189" s="4" t="s">
        <v>824</v>
      </c>
      <c r="F189" s="4" t="s">
        <v>825</v>
      </c>
      <c r="G189" s="4" t="s">
        <v>948</v>
      </c>
      <c r="H189" s="4" t="s">
        <v>826</v>
      </c>
      <c r="I189" s="4" t="s">
        <v>2438</v>
      </c>
      <c r="J189" s="4" t="s">
        <v>2439</v>
      </c>
      <c r="K189" s="5">
        <v>45535</v>
      </c>
      <c r="L189" s="4" t="s">
        <v>1873</v>
      </c>
      <c r="M189" s="4" t="s">
        <v>2438</v>
      </c>
      <c r="N189" s="4" t="s">
        <v>2440</v>
      </c>
      <c r="O189" s="4" t="s">
        <v>153</v>
      </c>
      <c r="P189" s="4" t="s">
        <v>153</v>
      </c>
      <c r="Q189" s="4" t="s">
        <v>153</v>
      </c>
      <c r="R189" s="4" t="s">
        <v>153</v>
      </c>
      <c r="S189" s="4" t="s">
        <v>153</v>
      </c>
      <c r="T189" s="4" t="s">
        <v>153</v>
      </c>
      <c r="U189" s="4" t="s">
        <v>153</v>
      </c>
      <c r="V189" s="4" t="s">
        <v>153</v>
      </c>
      <c r="W189" s="4" t="s">
        <v>153</v>
      </c>
      <c r="X189" s="4" t="s">
        <v>153</v>
      </c>
      <c r="Y189" s="4" t="s">
        <v>153</v>
      </c>
      <c r="Z189" s="4" t="s">
        <v>153</v>
      </c>
      <c r="AA189" s="4" t="s">
        <v>153</v>
      </c>
      <c r="AB189" s="4" t="s">
        <v>153</v>
      </c>
      <c r="AC189" s="4" t="s">
        <v>153</v>
      </c>
      <c r="AD189" s="4" t="s">
        <v>153</v>
      </c>
      <c r="AE189" s="4" t="s">
        <v>153</v>
      </c>
      <c r="AF189" s="4" t="s">
        <v>153</v>
      </c>
      <c r="AG189" s="4" t="s">
        <v>153</v>
      </c>
      <c r="AH189" s="4" t="s">
        <v>153</v>
      </c>
      <c r="AI189" s="5"/>
      <c r="AJ189" t="s">
        <v>153</v>
      </c>
      <c r="AK189" s="4"/>
      <c r="AL189" t="s">
        <v>153</v>
      </c>
      <c r="AM189" t="s">
        <v>153</v>
      </c>
      <c r="AO189" t="s">
        <v>153</v>
      </c>
      <c r="AP189" s="4"/>
      <c r="AQ189" t="s">
        <v>153</v>
      </c>
      <c r="AR189" s="5">
        <v>45535</v>
      </c>
      <c r="AS189">
        <v>2</v>
      </c>
      <c r="AT189" s="4" t="s">
        <v>2441</v>
      </c>
      <c r="AU189" s="4" t="s">
        <v>1160</v>
      </c>
      <c r="AV189" s="4" t="s">
        <v>153</v>
      </c>
      <c r="AW189" t="s">
        <v>153</v>
      </c>
      <c r="AX189" t="s">
        <v>153</v>
      </c>
      <c r="AY189" t="s">
        <v>153</v>
      </c>
      <c r="AZ189" t="s">
        <v>2442</v>
      </c>
      <c r="BA189" t="s">
        <v>153</v>
      </c>
      <c r="BB189" t="s">
        <v>153</v>
      </c>
      <c r="BC189" t="s">
        <v>2443</v>
      </c>
      <c r="BD189" s="4" t="s">
        <v>2444</v>
      </c>
      <c r="BE189" s="4" t="s">
        <v>2445</v>
      </c>
      <c r="BF189" t="s">
        <v>242</v>
      </c>
      <c r="BG189" s="4" t="s">
        <v>2446</v>
      </c>
      <c r="BH189" t="s">
        <v>153</v>
      </c>
      <c r="BI189" s="4" t="s">
        <v>153</v>
      </c>
      <c r="BJ189" t="s">
        <v>153</v>
      </c>
      <c r="BK189" s="4" t="s">
        <v>153</v>
      </c>
      <c r="BL189" t="s">
        <v>153</v>
      </c>
      <c r="BM189" t="s">
        <v>153</v>
      </c>
      <c r="BN189" s="4" t="s">
        <v>153</v>
      </c>
      <c r="BO189" s="4" t="s">
        <v>153</v>
      </c>
      <c r="BP189" s="4" t="s">
        <v>153</v>
      </c>
      <c r="BQ189" s="4" t="s">
        <v>153</v>
      </c>
      <c r="BR189" s="4" t="s">
        <v>153</v>
      </c>
      <c r="BS189" s="4" t="s">
        <v>153</v>
      </c>
      <c r="BT189" s="4" t="s">
        <v>153</v>
      </c>
      <c r="BU189" s="4" t="s">
        <v>153</v>
      </c>
      <c r="BV189" s="4"/>
      <c r="BW189" s="4" t="s">
        <v>153</v>
      </c>
      <c r="BX189" s="4" t="s">
        <v>153</v>
      </c>
      <c r="BY189" s="4" t="s">
        <v>153</v>
      </c>
      <c r="BZ189" s="4" t="s">
        <v>153</v>
      </c>
      <c r="CA189" s="4" t="s">
        <v>153</v>
      </c>
      <c r="CB189" s="4"/>
      <c r="CC189" s="4" t="s">
        <v>153</v>
      </c>
      <c r="CD189" t="s">
        <v>153</v>
      </c>
      <c r="CE189" s="4" t="s">
        <v>153</v>
      </c>
      <c r="CF189" s="4" t="s">
        <v>153</v>
      </c>
      <c r="CG189" s="4" t="s">
        <v>153</v>
      </c>
      <c r="CH189" s="5"/>
      <c r="CI189" t="s">
        <v>153</v>
      </c>
      <c r="CJ189" s="4"/>
      <c r="CK189" t="s">
        <v>153</v>
      </c>
      <c r="CL189" t="s">
        <v>153</v>
      </c>
      <c r="CM189" t="s">
        <v>153</v>
      </c>
      <c r="CN189" t="s">
        <v>153</v>
      </c>
      <c r="CO189" s="5"/>
      <c r="CP189" s="4" t="s">
        <v>153</v>
      </c>
      <c r="CQ189" s="4" t="s">
        <v>153</v>
      </c>
      <c r="CR189" t="s">
        <v>153</v>
      </c>
      <c r="CS189" t="s">
        <v>153</v>
      </c>
      <c r="CT189" t="s">
        <v>153</v>
      </c>
      <c r="CU189" t="s">
        <v>153</v>
      </c>
      <c r="CV189" t="s">
        <v>153</v>
      </c>
      <c r="CW189" t="s">
        <v>153</v>
      </c>
      <c r="CX189" t="s">
        <v>153</v>
      </c>
      <c r="CY189" t="s">
        <v>153</v>
      </c>
      <c r="CZ189" t="s">
        <v>153</v>
      </c>
      <c r="DA189" t="s">
        <v>153</v>
      </c>
      <c r="DB189" t="s">
        <v>153</v>
      </c>
      <c r="DC189" t="s">
        <v>153</v>
      </c>
      <c r="DD189" t="s">
        <v>153</v>
      </c>
      <c r="DE189" t="s">
        <v>153</v>
      </c>
      <c r="DF189" t="s">
        <v>153</v>
      </c>
      <c r="DG189" t="s">
        <v>153</v>
      </c>
      <c r="DI189" t="s">
        <v>153</v>
      </c>
      <c r="DJ189" t="s">
        <v>153</v>
      </c>
      <c r="DK189" t="s">
        <v>153</v>
      </c>
      <c r="DL189" t="s">
        <v>153</v>
      </c>
      <c r="DN189" t="s">
        <v>153</v>
      </c>
      <c r="DO189" t="s">
        <v>153</v>
      </c>
      <c r="DP189" t="s">
        <v>153</v>
      </c>
      <c r="DQ189" t="s">
        <v>153</v>
      </c>
      <c r="DR189" t="s">
        <v>153</v>
      </c>
      <c r="DS189" t="s">
        <v>153</v>
      </c>
      <c r="DT189" t="s">
        <v>153</v>
      </c>
      <c r="DU189" t="s">
        <v>153</v>
      </c>
      <c r="DV189" t="s">
        <v>153</v>
      </c>
      <c r="DW189" t="s">
        <v>153</v>
      </c>
      <c r="DX189" s="2"/>
      <c r="DY189" t="s">
        <v>153</v>
      </c>
      <c r="DZ189" t="s">
        <v>153</v>
      </c>
      <c r="EA189" t="s">
        <v>153</v>
      </c>
      <c r="EB189" t="s">
        <v>153</v>
      </c>
      <c r="EC189" t="s">
        <v>153</v>
      </c>
      <c r="ED189" t="s">
        <v>153</v>
      </c>
      <c r="EE189" t="s">
        <v>153</v>
      </c>
      <c r="EF189" t="s">
        <v>153</v>
      </c>
      <c r="EH189" t="s">
        <v>153</v>
      </c>
      <c r="EI189" t="s">
        <v>153</v>
      </c>
      <c r="EJ189" t="s">
        <v>153</v>
      </c>
      <c r="EK189" t="s">
        <v>153</v>
      </c>
      <c r="EM189" t="s">
        <v>153</v>
      </c>
      <c r="EN189" t="s">
        <v>153</v>
      </c>
      <c r="EP189" s="4" t="s">
        <v>153</v>
      </c>
      <c r="EQ189" s="4" t="s">
        <v>153</v>
      </c>
      <c r="ER189" s="4" t="s">
        <v>153</v>
      </c>
      <c r="ES189" s="4" t="s">
        <v>153</v>
      </c>
      <c r="ET189" t="s">
        <v>2447</v>
      </c>
      <c r="EU189" t="s">
        <v>2448</v>
      </c>
      <c r="EV189" t="s">
        <v>845</v>
      </c>
      <c r="EW189">
        <v>1271354864</v>
      </c>
      <c r="EX189" t="s">
        <v>2096</v>
      </c>
    </row>
    <row r="190" spans="1:154" x14ac:dyDescent="0.25">
      <c r="A190" s="3">
        <v>45573.690416666665</v>
      </c>
      <c r="B190" s="4" t="s">
        <v>153</v>
      </c>
      <c r="C190" s="4" t="s">
        <v>822</v>
      </c>
      <c r="D190" s="4" t="s">
        <v>823</v>
      </c>
      <c r="E190" s="4" t="s">
        <v>824</v>
      </c>
      <c r="F190" s="4" t="s">
        <v>825</v>
      </c>
      <c r="G190" s="4" t="s">
        <v>423</v>
      </c>
      <c r="H190" s="4" t="s">
        <v>826</v>
      </c>
      <c r="I190" s="4" t="s">
        <v>2085</v>
      </c>
      <c r="J190" s="4" t="s">
        <v>2387</v>
      </c>
      <c r="K190" s="5"/>
      <c r="L190" s="4" t="s">
        <v>153</v>
      </c>
      <c r="M190" s="4" t="s">
        <v>153</v>
      </c>
      <c r="N190" s="4" t="s">
        <v>153</v>
      </c>
      <c r="O190" s="4" t="s">
        <v>153</v>
      </c>
      <c r="P190" s="4" t="s">
        <v>153</v>
      </c>
      <c r="Q190" s="4" t="s">
        <v>153</v>
      </c>
      <c r="R190" s="4" t="s">
        <v>153</v>
      </c>
      <c r="S190" s="4" t="s">
        <v>153</v>
      </c>
      <c r="T190" s="4" t="s">
        <v>153</v>
      </c>
      <c r="U190" s="4" t="s">
        <v>153</v>
      </c>
      <c r="V190" s="4" t="s">
        <v>153</v>
      </c>
      <c r="W190" s="4" t="s">
        <v>153</v>
      </c>
      <c r="X190" s="4" t="s">
        <v>153</v>
      </c>
      <c r="Y190" s="4" t="s">
        <v>153</v>
      </c>
      <c r="Z190" s="4" t="s">
        <v>153</v>
      </c>
      <c r="AA190" s="4" t="s">
        <v>153</v>
      </c>
      <c r="AB190" s="4" t="s">
        <v>153</v>
      </c>
      <c r="AC190" s="4" t="s">
        <v>153</v>
      </c>
      <c r="AD190" s="4" t="s">
        <v>153</v>
      </c>
      <c r="AE190" s="4" t="s">
        <v>153</v>
      </c>
      <c r="AF190" s="4" t="s">
        <v>153</v>
      </c>
      <c r="AG190" s="4" t="s">
        <v>153</v>
      </c>
      <c r="AH190" s="4" t="s">
        <v>153</v>
      </c>
      <c r="AI190" s="5"/>
      <c r="AJ190" t="s">
        <v>153</v>
      </c>
      <c r="AK190" s="4"/>
      <c r="AL190" t="s">
        <v>153</v>
      </c>
      <c r="AM190" t="s">
        <v>153</v>
      </c>
      <c r="AO190" t="s">
        <v>153</v>
      </c>
      <c r="AP190" s="4"/>
      <c r="AQ190" t="s">
        <v>153</v>
      </c>
      <c r="AR190" s="5"/>
      <c r="AT190" s="4" t="s">
        <v>153</v>
      </c>
      <c r="AU190" s="4" t="s">
        <v>153</v>
      </c>
      <c r="AV190" s="4" t="s">
        <v>153</v>
      </c>
      <c r="AW190" t="s">
        <v>153</v>
      </c>
      <c r="AX190" t="s">
        <v>153</v>
      </c>
      <c r="AY190" t="s">
        <v>153</v>
      </c>
      <c r="AZ190" t="s">
        <v>153</v>
      </c>
      <c r="BA190" t="s">
        <v>153</v>
      </c>
      <c r="BB190" t="s">
        <v>153</v>
      </c>
      <c r="BC190" t="s">
        <v>153</v>
      </c>
      <c r="BD190" s="4" t="s">
        <v>153</v>
      </c>
      <c r="BE190" s="4" t="s">
        <v>153</v>
      </c>
      <c r="BF190" t="s">
        <v>153</v>
      </c>
      <c r="BG190" s="4" t="s">
        <v>153</v>
      </c>
      <c r="BH190" t="s">
        <v>153</v>
      </c>
      <c r="BI190" s="4" t="s">
        <v>153</v>
      </c>
      <c r="BJ190" t="s">
        <v>153</v>
      </c>
      <c r="BK190" s="4" t="s">
        <v>153</v>
      </c>
      <c r="BL190" t="s">
        <v>153</v>
      </c>
      <c r="BM190" t="s">
        <v>153</v>
      </c>
      <c r="BN190" s="4" t="s">
        <v>153</v>
      </c>
      <c r="BO190" s="4" t="s">
        <v>153</v>
      </c>
      <c r="BP190" s="4" t="s">
        <v>153</v>
      </c>
      <c r="BQ190" s="4" t="s">
        <v>153</v>
      </c>
      <c r="BR190" s="4" t="s">
        <v>2449</v>
      </c>
      <c r="BS190" s="4" t="s">
        <v>153</v>
      </c>
      <c r="BT190" s="4" t="s">
        <v>2450</v>
      </c>
      <c r="BU190" s="4" t="s">
        <v>347</v>
      </c>
      <c r="BV190" s="4">
        <v>91107</v>
      </c>
      <c r="BW190" s="4" t="s">
        <v>430</v>
      </c>
      <c r="BX190" s="4" t="s">
        <v>153</v>
      </c>
      <c r="BY190" s="4" t="s">
        <v>153</v>
      </c>
      <c r="BZ190" s="4" t="s">
        <v>153</v>
      </c>
      <c r="CA190" s="4" t="s">
        <v>153</v>
      </c>
      <c r="CB190" s="4"/>
      <c r="CC190" s="4" t="s">
        <v>430</v>
      </c>
      <c r="CD190" t="s">
        <v>153</v>
      </c>
      <c r="CE190" s="4" t="s">
        <v>153</v>
      </c>
      <c r="CF190" s="4" t="s">
        <v>2451</v>
      </c>
      <c r="CG190" s="4" t="s">
        <v>2452</v>
      </c>
      <c r="CH190" s="5"/>
      <c r="CI190" t="s">
        <v>153</v>
      </c>
      <c r="CJ190" s="4"/>
      <c r="CK190" t="s">
        <v>153</v>
      </c>
      <c r="CL190" t="s">
        <v>153</v>
      </c>
      <c r="CM190" t="s">
        <v>2453</v>
      </c>
      <c r="CN190" t="s">
        <v>153</v>
      </c>
      <c r="CO190" s="5"/>
      <c r="CP190" s="4" t="s">
        <v>153</v>
      </c>
      <c r="CQ190" s="4" t="s">
        <v>153</v>
      </c>
      <c r="CR190" t="s">
        <v>153</v>
      </c>
      <c r="CS190" t="s">
        <v>153</v>
      </c>
      <c r="CT190" t="s">
        <v>153</v>
      </c>
      <c r="CU190" t="s">
        <v>153</v>
      </c>
      <c r="CV190" t="s">
        <v>153</v>
      </c>
      <c r="CW190" t="s">
        <v>153</v>
      </c>
      <c r="CX190" t="s">
        <v>153</v>
      </c>
      <c r="CY190" t="s">
        <v>153</v>
      </c>
      <c r="CZ190" t="s">
        <v>153</v>
      </c>
      <c r="DA190" t="s">
        <v>153</v>
      </c>
      <c r="DB190" t="s">
        <v>153</v>
      </c>
      <c r="DC190" t="s">
        <v>153</v>
      </c>
      <c r="DD190" t="s">
        <v>153</v>
      </c>
      <c r="DE190" t="s">
        <v>153</v>
      </c>
      <c r="DF190" t="s">
        <v>153</v>
      </c>
      <c r="DG190" t="s">
        <v>153</v>
      </c>
      <c r="DI190" t="s">
        <v>153</v>
      </c>
      <c r="DJ190" t="s">
        <v>153</v>
      </c>
      <c r="DK190" t="s">
        <v>153</v>
      </c>
      <c r="DL190" t="s">
        <v>153</v>
      </c>
      <c r="DN190" t="s">
        <v>153</v>
      </c>
      <c r="DO190" t="s">
        <v>153</v>
      </c>
      <c r="DP190" t="s">
        <v>153</v>
      </c>
      <c r="DQ190" t="s">
        <v>153</v>
      </c>
      <c r="DR190" t="s">
        <v>153</v>
      </c>
      <c r="DS190" t="s">
        <v>153</v>
      </c>
      <c r="DT190" t="s">
        <v>153</v>
      </c>
      <c r="DU190" t="s">
        <v>153</v>
      </c>
      <c r="DV190" t="s">
        <v>153</v>
      </c>
      <c r="DW190" t="s">
        <v>153</v>
      </c>
      <c r="DX190" s="2"/>
      <c r="DY190" t="s">
        <v>153</v>
      </c>
      <c r="DZ190" t="s">
        <v>153</v>
      </c>
      <c r="EA190" t="s">
        <v>153</v>
      </c>
      <c r="EB190" t="s">
        <v>153</v>
      </c>
      <c r="EC190" t="s">
        <v>153</v>
      </c>
      <c r="ED190" t="s">
        <v>153</v>
      </c>
      <c r="EE190" t="s">
        <v>153</v>
      </c>
      <c r="EF190" t="s">
        <v>153</v>
      </c>
      <c r="EH190" t="s">
        <v>153</v>
      </c>
      <c r="EI190" t="s">
        <v>153</v>
      </c>
      <c r="EJ190" t="s">
        <v>153</v>
      </c>
      <c r="EK190" t="s">
        <v>153</v>
      </c>
      <c r="EM190" t="s">
        <v>153</v>
      </c>
      <c r="EN190" t="s">
        <v>153</v>
      </c>
      <c r="EP190" s="4" t="s">
        <v>153</v>
      </c>
      <c r="EQ190" s="4" t="s">
        <v>153</v>
      </c>
      <c r="ER190" s="4" t="s">
        <v>153</v>
      </c>
      <c r="ES190" s="4" t="s">
        <v>153</v>
      </c>
      <c r="ET190" t="s">
        <v>153</v>
      </c>
      <c r="EU190" t="s">
        <v>2448</v>
      </c>
      <c r="EV190" t="s">
        <v>845</v>
      </c>
      <c r="EW190">
        <v>1273720728</v>
      </c>
      <c r="EX190" t="s">
        <v>2096</v>
      </c>
    </row>
    <row r="191" spans="1:154" x14ac:dyDescent="0.25">
      <c r="A191" s="3">
        <v>45579.683668981481</v>
      </c>
      <c r="B191" s="4" t="s">
        <v>153</v>
      </c>
      <c r="C191" s="4" t="s">
        <v>2454</v>
      </c>
      <c r="D191" s="4" t="s">
        <v>2455</v>
      </c>
      <c r="E191" s="4" t="s">
        <v>2456</v>
      </c>
      <c r="F191" s="4" t="s">
        <v>2457</v>
      </c>
      <c r="G191" s="4" t="s">
        <v>185</v>
      </c>
      <c r="H191" s="4" t="s">
        <v>1055</v>
      </c>
      <c r="I191" s="4" t="s">
        <v>2458</v>
      </c>
      <c r="J191" s="4" t="s">
        <v>153</v>
      </c>
      <c r="K191" s="5"/>
      <c r="L191" s="4" t="s">
        <v>153</v>
      </c>
      <c r="M191" s="4" t="s">
        <v>2458</v>
      </c>
      <c r="N191" s="4" t="s">
        <v>2459</v>
      </c>
      <c r="O191" s="4" t="s">
        <v>203</v>
      </c>
      <c r="P191" s="4" t="s">
        <v>203</v>
      </c>
      <c r="Q191" s="4" t="s">
        <v>190</v>
      </c>
      <c r="R191" s="4" t="s">
        <v>191</v>
      </c>
      <c r="S191" s="4" t="s">
        <v>2460</v>
      </c>
      <c r="T191" s="4" t="s">
        <v>2461</v>
      </c>
      <c r="U191" s="4" t="s">
        <v>2462</v>
      </c>
      <c r="V191" s="4" t="s">
        <v>153</v>
      </c>
      <c r="W191" s="4" t="s">
        <v>2463</v>
      </c>
      <c r="X191" s="4" t="s">
        <v>153</v>
      </c>
      <c r="Y191" s="4" t="s">
        <v>153</v>
      </c>
      <c r="Z191" s="4" t="s">
        <v>237</v>
      </c>
      <c r="AA191" s="4" t="s">
        <v>2464</v>
      </c>
      <c r="AB191" s="4" t="s">
        <v>153</v>
      </c>
      <c r="AC191" s="4" t="s">
        <v>2463</v>
      </c>
      <c r="AD191" s="4" t="s">
        <v>1516</v>
      </c>
      <c r="AE191" s="4" t="s">
        <v>2465</v>
      </c>
      <c r="AF191" s="4" t="s">
        <v>2466</v>
      </c>
      <c r="AG191" s="4" t="s">
        <v>2467</v>
      </c>
      <c r="AH191" s="4" t="s">
        <v>153</v>
      </c>
      <c r="AI191" s="5">
        <v>44086</v>
      </c>
      <c r="AJ191" t="s">
        <v>591</v>
      </c>
      <c r="AK191" s="4">
        <v>4</v>
      </c>
      <c r="AL191" t="s">
        <v>2468</v>
      </c>
      <c r="AM191" t="s">
        <v>153</v>
      </c>
      <c r="AO191" t="s">
        <v>153</v>
      </c>
      <c r="AP191" s="4"/>
      <c r="AQ191" t="s">
        <v>153</v>
      </c>
      <c r="AR191" s="5"/>
      <c r="AT191" s="4" t="s">
        <v>153</v>
      </c>
      <c r="AU191" s="4" t="s">
        <v>153</v>
      </c>
      <c r="AV191" s="4" t="s">
        <v>153</v>
      </c>
      <c r="AW191" t="s">
        <v>153</v>
      </c>
      <c r="AX191" t="s">
        <v>153</v>
      </c>
      <c r="AY191" t="s">
        <v>153</v>
      </c>
      <c r="AZ191" t="s">
        <v>153</v>
      </c>
      <c r="BA191" t="s">
        <v>153</v>
      </c>
      <c r="BB191" t="s">
        <v>153</v>
      </c>
      <c r="BC191" t="s">
        <v>153</v>
      </c>
      <c r="BD191" s="4" t="s">
        <v>153</v>
      </c>
      <c r="BE191" s="4" t="s">
        <v>153</v>
      </c>
      <c r="BF191" t="s">
        <v>153</v>
      </c>
      <c r="BG191" s="4" t="s">
        <v>153</v>
      </c>
      <c r="BH191" t="s">
        <v>153</v>
      </c>
      <c r="BI191" s="4" t="s">
        <v>153</v>
      </c>
      <c r="BJ191" t="s">
        <v>153</v>
      </c>
      <c r="BK191" s="4" t="s">
        <v>153</v>
      </c>
      <c r="BL191" t="s">
        <v>153</v>
      </c>
      <c r="BM191" t="s">
        <v>153</v>
      </c>
      <c r="BN191" s="4" t="s">
        <v>153</v>
      </c>
      <c r="BO191" s="4" t="s">
        <v>153</v>
      </c>
      <c r="BP191" s="4" t="s">
        <v>153</v>
      </c>
      <c r="BQ191" s="4" t="s">
        <v>153</v>
      </c>
      <c r="BR191" s="4" t="s">
        <v>153</v>
      </c>
      <c r="BS191" s="4" t="s">
        <v>153</v>
      </c>
      <c r="BT191" s="4" t="s">
        <v>153</v>
      </c>
      <c r="BU191" s="4" t="s">
        <v>153</v>
      </c>
      <c r="BV191" s="4"/>
      <c r="BW191" s="4" t="s">
        <v>153</v>
      </c>
      <c r="BX191" s="4" t="s">
        <v>153</v>
      </c>
      <c r="BY191" s="4" t="s">
        <v>153</v>
      </c>
      <c r="BZ191" s="4" t="s">
        <v>153</v>
      </c>
      <c r="CA191" s="4" t="s">
        <v>153</v>
      </c>
      <c r="CB191" s="4"/>
      <c r="CC191" s="4" t="s">
        <v>153</v>
      </c>
      <c r="CD191" t="s">
        <v>153</v>
      </c>
      <c r="CE191" s="4" t="s">
        <v>153</v>
      </c>
      <c r="CF191" s="4" t="s">
        <v>153</v>
      </c>
      <c r="CG191" s="4" t="s">
        <v>153</v>
      </c>
      <c r="CH191" s="5"/>
      <c r="CI191" t="s">
        <v>153</v>
      </c>
      <c r="CJ191" s="4"/>
      <c r="CK191" t="s">
        <v>153</v>
      </c>
      <c r="CL191" t="s">
        <v>153</v>
      </c>
      <c r="CM191" t="s">
        <v>153</v>
      </c>
      <c r="CN191" t="s">
        <v>153</v>
      </c>
      <c r="CO191" s="5"/>
      <c r="CP191" s="4" t="s">
        <v>153</v>
      </c>
      <c r="CQ191" s="4" t="s">
        <v>153</v>
      </c>
      <c r="CR191" t="s">
        <v>153</v>
      </c>
      <c r="CS191" t="s">
        <v>153</v>
      </c>
      <c r="CT191" t="s">
        <v>153</v>
      </c>
      <c r="CU191" t="s">
        <v>153</v>
      </c>
      <c r="CV191" t="s">
        <v>153</v>
      </c>
      <c r="CW191" t="s">
        <v>153</v>
      </c>
      <c r="CX191" t="s">
        <v>153</v>
      </c>
      <c r="CY191" t="s">
        <v>153</v>
      </c>
      <c r="CZ191" t="s">
        <v>153</v>
      </c>
      <c r="DA191" t="s">
        <v>153</v>
      </c>
      <c r="DB191" t="s">
        <v>153</v>
      </c>
      <c r="DC191" t="s">
        <v>153</v>
      </c>
      <c r="DD191" t="s">
        <v>153</v>
      </c>
      <c r="DE191" t="s">
        <v>153</v>
      </c>
      <c r="DF191" t="s">
        <v>153</v>
      </c>
      <c r="DG191" t="s">
        <v>153</v>
      </c>
      <c r="DI191" t="s">
        <v>153</v>
      </c>
      <c r="DJ191" t="s">
        <v>153</v>
      </c>
      <c r="DK191" t="s">
        <v>153</v>
      </c>
      <c r="DL191" t="s">
        <v>153</v>
      </c>
      <c r="DN191" t="s">
        <v>153</v>
      </c>
      <c r="DO191" t="s">
        <v>153</v>
      </c>
      <c r="DP191" t="s">
        <v>153</v>
      </c>
      <c r="DQ191" t="s">
        <v>153</v>
      </c>
      <c r="DR191" t="s">
        <v>153</v>
      </c>
      <c r="DS191" t="s">
        <v>153</v>
      </c>
      <c r="DT191" t="s">
        <v>153</v>
      </c>
      <c r="DU191" t="s">
        <v>153</v>
      </c>
      <c r="DV191" t="s">
        <v>153</v>
      </c>
      <c r="DW191" t="s">
        <v>153</v>
      </c>
      <c r="DX191" s="2"/>
      <c r="DY191" t="s">
        <v>153</v>
      </c>
      <c r="DZ191" t="s">
        <v>153</v>
      </c>
      <c r="EA191" t="s">
        <v>153</v>
      </c>
      <c r="EB191" t="s">
        <v>153</v>
      </c>
      <c r="EC191" t="s">
        <v>153</v>
      </c>
      <c r="ED191" t="s">
        <v>153</v>
      </c>
      <c r="EE191" t="s">
        <v>153</v>
      </c>
      <c r="EF191" t="s">
        <v>153</v>
      </c>
      <c r="EH191" t="s">
        <v>153</v>
      </c>
      <c r="EI191" t="s">
        <v>153</v>
      </c>
      <c r="EJ191" t="s">
        <v>153</v>
      </c>
      <c r="EK191" t="s">
        <v>153</v>
      </c>
      <c r="EM191" t="s">
        <v>153</v>
      </c>
      <c r="EN191" t="s">
        <v>153</v>
      </c>
      <c r="EP191" s="4" t="s">
        <v>242</v>
      </c>
      <c r="EQ191" s="4" t="s">
        <v>153</v>
      </c>
      <c r="ER191" s="4" t="s">
        <v>243</v>
      </c>
      <c r="ES191" s="4" t="s">
        <v>356</v>
      </c>
      <c r="ET191" t="s">
        <v>2469</v>
      </c>
      <c r="EU191" t="s">
        <v>2470</v>
      </c>
      <c r="EV191" t="s">
        <v>2471</v>
      </c>
      <c r="EW191">
        <v>1275644685</v>
      </c>
      <c r="EX191" t="s">
        <v>2472</v>
      </c>
    </row>
    <row r="192" spans="1:154" x14ac:dyDescent="0.25">
      <c r="A192" s="3">
        <v>45582.418032407404</v>
      </c>
      <c r="B192" s="4" t="s">
        <v>153</v>
      </c>
      <c r="C192" s="4" t="s">
        <v>2473</v>
      </c>
      <c r="D192" s="4" t="s">
        <v>2474</v>
      </c>
      <c r="E192" s="4" t="s">
        <v>2475</v>
      </c>
      <c r="F192" s="4" t="s">
        <v>2476</v>
      </c>
      <c r="G192" s="4" t="s">
        <v>185</v>
      </c>
      <c r="H192" s="4" t="s">
        <v>268</v>
      </c>
      <c r="I192" s="4" t="s">
        <v>2477</v>
      </c>
      <c r="J192" s="4" t="s">
        <v>153</v>
      </c>
      <c r="K192" s="5"/>
      <c r="L192" s="4" t="s">
        <v>153</v>
      </c>
      <c r="M192" s="4" t="s">
        <v>2477</v>
      </c>
      <c r="N192" s="4" t="s">
        <v>153</v>
      </c>
      <c r="O192" s="4" t="s">
        <v>2478</v>
      </c>
      <c r="P192" s="4" t="s">
        <v>2479</v>
      </c>
      <c r="Q192" s="4" t="s">
        <v>190</v>
      </c>
      <c r="R192" s="4" t="s">
        <v>308</v>
      </c>
      <c r="S192" s="4" t="s">
        <v>153</v>
      </c>
      <c r="T192" s="4" t="s">
        <v>2480</v>
      </c>
      <c r="U192" s="4" t="s">
        <v>2481</v>
      </c>
      <c r="V192" s="4" t="s">
        <v>153</v>
      </c>
      <c r="W192" s="4" t="s">
        <v>2482</v>
      </c>
      <c r="X192" s="4" t="s">
        <v>429</v>
      </c>
      <c r="Y192" s="4" t="s">
        <v>2483</v>
      </c>
      <c r="Z192" s="4" t="s">
        <v>2484</v>
      </c>
      <c r="AA192" s="4" t="s">
        <v>2485</v>
      </c>
      <c r="AB192" s="4" t="s">
        <v>153</v>
      </c>
      <c r="AC192" s="4" t="s">
        <v>2486</v>
      </c>
      <c r="AD192" s="4" t="s">
        <v>429</v>
      </c>
      <c r="AE192" s="4" t="s">
        <v>2487</v>
      </c>
      <c r="AF192" s="4" t="s">
        <v>2488</v>
      </c>
      <c r="AG192" s="4" t="s">
        <v>2489</v>
      </c>
      <c r="AH192" s="4" t="s">
        <v>153</v>
      </c>
      <c r="AI192" s="5">
        <v>45403</v>
      </c>
      <c r="AJ192" t="s">
        <v>591</v>
      </c>
      <c r="AK192" s="4">
        <v>5</v>
      </c>
      <c r="AL192" t="s">
        <v>153</v>
      </c>
      <c r="AM192" t="s">
        <v>153</v>
      </c>
      <c r="AO192" t="s">
        <v>153</v>
      </c>
      <c r="AP192" s="4"/>
      <c r="AQ192" t="s">
        <v>153</v>
      </c>
      <c r="AR192" s="5"/>
      <c r="AT192" s="4" t="s">
        <v>153</v>
      </c>
      <c r="AU192" s="4" t="s">
        <v>153</v>
      </c>
      <c r="AV192" s="4" t="s">
        <v>153</v>
      </c>
      <c r="AW192" t="s">
        <v>153</v>
      </c>
      <c r="AX192" t="s">
        <v>153</v>
      </c>
      <c r="AY192" t="s">
        <v>153</v>
      </c>
      <c r="AZ192" t="s">
        <v>153</v>
      </c>
      <c r="BA192" t="s">
        <v>153</v>
      </c>
      <c r="BB192" t="s">
        <v>153</v>
      </c>
      <c r="BC192" t="s">
        <v>153</v>
      </c>
      <c r="BD192" s="4" t="s">
        <v>153</v>
      </c>
      <c r="BE192" s="4" t="s">
        <v>153</v>
      </c>
      <c r="BF192" t="s">
        <v>153</v>
      </c>
      <c r="BG192" s="4" t="s">
        <v>153</v>
      </c>
      <c r="BH192" t="s">
        <v>153</v>
      </c>
      <c r="BI192" s="4" t="s">
        <v>153</v>
      </c>
      <c r="BJ192" t="s">
        <v>153</v>
      </c>
      <c r="BK192" s="4" t="s">
        <v>153</v>
      </c>
      <c r="BL192" t="s">
        <v>153</v>
      </c>
      <c r="BM192" t="s">
        <v>153</v>
      </c>
      <c r="BN192" s="4" t="s">
        <v>153</v>
      </c>
      <c r="BO192" s="4" t="s">
        <v>153</v>
      </c>
      <c r="BP192" s="4" t="s">
        <v>153</v>
      </c>
      <c r="BQ192" s="4" t="s">
        <v>153</v>
      </c>
      <c r="BR192" s="4" t="s">
        <v>153</v>
      </c>
      <c r="BS192" s="4" t="s">
        <v>153</v>
      </c>
      <c r="BT192" s="4" t="s">
        <v>153</v>
      </c>
      <c r="BU192" s="4" t="s">
        <v>153</v>
      </c>
      <c r="BV192" s="4"/>
      <c r="BW192" s="4" t="s">
        <v>153</v>
      </c>
      <c r="BX192" s="4" t="s">
        <v>153</v>
      </c>
      <c r="BY192" s="4" t="s">
        <v>153</v>
      </c>
      <c r="BZ192" s="4" t="s">
        <v>153</v>
      </c>
      <c r="CA192" s="4" t="s">
        <v>153</v>
      </c>
      <c r="CB192" s="4"/>
      <c r="CC192" s="4" t="s">
        <v>153</v>
      </c>
      <c r="CD192" t="s">
        <v>153</v>
      </c>
      <c r="CE192" s="4" t="s">
        <v>153</v>
      </c>
      <c r="CF192" s="4" t="s">
        <v>153</v>
      </c>
      <c r="CG192" s="4" t="s">
        <v>153</v>
      </c>
      <c r="CH192" s="5"/>
      <c r="CI192" t="s">
        <v>153</v>
      </c>
      <c r="CJ192" s="4"/>
      <c r="CK192" t="s">
        <v>153</v>
      </c>
      <c r="CL192" t="s">
        <v>153</v>
      </c>
      <c r="CM192" t="s">
        <v>153</v>
      </c>
      <c r="CN192" t="s">
        <v>153</v>
      </c>
      <c r="CO192" s="5"/>
      <c r="CP192" s="4" t="s">
        <v>153</v>
      </c>
      <c r="CQ192" s="4" t="s">
        <v>153</v>
      </c>
      <c r="CR192" t="s">
        <v>153</v>
      </c>
      <c r="CS192" t="s">
        <v>153</v>
      </c>
      <c r="CT192" t="s">
        <v>153</v>
      </c>
      <c r="CU192" t="s">
        <v>153</v>
      </c>
      <c r="CV192" t="s">
        <v>153</v>
      </c>
      <c r="CW192" t="s">
        <v>153</v>
      </c>
      <c r="CX192" t="s">
        <v>153</v>
      </c>
      <c r="CY192" t="s">
        <v>153</v>
      </c>
      <c r="CZ192" t="s">
        <v>153</v>
      </c>
      <c r="DA192" t="s">
        <v>153</v>
      </c>
      <c r="DB192" t="s">
        <v>153</v>
      </c>
      <c r="DC192" t="s">
        <v>153</v>
      </c>
      <c r="DD192" t="s">
        <v>153</v>
      </c>
      <c r="DE192" t="s">
        <v>153</v>
      </c>
      <c r="DF192" t="s">
        <v>153</v>
      </c>
      <c r="DG192" t="s">
        <v>153</v>
      </c>
      <c r="DI192" t="s">
        <v>153</v>
      </c>
      <c r="DJ192" t="s">
        <v>153</v>
      </c>
      <c r="DK192" t="s">
        <v>153</v>
      </c>
      <c r="DL192" t="s">
        <v>153</v>
      </c>
      <c r="DN192" t="s">
        <v>153</v>
      </c>
      <c r="DO192" t="s">
        <v>153</v>
      </c>
      <c r="DP192" t="s">
        <v>153</v>
      </c>
      <c r="DQ192" t="s">
        <v>153</v>
      </c>
      <c r="DR192" t="s">
        <v>153</v>
      </c>
      <c r="DS192" t="s">
        <v>153</v>
      </c>
      <c r="DT192" t="s">
        <v>153</v>
      </c>
      <c r="DU192" t="s">
        <v>153</v>
      </c>
      <c r="DV192" t="s">
        <v>153</v>
      </c>
      <c r="DW192" t="s">
        <v>153</v>
      </c>
      <c r="DX192" s="2"/>
      <c r="DY192" t="s">
        <v>153</v>
      </c>
      <c r="DZ192" t="s">
        <v>153</v>
      </c>
      <c r="EA192" t="s">
        <v>153</v>
      </c>
      <c r="EB192" t="s">
        <v>153</v>
      </c>
      <c r="EC192" t="s">
        <v>153</v>
      </c>
      <c r="ED192" t="s">
        <v>153</v>
      </c>
      <c r="EE192" t="s">
        <v>153</v>
      </c>
      <c r="EF192" t="s">
        <v>153</v>
      </c>
      <c r="EH192" t="s">
        <v>153</v>
      </c>
      <c r="EI192" t="s">
        <v>153</v>
      </c>
      <c r="EJ192" t="s">
        <v>153</v>
      </c>
      <c r="EK192" t="s">
        <v>153</v>
      </c>
      <c r="EM192" t="s">
        <v>153</v>
      </c>
      <c r="EN192" t="s">
        <v>153</v>
      </c>
      <c r="EP192" s="4" t="s">
        <v>153</v>
      </c>
      <c r="EQ192" s="4" t="s">
        <v>153</v>
      </c>
      <c r="ER192" s="4" t="s">
        <v>176</v>
      </c>
      <c r="ES192" s="4" t="s">
        <v>153</v>
      </c>
      <c r="ET192" t="s">
        <v>2490</v>
      </c>
      <c r="EU192" t="s">
        <v>2427</v>
      </c>
      <c r="EV192" t="s">
        <v>2491</v>
      </c>
      <c r="EW192">
        <v>1276750434</v>
      </c>
      <c r="EX192" t="s">
        <v>2492</v>
      </c>
    </row>
    <row r="193" spans="1:154" x14ac:dyDescent="0.25">
      <c r="A193" s="3">
        <v>45593.675868055558</v>
      </c>
      <c r="B193" s="4" t="s">
        <v>153</v>
      </c>
      <c r="C193" s="4" t="s">
        <v>877</v>
      </c>
      <c r="D193" s="4" t="s">
        <v>878</v>
      </c>
      <c r="E193" s="4" t="s">
        <v>2493</v>
      </c>
      <c r="F193" s="4" t="s">
        <v>2494</v>
      </c>
      <c r="G193" s="4" t="s">
        <v>185</v>
      </c>
      <c r="H193" s="4" t="s">
        <v>566</v>
      </c>
      <c r="I193" s="4" t="s">
        <v>606</v>
      </c>
      <c r="J193" s="4" t="s">
        <v>153</v>
      </c>
      <c r="K193" s="5"/>
      <c r="L193" s="4" t="s">
        <v>153</v>
      </c>
      <c r="M193" s="4" t="s">
        <v>606</v>
      </c>
      <c r="N193" s="4" t="s">
        <v>2495</v>
      </c>
      <c r="O193" s="4" t="s">
        <v>2496</v>
      </c>
      <c r="P193" s="4" t="s">
        <v>2497</v>
      </c>
      <c r="Q193" s="4" t="s">
        <v>949</v>
      </c>
      <c r="R193" s="4" t="s">
        <v>666</v>
      </c>
      <c r="S193" s="4" t="s">
        <v>153</v>
      </c>
      <c r="T193" s="4" t="s">
        <v>2498</v>
      </c>
      <c r="U193" s="4" t="s">
        <v>2499</v>
      </c>
      <c r="V193" s="4" t="s">
        <v>153</v>
      </c>
      <c r="W193" s="4" t="s">
        <v>2500</v>
      </c>
      <c r="X193" s="4" t="s">
        <v>429</v>
      </c>
      <c r="Y193" s="4" t="s">
        <v>2501</v>
      </c>
      <c r="Z193" s="4" t="s">
        <v>197</v>
      </c>
      <c r="AA193" s="4" t="s">
        <v>2502</v>
      </c>
      <c r="AB193" s="4" t="s">
        <v>153</v>
      </c>
      <c r="AC193" s="4" t="s">
        <v>2500</v>
      </c>
      <c r="AD193" s="4" t="s">
        <v>429</v>
      </c>
      <c r="AE193" s="4" t="s">
        <v>2501</v>
      </c>
      <c r="AF193" s="4" t="s">
        <v>2503</v>
      </c>
      <c r="AG193" s="4" t="s">
        <v>2504</v>
      </c>
      <c r="AH193" s="4" t="s">
        <v>606</v>
      </c>
      <c r="AI193" s="5">
        <v>44311</v>
      </c>
      <c r="AJ193" t="s">
        <v>2505</v>
      </c>
      <c r="AK193" s="4">
        <v>12</v>
      </c>
      <c r="AL193" t="s">
        <v>153</v>
      </c>
      <c r="AM193" t="s">
        <v>153</v>
      </c>
      <c r="AO193" t="s">
        <v>153</v>
      </c>
      <c r="AP193" s="4"/>
      <c r="AQ193" t="s">
        <v>153</v>
      </c>
      <c r="AR193" s="5"/>
      <c r="AT193" s="4" t="s">
        <v>153</v>
      </c>
      <c r="AU193" s="4" t="s">
        <v>153</v>
      </c>
      <c r="AV193" s="4" t="s">
        <v>153</v>
      </c>
      <c r="AW193" t="s">
        <v>153</v>
      </c>
      <c r="AX193" t="s">
        <v>153</v>
      </c>
      <c r="AY193" t="s">
        <v>153</v>
      </c>
      <c r="AZ193" t="s">
        <v>153</v>
      </c>
      <c r="BA193" t="s">
        <v>153</v>
      </c>
      <c r="BB193" t="s">
        <v>153</v>
      </c>
      <c r="BC193" t="s">
        <v>153</v>
      </c>
      <c r="BD193" s="4" t="s">
        <v>153</v>
      </c>
      <c r="BE193" s="4" t="s">
        <v>153</v>
      </c>
      <c r="BF193" t="s">
        <v>153</v>
      </c>
      <c r="BG193" s="4" t="s">
        <v>153</v>
      </c>
      <c r="BH193" t="s">
        <v>153</v>
      </c>
      <c r="BI193" s="4" t="s">
        <v>153</v>
      </c>
      <c r="BJ193" t="s">
        <v>153</v>
      </c>
      <c r="BK193" s="4" t="s">
        <v>153</v>
      </c>
      <c r="BL193" t="s">
        <v>153</v>
      </c>
      <c r="BM193" t="s">
        <v>153</v>
      </c>
      <c r="BN193" s="4" t="s">
        <v>153</v>
      </c>
      <c r="BO193" s="4" t="s">
        <v>153</v>
      </c>
      <c r="BP193" s="4" t="s">
        <v>153</v>
      </c>
      <c r="BQ193" s="4" t="s">
        <v>153</v>
      </c>
      <c r="BR193" s="4" t="s">
        <v>153</v>
      </c>
      <c r="BS193" s="4" t="s">
        <v>153</v>
      </c>
      <c r="BT193" s="4" t="s">
        <v>153</v>
      </c>
      <c r="BU193" s="4" t="s">
        <v>153</v>
      </c>
      <c r="BV193" s="4"/>
      <c r="BW193" s="4" t="s">
        <v>153</v>
      </c>
      <c r="BX193" s="4" t="s">
        <v>153</v>
      </c>
      <c r="BY193" s="4" t="s">
        <v>153</v>
      </c>
      <c r="BZ193" s="4" t="s">
        <v>153</v>
      </c>
      <c r="CA193" s="4" t="s">
        <v>153</v>
      </c>
      <c r="CB193" s="4"/>
      <c r="CC193" s="4" t="s">
        <v>153</v>
      </c>
      <c r="CD193" t="s">
        <v>153</v>
      </c>
      <c r="CE193" s="4" t="s">
        <v>153</v>
      </c>
      <c r="CF193" s="4" t="s">
        <v>153</v>
      </c>
      <c r="CG193" s="4" t="s">
        <v>153</v>
      </c>
      <c r="CH193" s="5"/>
      <c r="CI193" t="s">
        <v>153</v>
      </c>
      <c r="CJ193" s="4"/>
      <c r="CK193" t="s">
        <v>153</v>
      </c>
      <c r="CL193" t="s">
        <v>153</v>
      </c>
      <c r="CM193" t="s">
        <v>153</v>
      </c>
      <c r="CN193" t="s">
        <v>153</v>
      </c>
      <c r="CO193" s="5"/>
      <c r="CP193" s="4" t="s">
        <v>153</v>
      </c>
      <c r="CQ193" s="4" t="s">
        <v>153</v>
      </c>
      <c r="CR193" t="s">
        <v>153</v>
      </c>
      <c r="CS193" t="s">
        <v>153</v>
      </c>
      <c r="CT193" t="s">
        <v>153</v>
      </c>
      <c r="CU193" t="s">
        <v>153</v>
      </c>
      <c r="CV193" t="s">
        <v>153</v>
      </c>
      <c r="CW193" t="s">
        <v>153</v>
      </c>
      <c r="CX193" t="s">
        <v>153</v>
      </c>
      <c r="CY193" t="s">
        <v>153</v>
      </c>
      <c r="CZ193" t="s">
        <v>153</v>
      </c>
      <c r="DA193" t="s">
        <v>153</v>
      </c>
      <c r="DB193" t="s">
        <v>153</v>
      </c>
      <c r="DC193" t="s">
        <v>153</v>
      </c>
      <c r="DD193" t="s">
        <v>153</v>
      </c>
      <c r="DE193" t="s">
        <v>153</v>
      </c>
      <c r="DF193" t="s">
        <v>153</v>
      </c>
      <c r="DG193" t="s">
        <v>153</v>
      </c>
      <c r="DI193" t="s">
        <v>153</v>
      </c>
      <c r="DJ193" t="s">
        <v>153</v>
      </c>
      <c r="DK193" t="s">
        <v>153</v>
      </c>
      <c r="DL193" t="s">
        <v>153</v>
      </c>
      <c r="DN193" t="s">
        <v>153</v>
      </c>
      <c r="DO193" t="s">
        <v>153</v>
      </c>
      <c r="DP193" t="s">
        <v>153</v>
      </c>
      <c r="DQ193" t="s">
        <v>153</v>
      </c>
      <c r="DR193" t="s">
        <v>153</v>
      </c>
      <c r="DS193" t="s">
        <v>153</v>
      </c>
      <c r="DT193" t="s">
        <v>153</v>
      </c>
      <c r="DU193" t="s">
        <v>153</v>
      </c>
      <c r="DV193" t="s">
        <v>153</v>
      </c>
      <c r="DW193" t="s">
        <v>153</v>
      </c>
      <c r="DX193" s="2"/>
      <c r="DY193" t="s">
        <v>153</v>
      </c>
      <c r="DZ193" t="s">
        <v>153</v>
      </c>
      <c r="EA193" t="s">
        <v>153</v>
      </c>
      <c r="EB193" t="s">
        <v>153</v>
      </c>
      <c r="EC193" t="s">
        <v>153</v>
      </c>
      <c r="ED193" t="s">
        <v>153</v>
      </c>
      <c r="EE193" t="s">
        <v>153</v>
      </c>
      <c r="EF193" t="s">
        <v>153</v>
      </c>
      <c r="EH193" t="s">
        <v>153</v>
      </c>
      <c r="EI193" t="s">
        <v>153</v>
      </c>
      <c r="EJ193" t="s">
        <v>153</v>
      </c>
      <c r="EK193" t="s">
        <v>153</v>
      </c>
      <c r="EM193" t="s">
        <v>153</v>
      </c>
      <c r="EN193" t="s">
        <v>153</v>
      </c>
      <c r="EP193" s="4" t="s">
        <v>153</v>
      </c>
      <c r="EQ193" s="4" t="s">
        <v>153</v>
      </c>
      <c r="ER193" s="4" t="s">
        <v>243</v>
      </c>
      <c r="ES193" s="4" t="s">
        <v>356</v>
      </c>
      <c r="ET193" t="s">
        <v>2506</v>
      </c>
      <c r="EU193" t="s">
        <v>2507</v>
      </c>
      <c r="EV193" t="s">
        <v>1929</v>
      </c>
      <c r="EW193">
        <v>1280665501</v>
      </c>
      <c r="EX193" t="s">
        <v>2508</v>
      </c>
    </row>
    <row r="194" spans="1:154" x14ac:dyDescent="0.25">
      <c r="A194" s="3">
        <v>45594.472951388889</v>
      </c>
      <c r="B194" s="4" t="s">
        <v>153</v>
      </c>
      <c r="C194" s="4" t="s">
        <v>659</v>
      </c>
      <c r="D194" s="4" t="s">
        <v>660</v>
      </c>
      <c r="E194" s="4" t="s">
        <v>661</v>
      </c>
      <c r="F194" s="4" t="s">
        <v>662</v>
      </c>
      <c r="G194" s="4" t="s">
        <v>185</v>
      </c>
      <c r="H194" s="4" t="s">
        <v>323</v>
      </c>
      <c r="I194" s="4" t="s">
        <v>2509</v>
      </c>
      <c r="J194" s="4" t="s">
        <v>153</v>
      </c>
      <c r="K194" s="5"/>
      <c r="L194" s="4" t="s">
        <v>153</v>
      </c>
      <c r="M194" s="4" t="s">
        <v>2509</v>
      </c>
      <c r="N194" s="4" t="s">
        <v>2510</v>
      </c>
      <c r="O194" s="4" t="s">
        <v>1356</v>
      </c>
      <c r="P194" s="4" t="s">
        <v>2511</v>
      </c>
      <c r="Q194" s="4" t="s">
        <v>190</v>
      </c>
      <c r="R194" s="4" t="s">
        <v>191</v>
      </c>
      <c r="S194" s="4" t="s">
        <v>2512</v>
      </c>
      <c r="T194" s="4" t="s">
        <v>2513</v>
      </c>
      <c r="U194" s="4" t="s">
        <v>2514</v>
      </c>
      <c r="V194" s="4" t="s">
        <v>153</v>
      </c>
      <c r="W194" s="4" t="s">
        <v>2515</v>
      </c>
      <c r="X194" s="4" t="s">
        <v>693</v>
      </c>
      <c r="Y194" s="4" t="s">
        <v>2516</v>
      </c>
      <c r="Z194" s="4" t="s">
        <v>237</v>
      </c>
      <c r="AA194" s="4" t="s">
        <v>2517</v>
      </c>
      <c r="AB194" s="4" t="s">
        <v>153</v>
      </c>
      <c r="AC194" s="4" t="s">
        <v>2515</v>
      </c>
      <c r="AD194" s="4" t="s">
        <v>693</v>
      </c>
      <c r="AE194" s="4" t="s">
        <v>2516</v>
      </c>
      <c r="AF194" s="4" t="s">
        <v>2518</v>
      </c>
      <c r="AG194" s="4" t="s">
        <v>2519</v>
      </c>
      <c r="AH194" s="4" t="s">
        <v>153</v>
      </c>
      <c r="AI194" s="5">
        <v>45444</v>
      </c>
      <c r="AJ194" t="s">
        <v>2520</v>
      </c>
      <c r="AK194" s="4">
        <v>30</v>
      </c>
      <c r="AL194" t="s">
        <v>153</v>
      </c>
      <c r="AM194" t="s">
        <v>153</v>
      </c>
      <c r="AO194" t="s">
        <v>153</v>
      </c>
      <c r="AP194" s="4"/>
      <c r="AQ194" t="s">
        <v>153</v>
      </c>
      <c r="AR194" s="5"/>
      <c r="AT194" s="4" t="s">
        <v>153</v>
      </c>
      <c r="AU194" s="4" t="s">
        <v>153</v>
      </c>
      <c r="AV194" s="4" t="s">
        <v>153</v>
      </c>
      <c r="AW194" t="s">
        <v>153</v>
      </c>
      <c r="AX194" t="s">
        <v>153</v>
      </c>
      <c r="AY194" t="s">
        <v>153</v>
      </c>
      <c r="AZ194" t="s">
        <v>153</v>
      </c>
      <c r="BA194" t="s">
        <v>153</v>
      </c>
      <c r="BB194" t="s">
        <v>153</v>
      </c>
      <c r="BC194" t="s">
        <v>153</v>
      </c>
      <c r="BD194" s="4" t="s">
        <v>153</v>
      </c>
      <c r="BE194" s="4" t="s">
        <v>153</v>
      </c>
      <c r="BF194" t="s">
        <v>153</v>
      </c>
      <c r="BG194" s="4" t="s">
        <v>153</v>
      </c>
      <c r="BH194" t="s">
        <v>153</v>
      </c>
      <c r="BI194" s="4" t="s">
        <v>153</v>
      </c>
      <c r="BJ194" t="s">
        <v>153</v>
      </c>
      <c r="BK194" s="4" t="s">
        <v>153</v>
      </c>
      <c r="BL194" t="s">
        <v>153</v>
      </c>
      <c r="BM194" t="s">
        <v>153</v>
      </c>
      <c r="BN194" s="4" t="s">
        <v>153</v>
      </c>
      <c r="BO194" s="4" t="s">
        <v>153</v>
      </c>
      <c r="BP194" s="4" t="s">
        <v>153</v>
      </c>
      <c r="BQ194" s="4" t="s">
        <v>153</v>
      </c>
      <c r="BR194" s="4" t="s">
        <v>153</v>
      </c>
      <c r="BS194" s="4" t="s">
        <v>153</v>
      </c>
      <c r="BT194" s="4" t="s">
        <v>153</v>
      </c>
      <c r="BU194" s="4" t="s">
        <v>153</v>
      </c>
      <c r="BV194" s="4"/>
      <c r="BW194" s="4" t="s">
        <v>153</v>
      </c>
      <c r="BX194" s="4" t="s">
        <v>153</v>
      </c>
      <c r="BY194" s="4" t="s">
        <v>153</v>
      </c>
      <c r="BZ194" s="4" t="s">
        <v>153</v>
      </c>
      <c r="CA194" s="4" t="s">
        <v>153</v>
      </c>
      <c r="CB194" s="4"/>
      <c r="CC194" s="4" t="s">
        <v>153</v>
      </c>
      <c r="CD194" t="s">
        <v>153</v>
      </c>
      <c r="CE194" s="4" t="s">
        <v>153</v>
      </c>
      <c r="CF194" s="4" t="s">
        <v>153</v>
      </c>
      <c r="CG194" s="4" t="s">
        <v>153</v>
      </c>
      <c r="CH194" s="5"/>
      <c r="CI194" t="s">
        <v>153</v>
      </c>
      <c r="CJ194" s="4"/>
      <c r="CK194" t="s">
        <v>153</v>
      </c>
      <c r="CL194" t="s">
        <v>153</v>
      </c>
      <c r="CM194" t="s">
        <v>153</v>
      </c>
      <c r="CN194" t="s">
        <v>153</v>
      </c>
      <c r="CO194" s="5"/>
      <c r="CP194" s="4" t="s">
        <v>153</v>
      </c>
      <c r="CQ194" s="4" t="s">
        <v>153</v>
      </c>
      <c r="CR194" t="s">
        <v>153</v>
      </c>
      <c r="CS194" t="s">
        <v>153</v>
      </c>
      <c r="CT194" t="s">
        <v>153</v>
      </c>
      <c r="CU194" t="s">
        <v>153</v>
      </c>
      <c r="CV194" t="s">
        <v>153</v>
      </c>
      <c r="CW194" t="s">
        <v>153</v>
      </c>
      <c r="CX194" t="s">
        <v>153</v>
      </c>
      <c r="CY194" t="s">
        <v>153</v>
      </c>
      <c r="CZ194" t="s">
        <v>153</v>
      </c>
      <c r="DA194" t="s">
        <v>153</v>
      </c>
      <c r="DB194" t="s">
        <v>153</v>
      </c>
      <c r="DC194" t="s">
        <v>153</v>
      </c>
      <c r="DD194" t="s">
        <v>153</v>
      </c>
      <c r="DE194" t="s">
        <v>153</v>
      </c>
      <c r="DF194" t="s">
        <v>153</v>
      </c>
      <c r="DG194" t="s">
        <v>153</v>
      </c>
      <c r="DI194" t="s">
        <v>153</v>
      </c>
      <c r="DJ194" t="s">
        <v>153</v>
      </c>
      <c r="DK194" t="s">
        <v>153</v>
      </c>
      <c r="DL194" t="s">
        <v>153</v>
      </c>
      <c r="DN194" t="s">
        <v>153</v>
      </c>
      <c r="DO194" t="s">
        <v>153</v>
      </c>
      <c r="DP194" t="s">
        <v>153</v>
      </c>
      <c r="DQ194" t="s">
        <v>153</v>
      </c>
      <c r="DR194" t="s">
        <v>153</v>
      </c>
      <c r="DS194" t="s">
        <v>153</v>
      </c>
      <c r="DT194" t="s">
        <v>153</v>
      </c>
      <c r="DU194" t="s">
        <v>153</v>
      </c>
      <c r="DV194" t="s">
        <v>153</v>
      </c>
      <c r="DW194" t="s">
        <v>153</v>
      </c>
      <c r="DX194" s="2"/>
      <c r="DY194" t="s">
        <v>153</v>
      </c>
      <c r="DZ194" t="s">
        <v>153</v>
      </c>
      <c r="EA194" t="s">
        <v>153</v>
      </c>
      <c r="EB194" t="s">
        <v>153</v>
      </c>
      <c r="EC194" t="s">
        <v>153</v>
      </c>
      <c r="ED194" t="s">
        <v>153</v>
      </c>
      <c r="EE194" t="s">
        <v>153</v>
      </c>
      <c r="EF194" t="s">
        <v>153</v>
      </c>
      <c r="EH194" t="s">
        <v>153</v>
      </c>
      <c r="EI194" t="s">
        <v>153</v>
      </c>
      <c r="EJ194" t="s">
        <v>153</v>
      </c>
      <c r="EK194" t="s">
        <v>153</v>
      </c>
      <c r="EM194" t="s">
        <v>153</v>
      </c>
      <c r="EN194" t="s">
        <v>153</v>
      </c>
      <c r="EP194" s="4" t="s">
        <v>242</v>
      </c>
      <c r="EQ194" s="4" t="s">
        <v>153</v>
      </c>
      <c r="ER194" s="4" t="s">
        <v>191</v>
      </c>
      <c r="ES194" s="4" t="s">
        <v>153</v>
      </c>
      <c r="ET194" t="s">
        <v>153</v>
      </c>
      <c r="EU194" t="s">
        <v>2507</v>
      </c>
      <c r="EV194" t="s">
        <v>2521</v>
      </c>
      <c r="EW194">
        <v>1280933425</v>
      </c>
      <c r="EX194" t="s">
        <v>2522</v>
      </c>
    </row>
    <row r="195" spans="1:154" x14ac:dyDescent="0.25">
      <c r="A195" s="3">
        <v>45597.573576388888</v>
      </c>
      <c r="B195" s="4" t="s">
        <v>153</v>
      </c>
      <c r="C195" s="4" t="s">
        <v>502</v>
      </c>
      <c r="D195" s="4" t="s">
        <v>503</v>
      </c>
      <c r="E195" s="4" t="s">
        <v>504</v>
      </c>
      <c r="F195" s="4" t="s">
        <v>505</v>
      </c>
      <c r="G195" s="4" t="s">
        <v>185</v>
      </c>
      <c r="H195" s="4" t="s">
        <v>2214</v>
      </c>
      <c r="I195" s="4" t="s">
        <v>2523</v>
      </c>
      <c r="J195" s="4" t="s">
        <v>153</v>
      </c>
      <c r="K195" s="5"/>
      <c r="L195" s="4" t="s">
        <v>153</v>
      </c>
      <c r="M195" s="4" t="s">
        <v>2523</v>
      </c>
      <c r="N195" s="4" t="s">
        <v>2524</v>
      </c>
      <c r="O195" s="4" t="s">
        <v>951</v>
      </c>
      <c r="P195" s="4" t="s">
        <v>326</v>
      </c>
      <c r="Q195" s="4" t="s">
        <v>190</v>
      </c>
      <c r="R195" s="4" t="s">
        <v>666</v>
      </c>
      <c r="S195" s="4" t="s">
        <v>153</v>
      </c>
      <c r="T195" s="4" t="s">
        <v>2525</v>
      </c>
      <c r="U195" s="4" t="s">
        <v>153</v>
      </c>
      <c r="V195" s="4" t="s">
        <v>153</v>
      </c>
      <c r="W195" s="4" t="s">
        <v>153</v>
      </c>
      <c r="X195" s="4" t="s">
        <v>153</v>
      </c>
      <c r="Y195" s="4" t="s">
        <v>153</v>
      </c>
      <c r="Z195" s="4" t="s">
        <v>237</v>
      </c>
      <c r="AA195" s="4" t="s">
        <v>2526</v>
      </c>
      <c r="AB195" s="4" t="s">
        <v>153</v>
      </c>
      <c r="AC195" s="4" t="s">
        <v>781</v>
      </c>
      <c r="AD195" s="4" t="s">
        <v>589</v>
      </c>
      <c r="AE195" s="4" t="s">
        <v>782</v>
      </c>
      <c r="AF195" s="4" t="s">
        <v>2527</v>
      </c>
      <c r="AG195" s="4" t="s">
        <v>2528</v>
      </c>
      <c r="AH195" s="4" t="s">
        <v>2529</v>
      </c>
      <c r="AI195" s="5">
        <v>45571</v>
      </c>
      <c r="AJ195" t="s">
        <v>591</v>
      </c>
      <c r="AK195" s="4"/>
      <c r="AL195" t="s">
        <v>2530</v>
      </c>
      <c r="AM195" t="s">
        <v>153</v>
      </c>
      <c r="AO195" t="s">
        <v>153</v>
      </c>
      <c r="AP195" s="4"/>
      <c r="AQ195" t="s">
        <v>153</v>
      </c>
      <c r="AR195" s="5"/>
      <c r="AT195" s="4" t="s">
        <v>153</v>
      </c>
      <c r="AU195" s="4" t="s">
        <v>153</v>
      </c>
      <c r="AV195" s="4" t="s">
        <v>153</v>
      </c>
      <c r="AW195" t="s">
        <v>153</v>
      </c>
      <c r="AX195" t="s">
        <v>153</v>
      </c>
      <c r="AY195" t="s">
        <v>153</v>
      </c>
      <c r="AZ195" t="s">
        <v>153</v>
      </c>
      <c r="BA195" t="s">
        <v>153</v>
      </c>
      <c r="BB195" t="s">
        <v>153</v>
      </c>
      <c r="BC195" t="s">
        <v>153</v>
      </c>
      <c r="BD195" s="4" t="s">
        <v>153</v>
      </c>
      <c r="BE195" s="4" t="s">
        <v>153</v>
      </c>
      <c r="BF195" t="s">
        <v>153</v>
      </c>
      <c r="BG195" s="4" t="s">
        <v>153</v>
      </c>
      <c r="BH195" t="s">
        <v>153</v>
      </c>
      <c r="BI195" s="4" t="s">
        <v>153</v>
      </c>
      <c r="BJ195" t="s">
        <v>153</v>
      </c>
      <c r="BK195" s="4" t="s">
        <v>153</v>
      </c>
      <c r="BL195" t="s">
        <v>153</v>
      </c>
      <c r="BM195" t="s">
        <v>153</v>
      </c>
      <c r="BN195" s="4" t="s">
        <v>153</v>
      </c>
      <c r="BO195" s="4" t="s">
        <v>153</v>
      </c>
      <c r="BP195" s="4" t="s">
        <v>153</v>
      </c>
      <c r="BQ195" s="4" t="s">
        <v>153</v>
      </c>
      <c r="BR195" s="4" t="s">
        <v>153</v>
      </c>
      <c r="BS195" s="4" t="s">
        <v>153</v>
      </c>
      <c r="BT195" s="4" t="s">
        <v>153</v>
      </c>
      <c r="BU195" s="4" t="s">
        <v>153</v>
      </c>
      <c r="BV195" s="4"/>
      <c r="BW195" s="4" t="s">
        <v>153</v>
      </c>
      <c r="BX195" s="4" t="s">
        <v>153</v>
      </c>
      <c r="BY195" s="4" t="s">
        <v>153</v>
      </c>
      <c r="BZ195" s="4" t="s">
        <v>153</v>
      </c>
      <c r="CA195" s="4" t="s">
        <v>153</v>
      </c>
      <c r="CB195" s="4"/>
      <c r="CC195" s="4" t="s">
        <v>153</v>
      </c>
      <c r="CD195" t="s">
        <v>153</v>
      </c>
      <c r="CE195" s="4" t="s">
        <v>153</v>
      </c>
      <c r="CF195" s="4" t="s">
        <v>153</v>
      </c>
      <c r="CG195" s="4" t="s">
        <v>153</v>
      </c>
      <c r="CH195" s="5"/>
      <c r="CI195" t="s">
        <v>153</v>
      </c>
      <c r="CJ195" s="4"/>
      <c r="CK195" t="s">
        <v>153</v>
      </c>
      <c r="CL195" t="s">
        <v>153</v>
      </c>
      <c r="CM195" t="s">
        <v>153</v>
      </c>
      <c r="CN195" t="s">
        <v>153</v>
      </c>
      <c r="CO195" s="5"/>
      <c r="CP195" s="4" t="s">
        <v>153</v>
      </c>
      <c r="CQ195" s="4" t="s">
        <v>153</v>
      </c>
      <c r="CR195" t="s">
        <v>153</v>
      </c>
      <c r="CS195" t="s">
        <v>153</v>
      </c>
      <c r="CT195" t="s">
        <v>153</v>
      </c>
      <c r="CU195" t="s">
        <v>153</v>
      </c>
      <c r="CV195" t="s">
        <v>153</v>
      </c>
      <c r="CW195" t="s">
        <v>153</v>
      </c>
      <c r="CX195" t="s">
        <v>153</v>
      </c>
      <c r="CY195" t="s">
        <v>153</v>
      </c>
      <c r="CZ195" t="s">
        <v>153</v>
      </c>
      <c r="DA195" t="s">
        <v>153</v>
      </c>
      <c r="DB195" t="s">
        <v>153</v>
      </c>
      <c r="DC195" t="s">
        <v>153</v>
      </c>
      <c r="DD195" t="s">
        <v>153</v>
      </c>
      <c r="DE195" t="s">
        <v>153</v>
      </c>
      <c r="DF195" t="s">
        <v>153</v>
      </c>
      <c r="DG195" t="s">
        <v>153</v>
      </c>
      <c r="DI195" t="s">
        <v>153</v>
      </c>
      <c r="DJ195" t="s">
        <v>153</v>
      </c>
      <c r="DK195" t="s">
        <v>153</v>
      </c>
      <c r="DL195" t="s">
        <v>153</v>
      </c>
      <c r="DN195" t="s">
        <v>153</v>
      </c>
      <c r="DO195" t="s">
        <v>153</v>
      </c>
      <c r="DP195" t="s">
        <v>153</v>
      </c>
      <c r="DQ195" t="s">
        <v>153</v>
      </c>
      <c r="DR195" t="s">
        <v>153</v>
      </c>
      <c r="DS195" t="s">
        <v>153</v>
      </c>
      <c r="DT195" t="s">
        <v>153</v>
      </c>
      <c r="DU195" t="s">
        <v>153</v>
      </c>
      <c r="DV195" t="s">
        <v>153</v>
      </c>
      <c r="DW195" t="s">
        <v>153</v>
      </c>
      <c r="DX195" s="2"/>
      <c r="DY195" t="s">
        <v>153</v>
      </c>
      <c r="DZ195" t="s">
        <v>153</v>
      </c>
      <c r="EA195" t="s">
        <v>153</v>
      </c>
      <c r="EB195" t="s">
        <v>153</v>
      </c>
      <c r="EC195" t="s">
        <v>153</v>
      </c>
      <c r="ED195" t="s">
        <v>153</v>
      </c>
      <c r="EE195" t="s">
        <v>153</v>
      </c>
      <c r="EF195" t="s">
        <v>153</v>
      </c>
      <c r="EH195" t="s">
        <v>153</v>
      </c>
      <c r="EI195" t="s">
        <v>153</v>
      </c>
      <c r="EJ195" t="s">
        <v>153</v>
      </c>
      <c r="EK195" t="s">
        <v>153</v>
      </c>
      <c r="EM195" t="s">
        <v>153</v>
      </c>
      <c r="EN195" t="s">
        <v>153</v>
      </c>
      <c r="EP195" s="4" t="s">
        <v>153</v>
      </c>
      <c r="EQ195" s="4" t="s">
        <v>153</v>
      </c>
      <c r="ER195" s="4" t="s">
        <v>243</v>
      </c>
      <c r="ES195" s="4" t="s">
        <v>244</v>
      </c>
      <c r="ET195" t="s">
        <v>2531</v>
      </c>
      <c r="EU195" t="s">
        <v>2507</v>
      </c>
      <c r="EV195" t="s">
        <v>2532</v>
      </c>
      <c r="EW195">
        <v>1282094847</v>
      </c>
      <c r="EX195" t="s">
        <v>2533</v>
      </c>
    </row>
    <row r="196" spans="1:154" x14ac:dyDescent="0.25">
      <c r="A196" s="3">
        <v>45603.548946759256</v>
      </c>
      <c r="B196" s="4" t="s">
        <v>153</v>
      </c>
      <c r="C196" s="4" t="s">
        <v>2534</v>
      </c>
      <c r="D196" s="4" t="s">
        <v>2535</v>
      </c>
      <c r="E196" s="4" t="s">
        <v>2536</v>
      </c>
      <c r="F196" s="4" t="s">
        <v>2537</v>
      </c>
      <c r="G196" s="4" t="s">
        <v>423</v>
      </c>
      <c r="H196" s="4" t="s">
        <v>826</v>
      </c>
      <c r="I196" s="4" t="s">
        <v>2538</v>
      </c>
      <c r="J196" s="4" t="s">
        <v>2539</v>
      </c>
      <c r="K196" s="5"/>
      <c r="L196" s="4" t="s">
        <v>153</v>
      </c>
      <c r="M196" s="4" t="s">
        <v>153</v>
      </c>
      <c r="N196" s="4" t="s">
        <v>153</v>
      </c>
      <c r="O196" s="4" t="s">
        <v>153</v>
      </c>
      <c r="P196" s="4" t="s">
        <v>153</v>
      </c>
      <c r="Q196" s="4" t="s">
        <v>153</v>
      </c>
      <c r="R196" s="4" t="s">
        <v>153</v>
      </c>
      <c r="S196" s="4" t="s">
        <v>153</v>
      </c>
      <c r="T196" s="4" t="s">
        <v>153</v>
      </c>
      <c r="U196" s="4" t="s">
        <v>153</v>
      </c>
      <c r="V196" s="4" t="s">
        <v>153</v>
      </c>
      <c r="W196" s="4" t="s">
        <v>153</v>
      </c>
      <c r="X196" s="4" t="s">
        <v>153</v>
      </c>
      <c r="Y196" s="4" t="s">
        <v>153</v>
      </c>
      <c r="Z196" s="4" t="s">
        <v>153</v>
      </c>
      <c r="AA196" s="4" t="s">
        <v>153</v>
      </c>
      <c r="AB196" s="4" t="s">
        <v>153</v>
      </c>
      <c r="AC196" s="4" t="s">
        <v>153</v>
      </c>
      <c r="AD196" s="4" t="s">
        <v>153</v>
      </c>
      <c r="AE196" s="4" t="s">
        <v>153</v>
      </c>
      <c r="AF196" s="4" t="s">
        <v>153</v>
      </c>
      <c r="AG196" s="4" t="s">
        <v>153</v>
      </c>
      <c r="AH196" s="4" t="s">
        <v>153</v>
      </c>
      <c r="AI196" s="5"/>
      <c r="AJ196" t="s">
        <v>153</v>
      </c>
      <c r="AK196" s="4"/>
      <c r="AL196" t="s">
        <v>153</v>
      </c>
      <c r="AM196" t="s">
        <v>153</v>
      </c>
      <c r="AO196" t="s">
        <v>153</v>
      </c>
      <c r="AP196" s="4"/>
      <c r="AQ196" t="s">
        <v>153</v>
      </c>
      <c r="AR196" s="5"/>
      <c r="AT196" s="4" t="s">
        <v>153</v>
      </c>
      <c r="AU196" s="4" t="s">
        <v>153</v>
      </c>
      <c r="AV196" s="4" t="s">
        <v>153</v>
      </c>
      <c r="AW196" t="s">
        <v>153</v>
      </c>
      <c r="AX196" t="s">
        <v>153</v>
      </c>
      <c r="AY196" t="s">
        <v>153</v>
      </c>
      <c r="AZ196" t="s">
        <v>153</v>
      </c>
      <c r="BA196" t="s">
        <v>153</v>
      </c>
      <c r="BB196" t="s">
        <v>153</v>
      </c>
      <c r="BC196" t="s">
        <v>153</v>
      </c>
      <c r="BD196" s="4" t="s">
        <v>153</v>
      </c>
      <c r="BE196" s="4" t="s">
        <v>153</v>
      </c>
      <c r="BF196" t="s">
        <v>153</v>
      </c>
      <c r="BG196" s="4" t="s">
        <v>153</v>
      </c>
      <c r="BH196" t="s">
        <v>153</v>
      </c>
      <c r="BI196" s="4" t="s">
        <v>153</v>
      </c>
      <c r="BJ196" t="s">
        <v>153</v>
      </c>
      <c r="BK196" s="4" t="s">
        <v>153</v>
      </c>
      <c r="BL196" t="s">
        <v>153</v>
      </c>
      <c r="BM196" t="s">
        <v>153</v>
      </c>
      <c r="BN196" s="4" t="s">
        <v>153</v>
      </c>
      <c r="BO196" s="4" t="s">
        <v>153</v>
      </c>
      <c r="BP196" s="4" t="s">
        <v>153</v>
      </c>
      <c r="BQ196" s="4" t="s">
        <v>153</v>
      </c>
      <c r="BR196" s="4" t="s">
        <v>2540</v>
      </c>
      <c r="BS196" s="4" t="s">
        <v>153</v>
      </c>
      <c r="BT196" s="4" t="s">
        <v>853</v>
      </c>
      <c r="BU196" s="4" t="s">
        <v>347</v>
      </c>
      <c r="BV196" s="4">
        <v>92404</v>
      </c>
      <c r="BW196" s="4" t="s">
        <v>430</v>
      </c>
      <c r="BX196" s="4" t="s">
        <v>153</v>
      </c>
      <c r="BY196" s="4" t="s">
        <v>153</v>
      </c>
      <c r="BZ196" s="4" t="s">
        <v>153</v>
      </c>
      <c r="CA196" s="4" t="s">
        <v>153</v>
      </c>
      <c r="CB196" s="4"/>
      <c r="CC196" s="4" t="s">
        <v>430</v>
      </c>
      <c r="CD196" t="s">
        <v>153</v>
      </c>
      <c r="CE196" s="4" t="s">
        <v>153</v>
      </c>
      <c r="CF196" s="4" t="s">
        <v>153</v>
      </c>
      <c r="CG196" s="4" t="s">
        <v>153</v>
      </c>
      <c r="CH196" s="5"/>
      <c r="CI196" t="s">
        <v>153</v>
      </c>
      <c r="CJ196" s="4"/>
      <c r="CK196" t="s">
        <v>153</v>
      </c>
      <c r="CL196" t="s">
        <v>153</v>
      </c>
      <c r="CM196" t="s">
        <v>153</v>
      </c>
      <c r="CN196" t="s">
        <v>153</v>
      </c>
      <c r="CO196" s="5"/>
      <c r="CP196" s="4" t="s">
        <v>153</v>
      </c>
      <c r="CQ196" s="4" t="s">
        <v>153</v>
      </c>
      <c r="CR196" t="s">
        <v>153</v>
      </c>
      <c r="CS196" t="s">
        <v>153</v>
      </c>
      <c r="CT196" t="s">
        <v>153</v>
      </c>
      <c r="CU196" t="s">
        <v>153</v>
      </c>
      <c r="CV196" t="s">
        <v>153</v>
      </c>
      <c r="CW196" t="s">
        <v>153</v>
      </c>
      <c r="CX196" t="s">
        <v>153</v>
      </c>
      <c r="CY196" t="s">
        <v>153</v>
      </c>
      <c r="CZ196" t="s">
        <v>153</v>
      </c>
      <c r="DA196" t="s">
        <v>153</v>
      </c>
      <c r="DB196" t="s">
        <v>153</v>
      </c>
      <c r="DC196" t="s">
        <v>153</v>
      </c>
      <c r="DD196" t="s">
        <v>153</v>
      </c>
      <c r="DE196" t="s">
        <v>153</v>
      </c>
      <c r="DF196" t="s">
        <v>153</v>
      </c>
      <c r="DG196" t="s">
        <v>153</v>
      </c>
      <c r="DI196" t="s">
        <v>153</v>
      </c>
      <c r="DJ196" t="s">
        <v>153</v>
      </c>
      <c r="DK196" t="s">
        <v>153</v>
      </c>
      <c r="DL196" t="s">
        <v>153</v>
      </c>
      <c r="DN196" t="s">
        <v>153</v>
      </c>
      <c r="DO196" t="s">
        <v>153</v>
      </c>
      <c r="DP196" t="s">
        <v>153</v>
      </c>
      <c r="DQ196" t="s">
        <v>153</v>
      </c>
      <c r="DR196" t="s">
        <v>153</v>
      </c>
      <c r="DS196" t="s">
        <v>153</v>
      </c>
      <c r="DT196" t="s">
        <v>153</v>
      </c>
      <c r="DU196" t="s">
        <v>153</v>
      </c>
      <c r="DV196" t="s">
        <v>153</v>
      </c>
      <c r="DW196" t="s">
        <v>153</v>
      </c>
      <c r="DX196" s="2"/>
      <c r="DY196" t="s">
        <v>153</v>
      </c>
      <c r="DZ196" t="s">
        <v>153</v>
      </c>
      <c r="EA196" t="s">
        <v>153</v>
      </c>
      <c r="EB196" t="s">
        <v>153</v>
      </c>
      <c r="EC196" t="s">
        <v>153</v>
      </c>
      <c r="ED196" t="s">
        <v>153</v>
      </c>
      <c r="EE196" t="s">
        <v>153</v>
      </c>
      <c r="EF196" t="s">
        <v>153</v>
      </c>
      <c r="EH196" t="s">
        <v>153</v>
      </c>
      <c r="EI196" t="s">
        <v>153</v>
      </c>
      <c r="EJ196" t="s">
        <v>153</v>
      </c>
      <c r="EK196" t="s">
        <v>153</v>
      </c>
      <c r="EM196" t="s">
        <v>153</v>
      </c>
      <c r="EN196" t="s">
        <v>153</v>
      </c>
      <c r="EP196" s="4" t="s">
        <v>153</v>
      </c>
      <c r="EQ196" s="4" t="s">
        <v>153</v>
      </c>
      <c r="ER196" s="4" t="s">
        <v>153</v>
      </c>
      <c r="ES196" s="4" t="s">
        <v>153</v>
      </c>
      <c r="ET196" t="s">
        <v>2541</v>
      </c>
      <c r="EU196" t="s">
        <v>2507</v>
      </c>
      <c r="EV196" t="s">
        <v>2542</v>
      </c>
      <c r="EW196">
        <v>1284080707</v>
      </c>
      <c r="EX196" t="s">
        <v>2543</v>
      </c>
    </row>
    <row r="197" spans="1:154" x14ac:dyDescent="0.25">
      <c r="A197" s="3">
        <v>45609.423391203702</v>
      </c>
      <c r="B197" s="4" t="s">
        <v>153</v>
      </c>
      <c r="C197" s="4" t="s">
        <v>1598</v>
      </c>
      <c r="D197" s="4" t="s">
        <v>1599</v>
      </c>
      <c r="E197" s="4" t="s">
        <v>2544</v>
      </c>
      <c r="F197" s="4" t="s">
        <v>1601</v>
      </c>
      <c r="G197" s="4" t="s">
        <v>252</v>
      </c>
      <c r="H197" s="4" t="s">
        <v>1393</v>
      </c>
      <c r="I197" s="4" t="s">
        <v>2545</v>
      </c>
      <c r="J197" s="4" t="s">
        <v>2546</v>
      </c>
      <c r="K197" s="5"/>
      <c r="L197" s="4" t="s">
        <v>153</v>
      </c>
      <c r="M197" s="4" t="s">
        <v>153</v>
      </c>
      <c r="N197" s="4" t="s">
        <v>153</v>
      </c>
      <c r="O197" s="4" t="s">
        <v>153</v>
      </c>
      <c r="P197" s="4" t="s">
        <v>153</v>
      </c>
      <c r="Q197" s="4" t="s">
        <v>153</v>
      </c>
      <c r="R197" s="4" t="s">
        <v>153</v>
      </c>
      <c r="S197" s="4" t="s">
        <v>153</v>
      </c>
      <c r="T197" s="4" t="s">
        <v>153</v>
      </c>
      <c r="U197" s="4" t="s">
        <v>153</v>
      </c>
      <c r="V197" s="4" t="s">
        <v>153</v>
      </c>
      <c r="W197" s="4" t="s">
        <v>153</v>
      </c>
      <c r="X197" s="4" t="s">
        <v>153</v>
      </c>
      <c r="Y197" s="4" t="s">
        <v>153</v>
      </c>
      <c r="Z197" s="4" t="s">
        <v>153</v>
      </c>
      <c r="AA197" s="4" t="s">
        <v>153</v>
      </c>
      <c r="AB197" s="4" t="s">
        <v>153</v>
      </c>
      <c r="AC197" s="4" t="s">
        <v>153</v>
      </c>
      <c r="AD197" s="4" t="s">
        <v>153</v>
      </c>
      <c r="AE197" s="4" t="s">
        <v>153</v>
      </c>
      <c r="AF197" s="4" t="s">
        <v>153</v>
      </c>
      <c r="AG197" s="4" t="s">
        <v>153</v>
      </c>
      <c r="AH197" s="4" t="s">
        <v>153</v>
      </c>
      <c r="AI197" s="5"/>
      <c r="AJ197" t="s">
        <v>153</v>
      </c>
      <c r="AK197" s="4"/>
      <c r="AL197" t="s">
        <v>153</v>
      </c>
      <c r="AM197" t="s">
        <v>153</v>
      </c>
      <c r="AO197" t="s">
        <v>153</v>
      </c>
      <c r="AP197" s="4"/>
      <c r="AQ197" t="s">
        <v>153</v>
      </c>
      <c r="AR197" s="5">
        <v>45535</v>
      </c>
      <c r="AS197">
        <v>1</v>
      </c>
      <c r="AT197" s="4" t="s">
        <v>2547</v>
      </c>
      <c r="AU197" s="4" t="s">
        <v>2548</v>
      </c>
      <c r="AV197" s="4" t="s">
        <v>256</v>
      </c>
      <c r="AW197" t="s">
        <v>153</v>
      </c>
      <c r="AX197" t="s">
        <v>153</v>
      </c>
      <c r="AY197" t="s">
        <v>153</v>
      </c>
      <c r="AZ197" t="s">
        <v>1044</v>
      </c>
      <c r="BA197" t="s">
        <v>2549</v>
      </c>
      <c r="BB197" t="s">
        <v>2550</v>
      </c>
      <c r="BC197" t="s">
        <v>153</v>
      </c>
      <c r="BD197" s="4" t="s">
        <v>2551</v>
      </c>
      <c r="BE197" s="4" t="s">
        <v>2552</v>
      </c>
      <c r="BF197" t="s">
        <v>242</v>
      </c>
      <c r="BG197" s="4" t="s">
        <v>637</v>
      </c>
      <c r="BH197" t="s">
        <v>153</v>
      </c>
      <c r="BI197" s="4" t="s">
        <v>153</v>
      </c>
      <c r="BJ197" t="s">
        <v>153</v>
      </c>
      <c r="BK197" s="4" t="s">
        <v>153</v>
      </c>
      <c r="BL197" t="s">
        <v>153</v>
      </c>
      <c r="BM197" t="s">
        <v>153</v>
      </c>
      <c r="BN197" s="4" t="s">
        <v>153</v>
      </c>
      <c r="BO197" s="4" t="s">
        <v>153</v>
      </c>
      <c r="BP197" s="4" t="s">
        <v>153</v>
      </c>
      <c r="BQ197" s="4" t="s">
        <v>153</v>
      </c>
      <c r="BR197" s="4" t="s">
        <v>153</v>
      </c>
      <c r="BS197" s="4" t="s">
        <v>153</v>
      </c>
      <c r="BT197" s="4" t="s">
        <v>153</v>
      </c>
      <c r="BU197" s="4" t="s">
        <v>153</v>
      </c>
      <c r="BV197" s="4"/>
      <c r="BW197" s="4" t="s">
        <v>153</v>
      </c>
      <c r="BX197" s="4" t="s">
        <v>153</v>
      </c>
      <c r="BY197" s="4" t="s">
        <v>153</v>
      </c>
      <c r="BZ197" s="4" t="s">
        <v>153</v>
      </c>
      <c r="CA197" s="4" t="s">
        <v>153</v>
      </c>
      <c r="CB197" s="4"/>
      <c r="CC197" s="4" t="s">
        <v>153</v>
      </c>
      <c r="CD197" t="s">
        <v>153</v>
      </c>
      <c r="CE197" s="4" t="s">
        <v>153</v>
      </c>
      <c r="CF197" s="4" t="s">
        <v>153</v>
      </c>
      <c r="CG197" s="4" t="s">
        <v>153</v>
      </c>
      <c r="CH197" s="5"/>
      <c r="CI197" t="s">
        <v>153</v>
      </c>
      <c r="CJ197" s="4"/>
      <c r="CK197" t="s">
        <v>153</v>
      </c>
      <c r="CL197" t="s">
        <v>153</v>
      </c>
      <c r="CM197" t="s">
        <v>153</v>
      </c>
      <c r="CN197" t="s">
        <v>153</v>
      </c>
      <c r="CO197" s="5"/>
      <c r="CP197" s="4" t="s">
        <v>153</v>
      </c>
      <c r="CQ197" s="4" t="s">
        <v>153</v>
      </c>
      <c r="CR197" t="s">
        <v>153</v>
      </c>
      <c r="CS197" t="s">
        <v>153</v>
      </c>
      <c r="CT197" t="s">
        <v>153</v>
      </c>
      <c r="CU197" t="s">
        <v>153</v>
      </c>
      <c r="CV197" t="s">
        <v>153</v>
      </c>
      <c r="CW197" t="s">
        <v>153</v>
      </c>
      <c r="CX197" t="s">
        <v>153</v>
      </c>
      <c r="CY197" t="s">
        <v>153</v>
      </c>
      <c r="CZ197" t="s">
        <v>153</v>
      </c>
      <c r="DA197" t="s">
        <v>153</v>
      </c>
      <c r="DB197" t="s">
        <v>153</v>
      </c>
      <c r="DC197" t="s">
        <v>153</v>
      </c>
      <c r="DD197" t="s">
        <v>153</v>
      </c>
      <c r="DE197" t="s">
        <v>153</v>
      </c>
      <c r="DF197" t="s">
        <v>153</v>
      </c>
      <c r="DG197" t="s">
        <v>153</v>
      </c>
      <c r="DI197" t="s">
        <v>153</v>
      </c>
      <c r="DJ197" t="s">
        <v>153</v>
      </c>
      <c r="DK197" t="s">
        <v>153</v>
      </c>
      <c r="DL197" t="s">
        <v>153</v>
      </c>
      <c r="DN197" t="s">
        <v>153</v>
      </c>
      <c r="DO197" t="s">
        <v>153</v>
      </c>
      <c r="DP197" t="s">
        <v>153</v>
      </c>
      <c r="DQ197" t="s">
        <v>153</v>
      </c>
      <c r="DR197" t="s">
        <v>153</v>
      </c>
      <c r="DS197" t="s">
        <v>153</v>
      </c>
      <c r="DT197" t="s">
        <v>153</v>
      </c>
      <c r="DU197" t="s">
        <v>153</v>
      </c>
      <c r="DV197" t="s">
        <v>153</v>
      </c>
      <c r="DW197" t="s">
        <v>153</v>
      </c>
      <c r="DX197" s="2"/>
      <c r="DY197" t="s">
        <v>153</v>
      </c>
      <c r="DZ197" t="s">
        <v>153</v>
      </c>
      <c r="EA197" t="s">
        <v>153</v>
      </c>
      <c r="EB197" t="s">
        <v>153</v>
      </c>
      <c r="EC197" t="s">
        <v>153</v>
      </c>
      <c r="ED197" t="s">
        <v>153</v>
      </c>
      <c r="EE197" t="s">
        <v>153</v>
      </c>
      <c r="EF197" t="s">
        <v>153</v>
      </c>
      <c r="EH197" t="s">
        <v>153</v>
      </c>
      <c r="EI197" t="s">
        <v>153</v>
      </c>
      <c r="EJ197" t="s">
        <v>153</v>
      </c>
      <c r="EK197" t="s">
        <v>153</v>
      </c>
      <c r="EM197" t="s">
        <v>153</v>
      </c>
      <c r="EN197" t="s">
        <v>153</v>
      </c>
      <c r="EP197" s="4" t="s">
        <v>153</v>
      </c>
      <c r="EQ197" s="4" t="s">
        <v>153</v>
      </c>
      <c r="ER197" s="4" t="s">
        <v>191</v>
      </c>
      <c r="ES197" s="4" t="s">
        <v>153</v>
      </c>
      <c r="ET197" t="s">
        <v>153</v>
      </c>
      <c r="EU197" t="s">
        <v>1614</v>
      </c>
      <c r="EV197" t="s">
        <v>1615</v>
      </c>
      <c r="EW197">
        <v>1286347111</v>
      </c>
      <c r="EX197" t="s">
        <v>2553</v>
      </c>
    </row>
    <row r="198" spans="1:154" x14ac:dyDescent="0.25">
      <c r="A198" s="3">
        <v>45609.429895833331</v>
      </c>
      <c r="B198" s="4" t="s">
        <v>153</v>
      </c>
      <c r="C198" s="4" t="s">
        <v>1598</v>
      </c>
      <c r="D198" s="4" t="s">
        <v>1599</v>
      </c>
      <c r="E198" s="4" t="s">
        <v>1600</v>
      </c>
      <c r="F198" s="4" t="s">
        <v>2554</v>
      </c>
      <c r="G198" s="4" t="s">
        <v>252</v>
      </c>
      <c r="H198" s="4" t="s">
        <v>1393</v>
      </c>
      <c r="I198" s="4" t="s">
        <v>2555</v>
      </c>
      <c r="J198" s="4" t="s">
        <v>2556</v>
      </c>
      <c r="K198" s="5"/>
      <c r="L198" s="4" t="s">
        <v>153</v>
      </c>
      <c r="M198" s="4" t="s">
        <v>153</v>
      </c>
      <c r="N198" s="4" t="s">
        <v>153</v>
      </c>
      <c r="O198" s="4" t="s">
        <v>153</v>
      </c>
      <c r="P198" s="4" t="s">
        <v>153</v>
      </c>
      <c r="Q198" s="4" t="s">
        <v>153</v>
      </c>
      <c r="R198" s="4" t="s">
        <v>153</v>
      </c>
      <c r="S198" s="4" t="s">
        <v>153</v>
      </c>
      <c r="T198" s="4" t="s">
        <v>153</v>
      </c>
      <c r="U198" s="4" t="s">
        <v>153</v>
      </c>
      <c r="V198" s="4" t="s">
        <v>153</v>
      </c>
      <c r="W198" s="4" t="s">
        <v>153</v>
      </c>
      <c r="X198" s="4" t="s">
        <v>153</v>
      </c>
      <c r="Y198" s="4" t="s">
        <v>153</v>
      </c>
      <c r="Z198" s="4" t="s">
        <v>153</v>
      </c>
      <c r="AA198" s="4" t="s">
        <v>153</v>
      </c>
      <c r="AB198" s="4" t="s">
        <v>153</v>
      </c>
      <c r="AC198" s="4" t="s">
        <v>153</v>
      </c>
      <c r="AD198" s="4" t="s">
        <v>153</v>
      </c>
      <c r="AE198" s="4" t="s">
        <v>153</v>
      </c>
      <c r="AF198" s="4" t="s">
        <v>153</v>
      </c>
      <c r="AG198" s="4" t="s">
        <v>153</v>
      </c>
      <c r="AH198" s="4" t="s">
        <v>153</v>
      </c>
      <c r="AI198" s="5"/>
      <c r="AJ198" t="s">
        <v>153</v>
      </c>
      <c r="AK198" s="4"/>
      <c r="AL198" t="s">
        <v>153</v>
      </c>
      <c r="AM198" t="s">
        <v>153</v>
      </c>
      <c r="AO198" t="s">
        <v>153</v>
      </c>
      <c r="AP198" s="4"/>
      <c r="AQ198" t="s">
        <v>153</v>
      </c>
      <c r="AR198" s="5">
        <v>45169</v>
      </c>
      <c r="AS198">
        <v>1</v>
      </c>
      <c r="AT198" s="4" t="s">
        <v>829</v>
      </c>
      <c r="AU198" s="4" t="s">
        <v>2557</v>
      </c>
      <c r="AV198" s="4" t="s">
        <v>256</v>
      </c>
      <c r="AW198" t="s">
        <v>153</v>
      </c>
      <c r="AX198" t="s">
        <v>153</v>
      </c>
      <c r="AY198" t="s">
        <v>2558</v>
      </c>
      <c r="AZ198" t="s">
        <v>2559</v>
      </c>
      <c r="BA198" t="s">
        <v>153</v>
      </c>
      <c r="BB198" t="s">
        <v>153</v>
      </c>
      <c r="BC198" t="s">
        <v>153</v>
      </c>
      <c r="BD198" s="4" t="s">
        <v>2560</v>
      </c>
      <c r="BE198" s="4" t="s">
        <v>2561</v>
      </c>
      <c r="BF198" t="s">
        <v>242</v>
      </c>
      <c r="BG198" s="4" t="s">
        <v>927</v>
      </c>
      <c r="BH198" t="s">
        <v>153</v>
      </c>
      <c r="BI198" s="4" t="s">
        <v>153</v>
      </c>
      <c r="BJ198" t="s">
        <v>153</v>
      </c>
      <c r="BK198" s="4" t="s">
        <v>153</v>
      </c>
      <c r="BL198" t="s">
        <v>153</v>
      </c>
      <c r="BM198" t="s">
        <v>153</v>
      </c>
      <c r="BN198" s="4" t="s">
        <v>153</v>
      </c>
      <c r="BO198" s="4" t="s">
        <v>153</v>
      </c>
      <c r="BP198" s="4" t="s">
        <v>153</v>
      </c>
      <c r="BQ198" s="4" t="s">
        <v>153</v>
      </c>
      <c r="BR198" s="4" t="s">
        <v>153</v>
      </c>
      <c r="BS198" s="4" t="s">
        <v>153</v>
      </c>
      <c r="BT198" s="4" t="s">
        <v>153</v>
      </c>
      <c r="BU198" s="4" t="s">
        <v>153</v>
      </c>
      <c r="BV198" s="4"/>
      <c r="BW198" s="4" t="s">
        <v>153</v>
      </c>
      <c r="BX198" s="4" t="s">
        <v>153</v>
      </c>
      <c r="BY198" s="4" t="s">
        <v>153</v>
      </c>
      <c r="BZ198" s="4" t="s">
        <v>153</v>
      </c>
      <c r="CA198" s="4" t="s">
        <v>153</v>
      </c>
      <c r="CB198" s="4"/>
      <c r="CC198" s="4" t="s">
        <v>153</v>
      </c>
      <c r="CD198" t="s">
        <v>153</v>
      </c>
      <c r="CE198" s="4" t="s">
        <v>153</v>
      </c>
      <c r="CF198" s="4" t="s">
        <v>153</v>
      </c>
      <c r="CG198" s="4" t="s">
        <v>153</v>
      </c>
      <c r="CH198" s="5"/>
      <c r="CI198" t="s">
        <v>153</v>
      </c>
      <c r="CJ198" s="4"/>
      <c r="CK198" t="s">
        <v>153</v>
      </c>
      <c r="CL198" t="s">
        <v>153</v>
      </c>
      <c r="CM198" t="s">
        <v>153</v>
      </c>
      <c r="CN198" t="s">
        <v>153</v>
      </c>
      <c r="CO198" s="5"/>
      <c r="CP198" s="4" t="s">
        <v>153</v>
      </c>
      <c r="CQ198" s="4" t="s">
        <v>153</v>
      </c>
      <c r="CR198" t="s">
        <v>153</v>
      </c>
      <c r="CS198" t="s">
        <v>153</v>
      </c>
      <c r="CT198" t="s">
        <v>153</v>
      </c>
      <c r="CU198" t="s">
        <v>153</v>
      </c>
      <c r="CV198" t="s">
        <v>153</v>
      </c>
      <c r="CW198" t="s">
        <v>153</v>
      </c>
      <c r="CX198" t="s">
        <v>153</v>
      </c>
      <c r="CY198" t="s">
        <v>153</v>
      </c>
      <c r="CZ198" t="s">
        <v>153</v>
      </c>
      <c r="DA198" t="s">
        <v>153</v>
      </c>
      <c r="DB198" t="s">
        <v>153</v>
      </c>
      <c r="DC198" t="s">
        <v>153</v>
      </c>
      <c r="DD198" t="s">
        <v>153</v>
      </c>
      <c r="DE198" t="s">
        <v>153</v>
      </c>
      <c r="DF198" t="s">
        <v>153</v>
      </c>
      <c r="DG198" t="s">
        <v>153</v>
      </c>
      <c r="DI198" t="s">
        <v>153</v>
      </c>
      <c r="DJ198" t="s">
        <v>153</v>
      </c>
      <c r="DK198" t="s">
        <v>153</v>
      </c>
      <c r="DL198" t="s">
        <v>153</v>
      </c>
      <c r="DN198" t="s">
        <v>153</v>
      </c>
      <c r="DO198" t="s">
        <v>153</v>
      </c>
      <c r="DP198" t="s">
        <v>153</v>
      </c>
      <c r="DQ198" t="s">
        <v>153</v>
      </c>
      <c r="DR198" t="s">
        <v>153</v>
      </c>
      <c r="DS198" t="s">
        <v>153</v>
      </c>
      <c r="DT198" t="s">
        <v>153</v>
      </c>
      <c r="DU198" t="s">
        <v>153</v>
      </c>
      <c r="DV198" t="s">
        <v>153</v>
      </c>
      <c r="DW198" t="s">
        <v>153</v>
      </c>
      <c r="DX198" s="2"/>
      <c r="DY198" t="s">
        <v>153</v>
      </c>
      <c r="DZ198" t="s">
        <v>153</v>
      </c>
      <c r="EA198" t="s">
        <v>153</v>
      </c>
      <c r="EB198" t="s">
        <v>153</v>
      </c>
      <c r="EC198" t="s">
        <v>153</v>
      </c>
      <c r="ED198" t="s">
        <v>153</v>
      </c>
      <c r="EE198" t="s">
        <v>153</v>
      </c>
      <c r="EF198" t="s">
        <v>153</v>
      </c>
      <c r="EH198" t="s">
        <v>153</v>
      </c>
      <c r="EI198" t="s">
        <v>153</v>
      </c>
      <c r="EJ198" t="s">
        <v>153</v>
      </c>
      <c r="EK198" t="s">
        <v>153</v>
      </c>
      <c r="EM198" t="s">
        <v>153</v>
      </c>
      <c r="EN198" t="s">
        <v>153</v>
      </c>
      <c r="EP198" s="4" t="s">
        <v>153</v>
      </c>
      <c r="EQ198" s="4" t="s">
        <v>153</v>
      </c>
      <c r="ER198" s="4" t="s">
        <v>191</v>
      </c>
      <c r="ES198" s="4" t="s">
        <v>153</v>
      </c>
      <c r="ET198" t="s">
        <v>153</v>
      </c>
      <c r="EU198" t="s">
        <v>1614</v>
      </c>
      <c r="EV198" t="s">
        <v>1615</v>
      </c>
      <c r="EW198">
        <v>1286351053</v>
      </c>
      <c r="EX198" t="s">
        <v>2553</v>
      </c>
    </row>
    <row r="199" spans="1:154" x14ac:dyDescent="0.25">
      <c r="A199" s="3">
        <v>45611.54</v>
      </c>
      <c r="B199" s="4" t="s">
        <v>153</v>
      </c>
      <c r="C199" s="4" t="s">
        <v>2562</v>
      </c>
      <c r="D199" s="4" t="s">
        <v>2563</v>
      </c>
      <c r="E199" s="4" t="s">
        <v>2564</v>
      </c>
      <c r="F199" s="4" t="s">
        <v>2565</v>
      </c>
      <c r="G199" s="4" t="s">
        <v>423</v>
      </c>
      <c r="H199" s="4" t="s">
        <v>2214</v>
      </c>
      <c r="I199" s="4" t="s">
        <v>2566</v>
      </c>
      <c r="J199" s="4" t="s">
        <v>153</v>
      </c>
      <c r="K199" s="5"/>
      <c r="L199" s="4" t="s">
        <v>153</v>
      </c>
      <c r="M199" s="4" t="s">
        <v>153</v>
      </c>
      <c r="N199" s="4" t="s">
        <v>153</v>
      </c>
      <c r="O199" s="4" t="s">
        <v>153</v>
      </c>
      <c r="P199" s="4" t="s">
        <v>153</v>
      </c>
      <c r="Q199" s="4" t="s">
        <v>153</v>
      </c>
      <c r="R199" s="4" t="s">
        <v>153</v>
      </c>
      <c r="S199" s="4" t="s">
        <v>153</v>
      </c>
      <c r="T199" s="4" t="s">
        <v>153</v>
      </c>
      <c r="U199" s="4" t="s">
        <v>153</v>
      </c>
      <c r="V199" s="4" t="s">
        <v>153</v>
      </c>
      <c r="W199" s="4" t="s">
        <v>153</v>
      </c>
      <c r="X199" s="4" t="s">
        <v>153</v>
      </c>
      <c r="Y199" s="4" t="s">
        <v>153</v>
      </c>
      <c r="Z199" s="4" t="s">
        <v>153</v>
      </c>
      <c r="AA199" s="4" t="s">
        <v>153</v>
      </c>
      <c r="AB199" s="4" t="s">
        <v>153</v>
      </c>
      <c r="AC199" s="4" t="s">
        <v>153</v>
      </c>
      <c r="AD199" s="4" t="s">
        <v>153</v>
      </c>
      <c r="AE199" s="4" t="s">
        <v>153</v>
      </c>
      <c r="AF199" s="4" t="s">
        <v>153</v>
      </c>
      <c r="AG199" s="4" t="s">
        <v>153</v>
      </c>
      <c r="AH199" s="4" t="s">
        <v>153</v>
      </c>
      <c r="AI199" s="5"/>
      <c r="AJ199" t="s">
        <v>153</v>
      </c>
      <c r="AK199" s="4"/>
      <c r="AL199" t="s">
        <v>153</v>
      </c>
      <c r="AM199" t="s">
        <v>153</v>
      </c>
      <c r="AO199" t="s">
        <v>153</v>
      </c>
      <c r="AP199" s="4"/>
      <c r="AQ199" t="s">
        <v>153</v>
      </c>
      <c r="AR199" s="5"/>
      <c r="AT199" s="4" t="s">
        <v>153</v>
      </c>
      <c r="AU199" s="4" t="s">
        <v>153</v>
      </c>
      <c r="AV199" s="4" t="s">
        <v>153</v>
      </c>
      <c r="AW199" t="s">
        <v>153</v>
      </c>
      <c r="AX199" t="s">
        <v>153</v>
      </c>
      <c r="AY199" t="s">
        <v>153</v>
      </c>
      <c r="AZ199" t="s">
        <v>153</v>
      </c>
      <c r="BA199" t="s">
        <v>153</v>
      </c>
      <c r="BB199" t="s">
        <v>153</v>
      </c>
      <c r="BC199" t="s">
        <v>153</v>
      </c>
      <c r="BD199" s="4" t="s">
        <v>153</v>
      </c>
      <c r="BE199" s="4" t="s">
        <v>153</v>
      </c>
      <c r="BF199" t="s">
        <v>153</v>
      </c>
      <c r="BG199" s="4" t="s">
        <v>153</v>
      </c>
      <c r="BH199" t="s">
        <v>153</v>
      </c>
      <c r="BI199" s="4" t="s">
        <v>2567</v>
      </c>
      <c r="BJ199" t="s">
        <v>153</v>
      </c>
      <c r="BK199" s="4" t="s">
        <v>153</v>
      </c>
      <c r="BL199" t="s">
        <v>2562</v>
      </c>
      <c r="BM199" t="s">
        <v>2563</v>
      </c>
      <c r="BN199" s="4" t="s">
        <v>153</v>
      </c>
      <c r="BO199" s="4" t="s">
        <v>153</v>
      </c>
      <c r="BP199" s="4" t="s">
        <v>153</v>
      </c>
      <c r="BQ199" s="4" t="s">
        <v>153</v>
      </c>
      <c r="BR199" s="4" t="s">
        <v>2568</v>
      </c>
      <c r="BS199" s="4" t="s">
        <v>2569</v>
      </c>
      <c r="BT199" s="4" t="s">
        <v>2570</v>
      </c>
      <c r="BU199" s="4" t="s">
        <v>476</v>
      </c>
      <c r="BV199" s="4">
        <v>67212</v>
      </c>
      <c r="BW199" s="4" t="s">
        <v>430</v>
      </c>
      <c r="BX199" s="4" t="s">
        <v>2571</v>
      </c>
      <c r="BY199" s="4" t="s">
        <v>2572</v>
      </c>
      <c r="BZ199" s="4" t="s">
        <v>2570</v>
      </c>
      <c r="CA199" s="4" t="s">
        <v>476</v>
      </c>
      <c r="CB199" s="4">
        <v>67212</v>
      </c>
      <c r="CC199" s="4" t="s">
        <v>430</v>
      </c>
      <c r="CD199" t="s">
        <v>2573</v>
      </c>
      <c r="CE199" s="4" t="s">
        <v>2574</v>
      </c>
      <c r="CF199" s="4" t="s">
        <v>2575</v>
      </c>
      <c r="CG199" s="4" t="s">
        <v>2576</v>
      </c>
      <c r="CH199" s="5"/>
      <c r="CI199" t="s">
        <v>153</v>
      </c>
      <c r="CJ199" s="4"/>
      <c r="CK199" t="s">
        <v>153</v>
      </c>
      <c r="CL199" t="s">
        <v>153</v>
      </c>
      <c r="CM199" t="s">
        <v>153</v>
      </c>
      <c r="CN199" t="s">
        <v>153</v>
      </c>
      <c r="CO199" s="5"/>
      <c r="CP199" s="4" t="s">
        <v>153</v>
      </c>
      <c r="CQ199" s="4" t="s">
        <v>153</v>
      </c>
      <c r="CR199" t="s">
        <v>153</v>
      </c>
      <c r="CS199" t="s">
        <v>153</v>
      </c>
      <c r="CT199" t="s">
        <v>153</v>
      </c>
      <c r="CU199" t="s">
        <v>153</v>
      </c>
      <c r="CV199" t="s">
        <v>153</v>
      </c>
      <c r="CW199" t="s">
        <v>153</v>
      </c>
      <c r="CX199" t="s">
        <v>153</v>
      </c>
      <c r="CY199" t="s">
        <v>153</v>
      </c>
      <c r="CZ199" t="s">
        <v>153</v>
      </c>
      <c r="DA199" t="s">
        <v>153</v>
      </c>
      <c r="DB199" t="s">
        <v>153</v>
      </c>
      <c r="DC199" t="s">
        <v>153</v>
      </c>
      <c r="DD199" t="s">
        <v>153</v>
      </c>
      <c r="DE199" t="s">
        <v>153</v>
      </c>
      <c r="DF199" t="s">
        <v>153</v>
      </c>
      <c r="DG199" t="s">
        <v>153</v>
      </c>
      <c r="DI199" t="s">
        <v>153</v>
      </c>
      <c r="DJ199" t="s">
        <v>153</v>
      </c>
      <c r="DK199" t="s">
        <v>153</v>
      </c>
      <c r="DL199" t="s">
        <v>153</v>
      </c>
      <c r="DN199" t="s">
        <v>153</v>
      </c>
      <c r="DO199" t="s">
        <v>153</v>
      </c>
      <c r="DP199" t="s">
        <v>153</v>
      </c>
      <c r="DQ199" t="s">
        <v>153</v>
      </c>
      <c r="DR199" t="s">
        <v>153</v>
      </c>
      <c r="DS199" t="s">
        <v>153</v>
      </c>
      <c r="DT199" t="s">
        <v>153</v>
      </c>
      <c r="DU199" t="s">
        <v>153</v>
      </c>
      <c r="DV199" t="s">
        <v>153</v>
      </c>
      <c r="DW199" t="s">
        <v>153</v>
      </c>
      <c r="DX199" s="2"/>
      <c r="DY199" t="s">
        <v>153</v>
      </c>
      <c r="DZ199" t="s">
        <v>153</v>
      </c>
      <c r="EA199" t="s">
        <v>153</v>
      </c>
      <c r="EB199" t="s">
        <v>153</v>
      </c>
      <c r="EC199" t="s">
        <v>153</v>
      </c>
      <c r="ED199" t="s">
        <v>153</v>
      </c>
      <c r="EE199" t="s">
        <v>153</v>
      </c>
      <c r="EF199" t="s">
        <v>153</v>
      </c>
      <c r="EH199" t="s">
        <v>153</v>
      </c>
      <c r="EI199" t="s">
        <v>153</v>
      </c>
      <c r="EJ199" t="s">
        <v>153</v>
      </c>
      <c r="EK199" t="s">
        <v>153</v>
      </c>
      <c r="EM199" t="s">
        <v>153</v>
      </c>
      <c r="EN199" t="s">
        <v>153</v>
      </c>
      <c r="EP199" s="4" t="s">
        <v>153</v>
      </c>
      <c r="EQ199" s="4" t="s">
        <v>153</v>
      </c>
      <c r="ER199" s="4" t="s">
        <v>153</v>
      </c>
      <c r="ES199" s="4" t="s">
        <v>153</v>
      </c>
      <c r="ET199" t="s">
        <v>153</v>
      </c>
      <c r="EU199" t="s">
        <v>2507</v>
      </c>
      <c r="EV199" t="s">
        <v>2577</v>
      </c>
      <c r="EW199">
        <v>1287617011</v>
      </c>
      <c r="EX199" t="s">
        <v>1865</v>
      </c>
    </row>
    <row r="200" spans="1:154" x14ac:dyDescent="0.25">
      <c r="A200" s="3">
        <v>45626.482048611113</v>
      </c>
      <c r="B200" s="4" t="s">
        <v>153</v>
      </c>
      <c r="C200" s="4" t="s">
        <v>892</v>
      </c>
      <c r="D200" s="4" t="s">
        <v>893</v>
      </c>
      <c r="E200" s="4" t="s">
        <v>894</v>
      </c>
      <c r="F200" s="4" t="s">
        <v>895</v>
      </c>
      <c r="G200" s="4" t="s">
        <v>948</v>
      </c>
      <c r="H200" s="4" t="s">
        <v>542</v>
      </c>
      <c r="I200" s="4" t="s">
        <v>2578</v>
      </c>
      <c r="J200" s="4" t="s">
        <v>2579</v>
      </c>
      <c r="K200" s="5">
        <v>45586</v>
      </c>
      <c r="L200" s="4" t="s">
        <v>1873</v>
      </c>
      <c r="M200" s="4" t="s">
        <v>2578</v>
      </c>
      <c r="N200" s="4" t="s">
        <v>1427</v>
      </c>
      <c r="O200" s="4" t="s">
        <v>153</v>
      </c>
      <c r="P200" s="4" t="s">
        <v>153</v>
      </c>
      <c r="Q200" s="4" t="s">
        <v>153</v>
      </c>
      <c r="R200" s="4" t="s">
        <v>153</v>
      </c>
      <c r="S200" s="4" t="s">
        <v>153</v>
      </c>
      <c r="T200" s="4" t="s">
        <v>153</v>
      </c>
      <c r="U200" s="4" t="s">
        <v>153</v>
      </c>
      <c r="V200" s="4" t="s">
        <v>153</v>
      </c>
      <c r="W200" s="4" t="s">
        <v>153</v>
      </c>
      <c r="X200" s="4" t="s">
        <v>153</v>
      </c>
      <c r="Y200" s="4" t="s">
        <v>153</v>
      </c>
      <c r="Z200" s="4" t="s">
        <v>153</v>
      </c>
      <c r="AA200" s="4" t="s">
        <v>153</v>
      </c>
      <c r="AB200" s="4" t="s">
        <v>153</v>
      </c>
      <c r="AC200" s="4" t="s">
        <v>153</v>
      </c>
      <c r="AD200" s="4" t="s">
        <v>153</v>
      </c>
      <c r="AE200" s="4" t="s">
        <v>153</v>
      </c>
      <c r="AF200" s="4" t="s">
        <v>153</v>
      </c>
      <c r="AG200" s="4" t="s">
        <v>153</v>
      </c>
      <c r="AH200" s="4" t="s">
        <v>153</v>
      </c>
      <c r="AI200" s="5"/>
      <c r="AJ200" t="s">
        <v>153</v>
      </c>
      <c r="AK200" s="4"/>
      <c r="AL200" t="s">
        <v>153</v>
      </c>
      <c r="AM200" t="s">
        <v>153</v>
      </c>
      <c r="AO200" t="s">
        <v>153</v>
      </c>
      <c r="AP200" s="4"/>
      <c r="AQ200" t="s">
        <v>153</v>
      </c>
      <c r="AR200" s="5">
        <v>45586</v>
      </c>
      <c r="AS200">
        <v>1</v>
      </c>
      <c r="AT200" s="4" t="s">
        <v>1428</v>
      </c>
      <c r="AU200" s="4" t="s">
        <v>1429</v>
      </c>
      <c r="AV200" s="4" t="s">
        <v>359</v>
      </c>
      <c r="AW200" t="s">
        <v>153</v>
      </c>
      <c r="AX200" t="s">
        <v>153</v>
      </c>
      <c r="AY200" t="s">
        <v>153</v>
      </c>
      <c r="AZ200" t="s">
        <v>2580</v>
      </c>
      <c r="BA200" t="s">
        <v>153</v>
      </c>
      <c r="BB200" t="s">
        <v>153</v>
      </c>
      <c r="BC200" t="s">
        <v>153</v>
      </c>
      <c r="BD200" s="4" t="s">
        <v>2581</v>
      </c>
      <c r="BE200" s="4" t="s">
        <v>2582</v>
      </c>
      <c r="BF200" t="s">
        <v>242</v>
      </c>
      <c r="BG200" s="4" t="s">
        <v>927</v>
      </c>
      <c r="BH200" t="s">
        <v>153</v>
      </c>
      <c r="BI200" s="4" t="s">
        <v>153</v>
      </c>
      <c r="BJ200" t="s">
        <v>153</v>
      </c>
      <c r="BK200" s="4" t="s">
        <v>153</v>
      </c>
      <c r="BL200" t="s">
        <v>153</v>
      </c>
      <c r="BM200" t="s">
        <v>153</v>
      </c>
      <c r="BN200" s="4" t="s">
        <v>153</v>
      </c>
      <c r="BO200" s="4" t="s">
        <v>153</v>
      </c>
      <c r="BP200" s="4" t="s">
        <v>153</v>
      </c>
      <c r="BQ200" s="4" t="s">
        <v>153</v>
      </c>
      <c r="BR200" s="4" t="s">
        <v>153</v>
      </c>
      <c r="BS200" s="4" t="s">
        <v>153</v>
      </c>
      <c r="BT200" s="4" t="s">
        <v>153</v>
      </c>
      <c r="BU200" s="4" t="s">
        <v>153</v>
      </c>
      <c r="BV200" s="4"/>
      <c r="BW200" s="4" t="s">
        <v>153</v>
      </c>
      <c r="BX200" s="4" t="s">
        <v>153</v>
      </c>
      <c r="BY200" s="4" t="s">
        <v>153</v>
      </c>
      <c r="BZ200" s="4" t="s">
        <v>153</v>
      </c>
      <c r="CA200" s="4" t="s">
        <v>153</v>
      </c>
      <c r="CB200" s="4"/>
      <c r="CC200" s="4" t="s">
        <v>153</v>
      </c>
      <c r="CD200" t="s">
        <v>153</v>
      </c>
      <c r="CE200" s="4" t="s">
        <v>153</v>
      </c>
      <c r="CF200" s="4" t="s">
        <v>153</v>
      </c>
      <c r="CG200" s="4" t="s">
        <v>153</v>
      </c>
      <c r="CH200" s="5"/>
      <c r="CI200" t="s">
        <v>153</v>
      </c>
      <c r="CJ200" s="4"/>
      <c r="CK200" t="s">
        <v>153</v>
      </c>
      <c r="CL200" t="s">
        <v>153</v>
      </c>
      <c r="CM200" t="s">
        <v>153</v>
      </c>
      <c r="CN200" t="s">
        <v>153</v>
      </c>
      <c r="CO200" s="5"/>
      <c r="CP200" s="4" t="s">
        <v>153</v>
      </c>
      <c r="CQ200" s="4" t="s">
        <v>153</v>
      </c>
      <c r="CR200" t="s">
        <v>153</v>
      </c>
      <c r="CS200" t="s">
        <v>153</v>
      </c>
      <c r="CT200" t="s">
        <v>153</v>
      </c>
      <c r="CU200" t="s">
        <v>153</v>
      </c>
      <c r="CV200" t="s">
        <v>153</v>
      </c>
      <c r="CW200" t="s">
        <v>153</v>
      </c>
      <c r="CX200" t="s">
        <v>153</v>
      </c>
      <c r="CY200" t="s">
        <v>153</v>
      </c>
      <c r="CZ200" t="s">
        <v>153</v>
      </c>
      <c r="DA200" t="s">
        <v>153</v>
      </c>
      <c r="DB200" t="s">
        <v>153</v>
      </c>
      <c r="DC200" t="s">
        <v>153</v>
      </c>
      <c r="DD200" t="s">
        <v>153</v>
      </c>
      <c r="DE200" t="s">
        <v>153</v>
      </c>
      <c r="DF200" t="s">
        <v>153</v>
      </c>
      <c r="DG200" t="s">
        <v>153</v>
      </c>
      <c r="DI200" t="s">
        <v>153</v>
      </c>
      <c r="DJ200" t="s">
        <v>153</v>
      </c>
      <c r="DK200" t="s">
        <v>153</v>
      </c>
      <c r="DL200" t="s">
        <v>153</v>
      </c>
      <c r="DN200" t="s">
        <v>153</v>
      </c>
      <c r="DO200" t="s">
        <v>153</v>
      </c>
      <c r="DP200" t="s">
        <v>153</v>
      </c>
      <c r="DQ200" t="s">
        <v>153</v>
      </c>
      <c r="DR200" t="s">
        <v>153</v>
      </c>
      <c r="DS200" t="s">
        <v>153</v>
      </c>
      <c r="DT200" t="s">
        <v>153</v>
      </c>
      <c r="DU200" t="s">
        <v>153</v>
      </c>
      <c r="DV200" t="s">
        <v>153</v>
      </c>
      <c r="DW200" t="s">
        <v>153</v>
      </c>
      <c r="DX200" s="2"/>
      <c r="DY200" t="s">
        <v>153</v>
      </c>
      <c r="DZ200" t="s">
        <v>153</v>
      </c>
      <c r="EA200" t="s">
        <v>153</v>
      </c>
      <c r="EB200" t="s">
        <v>153</v>
      </c>
      <c r="EC200" t="s">
        <v>153</v>
      </c>
      <c r="ED200" t="s">
        <v>153</v>
      </c>
      <c r="EE200" t="s">
        <v>153</v>
      </c>
      <c r="EF200" t="s">
        <v>153</v>
      </c>
      <c r="EH200" t="s">
        <v>153</v>
      </c>
      <c r="EI200" t="s">
        <v>153</v>
      </c>
      <c r="EJ200" t="s">
        <v>153</v>
      </c>
      <c r="EK200" t="s">
        <v>153</v>
      </c>
      <c r="EM200" t="s">
        <v>153</v>
      </c>
      <c r="EN200" t="s">
        <v>153</v>
      </c>
      <c r="EP200" s="4" t="s">
        <v>153</v>
      </c>
      <c r="EQ200" s="4" t="s">
        <v>153</v>
      </c>
      <c r="ER200" s="4" t="s">
        <v>153</v>
      </c>
      <c r="ES200" s="4" t="s">
        <v>153</v>
      </c>
      <c r="ET200" t="s">
        <v>153</v>
      </c>
      <c r="EU200" t="s">
        <v>2583</v>
      </c>
      <c r="EV200" t="s">
        <v>2584</v>
      </c>
      <c r="EW200">
        <v>1292306202</v>
      </c>
      <c r="EX200" t="s">
        <v>2585</v>
      </c>
    </row>
    <row r="201" spans="1:154" x14ac:dyDescent="0.25">
      <c r="A201" s="3">
        <v>45629.653784722221</v>
      </c>
      <c r="B201" s="4" t="s">
        <v>153</v>
      </c>
      <c r="C201" s="4" t="s">
        <v>1857</v>
      </c>
      <c r="D201" s="4" t="s">
        <v>1858</v>
      </c>
      <c r="E201" s="4" t="s">
        <v>1859</v>
      </c>
      <c r="F201" s="4" t="s">
        <v>1860</v>
      </c>
      <c r="G201" s="4" t="s">
        <v>948</v>
      </c>
      <c r="H201" s="4" t="s">
        <v>2214</v>
      </c>
      <c r="I201" s="4" t="s">
        <v>1184</v>
      </c>
      <c r="J201" s="4" t="s">
        <v>153</v>
      </c>
      <c r="K201" s="5">
        <v>45613</v>
      </c>
      <c r="L201" s="4" t="s">
        <v>403</v>
      </c>
      <c r="M201" s="4" t="s">
        <v>1184</v>
      </c>
      <c r="N201" s="4" t="s">
        <v>153</v>
      </c>
      <c r="O201" s="4" t="s">
        <v>562</v>
      </c>
      <c r="P201" s="4" t="s">
        <v>1186</v>
      </c>
      <c r="Q201" s="4" t="s">
        <v>153</v>
      </c>
      <c r="R201" s="4" t="s">
        <v>153</v>
      </c>
      <c r="S201" s="4" t="s">
        <v>153</v>
      </c>
      <c r="T201" s="4" t="s">
        <v>153</v>
      </c>
      <c r="U201" s="4" t="s">
        <v>2586</v>
      </c>
      <c r="V201" s="4" t="s">
        <v>153</v>
      </c>
      <c r="W201" s="4" t="s">
        <v>1191</v>
      </c>
      <c r="X201" s="4" t="s">
        <v>1192</v>
      </c>
      <c r="Y201" s="4" t="s">
        <v>1193</v>
      </c>
      <c r="Z201" s="4" t="s">
        <v>237</v>
      </c>
      <c r="AA201" s="4" t="s">
        <v>2587</v>
      </c>
      <c r="AB201" s="4" t="s">
        <v>153</v>
      </c>
      <c r="AC201" s="4" t="s">
        <v>1191</v>
      </c>
      <c r="AD201" s="4" t="s">
        <v>1192</v>
      </c>
      <c r="AE201" s="4" t="s">
        <v>1193</v>
      </c>
      <c r="AF201" s="4" t="s">
        <v>1194</v>
      </c>
      <c r="AG201" s="4" t="s">
        <v>1195</v>
      </c>
      <c r="AH201" s="4" t="s">
        <v>153</v>
      </c>
      <c r="AI201" s="5"/>
      <c r="AJ201" t="s">
        <v>153</v>
      </c>
      <c r="AK201" s="4"/>
      <c r="AL201" t="s">
        <v>153</v>
      </c>
      <c r="AM201" t="s">
        <v>1090</v>
      </c>
      <c r="AO201" t="s">
        <v>2588</v>
      </c>
      <c r="AP201" s="4">
        <v>931659562</v>
      </c>
      <c r="AQ201" t="s">
        <v>2589</v>
      </c>
      <c r="AR201" s="5"/>
      <c r="AT201" s="4" t="s">
        <v>153</v>
      </c>
      <c r="AU201" s="4" t="s">
        <v>153</v>
      </c>
      <c r="AV201" s="4" t="s">
        <v>153</v>
      </c>
      <c r="AW201" t="s">
        <v>153</v>
      </c>
      <c r="AX201" t="s">
        <v>153</v>
      </c>
      <c r="AY201" t="s">
        <v>153</v>
      </c>
      <c r="AZ201" t="s">
        <v>153</v>
      </c>
      <c r="BA201" t="s">
        <v>153</v>
      </c>
      <c r="BB201" t="s">
        <v>153</v>
      </c>
      <c r="BC201" t="s">
        <v>153</v>
      </c>
      <c r="BD201" s="4" t="s">
        <v>153</v>
      </c>
      <c r="BE201" s="4" t="s">
        <v>153</v>
      </c>
      <c r="BF201" t="s">
        <v>153</v>
      </c>
      <c r="BG201" s="4" t="s">
        <v>153</v>
      </c>
      <c r="BH201" t="s">
        <v>153</v>
      </c>
      <c r="BI201" s="4" t="s">
        <v>153</v>
      </c>
      <c r="BJ201" t="s">
        <v>153</v>
      </c>
      <c r="BK201" s="4" t="s">
        <v>153</v>
      </c>
      <c r="BL201" t="s">
        <v>153</v>
      </c>
      <c r="BM201" t="s">
        <v>153</v>
      </c>
      <c r="BN201" s="4" t="s">
        <v>153</v>
      </c>
      <c r="BO201" s="4" t="s">
        <v>153</v>
      </c>
      <c r="BP201" s="4" t="s">
        <v>153</v>
      </c>
      <c r="BQ201" s="4" t="s">
        <v>153</v>
      </c>
      <c r="BR201" s="4" t="s">
        <v>153</v>
      </c>
      <c r="BS201" s="4" t="s">
        <v>153</v>
      </c>
      <c r="BT201" s="4" t="s">
        <v>153</v>
      </c>
      <c r="BU201" s="4" t="s">
        <v>153</v>
      </c>
      <c r="BV201" s="4"/>
      <c r="BW201" s="4" t="s">
        <v>153</v>
      </c>
      <c r="BX201" s="4" t="s">
        <v>153</v>
      </c>
      <c r="BY201" s="4" t="s">
        <v>153</v>
      </c>
      <c r="BZ201" s="4" t="s">
        <v>153</v>
      </c>
      <c r="CA201" s="4" t="s">
        <v>153</v>
      </c>
      <c r="CB201" s="4"/>
      <c r="CC201" s="4" t="s">
        <v>153</v>
      </c>
      <c r="CD201" t="s">
        <v>153</v>
      </c>
      <c r="CE201" s="4" t="s">
        <v>153</v>
      </c>
      <c r="CF201" s="4" t="s">
        <v>153</v>
      </c>
      <c r="CG201" s="4" t="s">
        <v>153</v>
      </c>
      <c r="CH201" s="5"/>
      <c r="CI201" t="s">
        <v>153</v>
      </c>
      <c r="CJ201" s="4"/>
      <c r="CK201" t="s">
        <v>153</v>
      </c>
      <c r="CL201" t="s">
        <v>153</v>
      </c>
      <c r="CM201" t="s">
        <v>153</v>
      </c>
      <c r="CN201" t="s">
        <v>153</v>
      </c>
      <c r="CO201" s="5"/>
      <c r="CP201" s="4" t="s">
        <v>153</v>
      </c>
      <c r="CQ201" s="4" t="s">
        <v>153</v>
      </c>
      <c r="CR201" t="s">
        <v>153</v>
      </c>
      <c r="CS201" t="s">
        <v>153</v>
      </c>
      <c r="CT201" t="s">
        <v>153</v>
      </c>
      <c r="CU201" t="s">
        <v>153</v>
      </c>
      <c r="CV201" t="s">
        <v>153</v>
      </c>
      <c r="CW201" t="s">
        <v>153</v>
      </c>
      <c r="CX201" t="s">
        <v>153</v>
      </c>
      <c r="CY201" t="s">
        <v>153</v>
      </c>
      <c r="CZ201" t="s">
        <v>153</v>
      </c>
      <c r="DA201" t="s">
        <v>153</v>
      </c>
      <c r="DB201" t="s">
        <v>153</v>
      </c>
      <c r="DC201" t="s">
        <v>153</v>
      </c>
      <c r="DD201" t="s">
        <v>153</v>
      </c>
      <c r="DE201" t="s">
        <v>153</v>
      </c>
      <c r="DF201" t="s">
        <v>153</v>
      </c>
      <c r="DG201" t="s">
        <v>153</v>
      </c>
      <c r="DI201" t="s">
        <v>153</v>
      </c>
      <c r="DJ201" t="s">
        <v>153</v>
      </c>
      <c r="DK201" t="s">
        <v>153</v>
      </c>
      <c r="DL201" t="s">
        <v>153</v>
      </c>
      <c r="DN201" t="s">
        <v>153</v>
      </c>
      <c r="DO201" t="s">
        <v>153</v>
      </c>
      <c r="DP201" t="s">
        <v>153</v>
      </c>
      <c r="DQ201" t="s">
        <v>153</v>
      </c>
      <c r="DR201" t="s">
        <v>153</v>
      </c>
      <c r="DS201" t="s">
        <v>153</v>
      </c>
      <c r="DT201" t="s">
        <v>153</v>
      </c>
      <c r="DU201" t="s">
        <v>153</v>
      </c>
      <c r="DV201" t="s">
        <v>153</v>
      </c>
      <c r="DW201" t="s">
        <v>153</v>
      </c>
      <c r="DX201" s="2"/>
      <c r="DY201" t="s">
        <v>153</v>
      </c>
      <c r="DZ201" t="s">
        <v>153</v>
      </c>
      <c r="EA201" t="s">
        <v>153</v>
      </c>
      <c r="EB201" t="s">
        <v>153</v>
      </c>
      <c r="EC201" t="s">
        <v>153</v>
      </c>
      <c r="ED201" t="s">
        <v>153</v>
      </c>
      <c r="EE201" t="s">
        <v>153</v>
      </c>
      <c r="EF201" t="s">
        <v>153</v>
      </c>
      <c r="EH201" t="s">
        <v>153</v>
      </c>
      <c r="EI201" t="s">
        <v>153</v>
      </c>
      <c r="EJ201" t="s">
        <v>153</v>
      </c>
      <c r="EK201" t="s">
        <v>153</v>
      </c>
      <c r="EM201" t="s">
        <v>153</v>
      </c>
      <c r="EN201" t="s">
        <v>153</v>
      </c>
      <c r="EP201" s="4" t="s">
        <v>153</v>
      </c>
      <c r="EQ201" s="4" t="s">
        <v>153</v>
      </c>
      <c r="ER201" s="4" t="s">
        <v>153</v>
      </c>
      <c r="ES201" s="4" t="s">
        <v>153</v>
      </c>
      <c r="ET201" t="s">
        <v>153</v>
      </c>
      <c r="EU201" t="s">
        <v>2583</v>
      </c>
      <c r="EV201" t="s">
        <v>1864</v>
      </c>
      <c r="EW201">
        <v>1293310801</v>
      </c>
      <c r="EX201" t="s">
        <v>2590</v>
      </c>
    </row>
    <row r="202" spans="1:154" x14ac:dyDescent="0.25">
      <c r="A202" s="3">
        <v>45659.609016203707</v>
      </c>
      <c r="B202" s="4" t="s">
        <v>153</v>
      </c>
      <c r="C202" s="4" t="s">
        <v>285</v>
      </c>
      <c r="D202" s="4" t="s">
        <v>286</v>
      </c>
      <c r="E202" s="4" t="s">
        <v>287</v>
      </c>
      <c r="F202" s="4" t="s">
        <v>288</v>
      </c>
      <c r="G202" s="4" t="s">
        <v>252</v>
      </c>
      <c r="H202" s="4" t="s">
        <v>289</v>
      </c>
      <c r="I202" s="4" t="s">
        <v>2591</v>
      </c>
      <c r="J202" s="4" t="s">
        <v>2592</v>
      </c>
      <c r="K202" s="5"/>
      <c r="L202" s="4" t="s">
        <v>153</v>
      </c>
      <c r="M202" s="4" t="s">
        <v>153</v>
      </c>
      <c r="N202" s="4" t="s">
        <v>153</v>
      </c>
      <c r="O202" s="4" t="s">
        <v>153</v>
      </c>
      <c r="P202" s="4" t="s">
        <v>153</v>
      </c>
      <c r="Q202" s="4" t="s">
        <v>153</v>
      </c>
      <c r="R202" s="4" t="s">
        <v>153</v>
      </c>
      <c r="S202" s="4" t="s">
        <v>153</v>
      </c>
      <c r="T202" s="4" t="s">
        <v>153</v>
      </c>
      <c r="U202" s="4" t="s">
        <v>153</v>
      </c>
      <c r="V202" s="4" t="s">
        <v>153</v>
      </c>
      <c r="W202" s="4" t="s">
        <v>153</v>
      </c>
      <c r="X202" s="4" t="s">
        <v>153</v>
      </c>
      <c r="Y202" s="4" t="s">
        <v>153</v>
      </c>
      <c r="Z202" s="4" t="s">
        <v>153</v>
      </c>
      <c r="AA202" s="4" t="s">
        <v>153</v>
      </c>
      <c r="AB202" s="4" t="s">
        <v>153</v>
      </c>
      <c r="AC202" s="4" t="s">
        <v>153</v>
      </c>
      <c r="AD202" s="4" t="s">
        <v>153</v>
      </c>
      <c r="AE202" s="4" t="s">
        <v>153</v>
      </c>
      <c r="AF202" s="4" t="s">
        <v>153</v>
      </c>
      <c r="AG202" s="4" t="s">
        <v>153</v>
      </c>
      <c r="AH202" s="4" t="s">
        <v>153</v>
      </c>
      <c r="AI202" s="5"/>
      <c r="AJ202" t="s">
        <v>153</v>
      </c>
      <c r="AK202" s="4"/>
      <c r="AL202" t="s">
        <v>153</v>
      </c>
      <c r="AM202" t="s">
        <v>153</v>
      </c>
      <c r="AO202" t="s">
        <v>153</v>
      </c>
      <c r="AP202" s="4"/>
      <c r="AQ202" t="s">
        <v>153</v>
      </c>
      <c r="AR202" s="5">
        <v>45656</v>
      </c>
      <c r="AS202">
        <v>0</v>
      </c>
      <c r="AT202" s="4" t="s">
        <v>153</v>
      </c>
      <c r="AU202" s="4" t="s">
        <v>153</v>
      </c>
      <c r="AV202" s="4" t="s">
        <v>256</v>
      </c>
      <c r="AW202" t="s">
        <v>153</v>
      </c>
      <c r="AX202" t="s">
        <v>153</v>
      </c>
      <c r="AY202" t="s">
        <v>2593</v>
      </c>
      <c r="AZ202" t="s">
        <v>153</v>
      </c>
      <c r="BA202" t="s">
        <v>153</v>
      </c>
      <c r="BB202" t="s">
        <v>153</v>
      </c>
      <c r="BC202" t="s">
        <v>153</v>
      </c>
      <c r="BD202" s="4" t="s">
        <v>2594</v>
      </c>
      <c r="BE202" s="4" t="s">
        <v>2595</v>
      </c>
      <c r="BF202" t="s">
        <v>242</v>
      </c>
      <c r="BG202" s="4" t="s">
        <v>637</v>
      </c>
      <c r="BH202" t="s">
        <v>153</v>
      </c>
      <c r="BI202" s="4" t="s">
        <v>153</v>
      </c>
      <c r="BJ202" t="s">
        <v>153</v>
      </c>
      <c r="BK202" s="4" t="s">
        <v>153</v>
      </c>
      <c r="BL202" t="s">
        <v>153</v>
      </c>
      <c r="BM202" t="s">
        <v>153</v>
      </c>
      <c r="BN202" s="4" t="s">
        <v>153</v>
      </c>
      <c r="BO202" s="4" t="s">
        <v>153</v>
      </c>
      <c r="BP202" s="4" t="s">
        <v>153</v>
      </c>
      <c r="BQ202" s="4" t="s">
        <v>153</v>
      </c>
      <c r="BR202" s="4" t="s">
        <v>153</v>
      </c>
      <c r="BS202" s="4" t="s">
        <v>153</v>
      </c>
      <c r="BT202" s="4" t="s">
        <v>153</v>
      </c>
      <c r="BU202" s="4" t="s">
        <v>153</v>
      </c>
      <c r="BV202" s="4"/>
      <c r="BW202" s="4" t="s">
        <v>153</v>
      </c>
      <c r="BX202" s="4" t="s">
        <v>153</v>
      </c>
      <c r="BY202" s="4" t="s">
        <v>153</v>
      </c>
      <c r="BZ202" s="4" t="s">
        <v>153</v>
      </c>
      <c r="CA202" s="4" t="s">
        <v>153</v>
      </c>
      <c r="CB202" s="4"/>
      <c r="CC202" s="4" t="s">
        <v>153</v>
      </c>
      <c r="CD202" t="s">
        <v>153</v>
      </c>
      <c r="CE202" s="4" t="s">
        <v>153</v>
      </c>
      <c r="CF202" s="4" t="s">
        <v>153</v>
      </c>
      <c r="CG202" s="4" t="s">
        <v>153</v>
      </c>
      <c r="CH202" s="5"/>
      <c r="CI202" t="s">
        <v>153</v>
      </c>
      <c r="CJ202" s="4"/>
      <c r="CK202" t="s">
        <v>153</v>
      </c>
      <c r="CL202" t="s">
        <v>153</v>
      </c>
      <c r="CM202" t="s">
        <v>153</v>
      </c>
      <c r="CN202" t="s">
        <v>153</v>
      </c>
      <c r="CO202" s="5"/>
      <c r="CP202" s="4" t="s">
        <v>153</v>
      </c>
      <c r="CQ202" s="4" t="s">
        <v>153</v>
      </c>
      <c r="CR202" t="s">
        <v>153</v>
      </c>
      <c r="CS202" t="s">
        <v>153</v>
      </c>
      <c r="CT202" t="s">
        <v>153</v>
      </c>
      <c r="CU202" t="s">
        <v>153</v>
      </c>
      <c r="CV202" t="s">
        <v>153</v>
      </c>
      <c r="CW202" t="s">
        <v>153</v>
      </c>
      <c r="CX202" t="s">
        <v>153</v>
      </c>
      <c r="CY202" t="s">
        <v>153</v>
      </c>
      <c r="CZ202" t="s">
        <v>153</v>
      </c>
      <c r="DA202" t="s">
        <v>153</v>
      </c>
      <c r="DB202" t="s">
        <v>153</v>
      </c>
      <c r="DC202" t="s">
        <v>153</v>
      </c>
      <c r="DD202" t="s">
        <v>153</v>
      </c>
      <c r="DE202" t="s">
        <v>153</v>
      </c>
      <c r="DF202" t="s">
        <v>153</v>
      </c>
      <c r="DG202" t="s">
        <v>153</v>
      </c>
      <c r="DI202" t="s">
        <v>153</v>
      </c>
      <c r="DJ202" t="s">
        <v>153</v>
      </c>
      <c r="DK202" t="s">
        <v>153</v>
      </c>
      <c r="DL202" t="s">
        <v>153</v>
      </c>
      <c r="DN202" t="s">
        <v>153</v>
      </c>
      <c r="DO202" t="s">
        <v>153</v>
      </c>
      <c r="DP202" t="s">
        <v>153</v>
      </c>
      <c r="DQ202" t="s">
        <v>153</v>
      </c>
      <c r="DR202" t="s">
        <v>153</v>
      </c>
      <c r="DS202" t="s">
        <v>153</v>
      </c>
      <c r="DT202" t="s">
        <v>153</v>
      </c>
      <c r="DU202" t="s">
        <v>153</v>
      </c>
      <c r="DV202" t="s">
        <v>153</v>
      </c>
      <c r="DW202" t="s">
        <v>153</v>
      </c>
      <c r="DX202" s="2"/>
      <c r="DY202" t="s">
        <v>153</v>
      </c>
      <c r="DZ202" t="s">
        <v>153</v>
      </c>
      <c r="EA202" t="s">
        <v>153</v>
      </c>
      <c r="EB202" t="s">
        <v>153</v>
      </c>
      <c r="EC202" t="s">
        <v>153</v>
      </c>
      <c r="ED202" t="s">
        <v>153</v>
      </c>
      <c r="EE202" t="s">
        <v>153</v>
      </c>
      <c r="EF202" t="s">
        <v>153</v>
      </c>
      <c r="EH202" t="s">
        <v>153</v>
      </c>
      <c r="EI202" t="s">
        <v>153</v>
      </c>
      <c r="EJ202" t="s">
        <v>153</v>
      </c>
      <c r="EK202" t="s">
        <v>153</v>
      </c>
      <c r="EM202" t="s">
        <v>153</v>
      </c>
      <c r="EN202" t="s">
        <v>153</v>
      </c>
      <c r="EP202" s="4" t="s">
        <v>153</v>
      </c>
      <c r="EQ202" s="4" t="s">
        <v>153</v>
      </c>
      <c r="ER202" s="4" t="s">
        <v>191</v>
      </c>
      <c r="ES202" s="4" t="s">
        <v>153</v>
      </c>
      <c r="ET202" t="s">
        <v>153</v>
      </c>
      <c r="EU202" t="s">
        <v>2583</v>
      </c>
      <c r="EV202" t="s">
        <v>1899</v>
      </c>
      <c r="EW202">
        <v>1301629533</v>
      </c>
      <c r="EX202" t="s">
        <v>366</v>
      </c>
    </row>
    <row r="203" spans="1:154" x14ac:dyDescent="0.25">
      <c r="A203" s="3">
        <v>45666.613055555557</v>
      </c>
      <c r="B203" s="4" t="s">
        <v>153</v>
      </c>
      <c r="C203" s="4" t="s">
        <v>285</v>
      </c>
      <c r="D203" s="4" t="s">
        <v>286</v>
      </c>
      <c r="E203" s="4" t="s">
        <v>287</v>
      </c>
      <c r="F203" s="4" t="s">
        <v>288</v>
      </c>
      <c r="G203" s="4" t="s">
        <v>158</v>
      </c>
      <c r="H203" s="4" t="s">
        <v>289</v>
      </c>
      <c r="I203" s="4" t="s">
        <v>153</v>
      </c>
      <c r="J203" s="4" t="s">
        <v>153</v>
      </c>
      <c r="K203" s="5"/>
      <c r="L203" s="4" t="s">
        <v>153</v>
      </c>
      <c r="M203" s="4" t="s">
        <v>153</v>
      </c>
      <c r="N203" s="4" t="s">
        <v>153</v>
      </c>
      <c r="O203" s="4" t="s">
        <v>153</v>
      </c>
      <c r="P203" s="4" t="s">
        <v>153</v>
      </c>
      <c r="Q203" s="4" t="s">
        <v>153</v>
      </c>
      <c r="R203" s="4" t="s">
        <v>153</v>
      </c>
      <c r="S203" s="4" t="s">
        <v>153</v>
      </c>
      <c r="T203" s="4" t="s">
        <v>153</v>
      </c>
      <c r="U203" s="4" t="s">
        <v>153</v>
      </c>
      <c r="V203" s="4" t="s">
        <v>153</v>
      </c>
      <c r="W203" s="4" t="s">
        <v>153</v>
      </c>
      <c r="X203" s="4" t="s">
        <v>153</v>
      </c>
      <c r="Y203" s="4" t="s">
        <v>153</v>
      </c>
      <c r="Z203" s="4" t="s">
        <v>153</v>
      </c>
      <c r="AA203" s="4" t="s">
        <v>153</v>
      </c>
      <c r="AB203" s="4" t="s">
        <v>153</v>
      </c>
      <c r="AC203" s="4" t="s">
        <v>153</v>
      </c>
      <c r="AD203" s="4" t="s">
        <v>153</v>
      </c>
      <c r="AE203" s="4" t="s">
        <v>153</v>
      </c>
      <c r="AF203" s="4" t="s">
        <v>153</v>
      </c>
      <c r="AG203" s="4" t="s">
        <v>153</v>
      </c>
      <c r="AH203" s="4" t="s">
        <v>153</v>
      </c>
      <c r="AI203" s="5"/>
      <c r="AJ203" t="s">
        <v>153</v>
      </c>
      <c r="AK203" s="4"/>
      <c r="AL203" t="s">
        <v>153</v>
      </c>
      <c r="AM203" t="s">
        <v>153</v>
      </c>
      <c r="AO203" t="s">
        <v>153</v>
      </c>
      <c r="AP203" s="4"/>
      <c r="AQ203" t="s">
        <v>153</v>
      </c>
      <c r="AR203" s="5"/>
      <c r="AT203" s="4" t="s">
        <v>153</v>
      </c>
      <c r="AU203" s="4" t="s">
        <v>153</v>
      </c>
      <c r="AV203" s="4" t="s">
        <v>153</v>
      </c>
      <c r="AW203" t="s">
        <v>153</v>
      </c>
      <c r="AX203" t="s">
        <v>153</v>
      </c>
      <c r="AY203" t="s">
        <v>153</v>
      </c>
      <c r="AZ203" t="s">
        <v>153</v>
      </c>
      <c r="BA203" t="s">
        <v>153</v>
      </c>
      <c r="BB203" t="s">
        <v>153</v>
      </c>
      <c r="BC203" t="s">
        <v>153</v>
      </c>
      <c r="BD203" s="4" t="s">
        <v>153</v>
      </c>
      <c r="BE203" s="4" t="s">
        <v>153</v>
      </c>
      <c r="BF203" t="s">
        <v>153</v>
      </c>
      <c r="BG203" s="4" t="s">
        <v>153</v>
      </c>
      <c r="BH203" t="s">
        <v>153</v>
      </c>
      <c r="BI203" s="4" t="s">
        <v>153</v>
      </c>
      <c r="BJ203" t="s">
        <v>153</v>
      </c>
      <c r="BK203" s="4" t="s">
        <v>153</v>
      </c>
      <c r="BL203" t="s">
        <v>153</v>
      </c>
      <c r="BM203" t="s">
        <v>153</v>
      </c>
      <c r="BN203" s="4" t="s">
        <v>153</v>
      </c>
      <c r="BO203" s="4" t="s">
        <v>153</v>
      </c>
      <c r="BP203" s="4" t="s">
        <v>153</v>
      </c>
      <c r="BQ203" s="4" t="s">
        <v>153</v>
      </c>
      <c r="BR203" s="4" t="s">
        <v>153</v>
      </c>
      <c r="BS203" s="4" t="s">
        <v>153</v>
      </c>
      <c r="BT203" s="4" t="s">
        <v>153</v>
      </c>
      <c r="BU203" s="4" t="s">
        <v>153</v>
      </c>
      <c r="BV203" s="4"/>
      <c r="BW203" s="4" t="s">
        <v>153</v>
      </c>
      <c r="BX203" s="4" t="s">
        <v>153</v>
      </c>
      <c r="BY203" s="4" t="s">
        <v>153</v>
      </c>
      <c r="BZ203" s="4" t="s">
        <v>153</v>
      </c>
      <c r="CA203" s="4" t="s">
        <v>153</v>
      </c>
      <c r="CB203" s="4"/>
      <c r="CC203" s="4" t="s">
        <v>153</v>
      </c>
      <c r="CD203" t="s">
        <v>153</v>
      </c>
      <c r="CE203" s="4" t="s">
        <v>153</v>
      </c>
      <c r="CF203" s="4" t="s">
        <v>153</v>
      </c>
      <c r="CG203" s="4" t="s">
        <v>153</v>
      </c>
      <c r="CH203" s="5"/>
      <c r="CI203" t="s">
        <v>153</v>
      </c>
      <c r="CJ203" s="4"/>
      <c r="CK203" t="s">
        <v>153</v>
      </c>
      <c r="CL203" t="s">
        <v>153</v>
      </c>
      <c r="CM203" t="s">
        <v>153</v>
      </c>
      <c r="CN203" t="s">
        <v>160</v>
      </c>
      <c r="CO203" s="5">
        <v>45474</v>
      </c>
      <c r="CP203" s="4" t="s">
        <v>2596</v>
      </c>
      <c r="CQ203" s="4" t="s">
        <v>2597</v>
      </c>
      <c r="CR203" t="s">
        <v>2598</v>
      </c>
      <c r="CS203" t="s">
        <v>385</v>
      </c>
      <c r="CT203" t="s">
        <v>153</v>
      </c>
      <c r="CU203" t="s">
        <v>153</v>
      </c>
      <c r="CV203" t="s">
        <v>153</v>
      </c>
      <c r="CW203" t="s">
        <v>153</v>
      </c>
      <c r="CX203" t="s">
        <v>153</v>
      </c>
      <c r="CY203" t="s">
        <v>153</v>
      </c>
      <c r="CZ203" t="s">
        <v>153</v>
      </c>
      <c r="DA203" t="s">
        <v>153</v>
      </c>
      <c r="DB203" t="s">
        <v>153</v>
      </c>
      <c r="DC203" t="s">
        <v>153</v>
      </c>
      <c r="DD203" t="s">
        <v>2599</v>
      </c>
      <c r="DE203" t="s">
        <v>153</v>
      </c>
      <c r="DF203" t="s">
        <v>2600</v>
      </c>
      <c r="DG203" t="s">
        <v>195</v>
      </c>
      <c r="DH203">
        <v>62040</v>
      </c>
      <c r="DI203" t="s">
        <v>153</v>
      </c>
      <c r="DJ203" t="s">
        <v>153</v>
      </c>
      <c r="DK203" t="s">
        <v>153</v>
      </c>
      <c r="DL203" t="s">
        <v>153</v>
      </c>
      <c r="DN203" t="s">
        <v>306</v>
      </c>
      <c r="DO203" t="s">
        <v>307</v>
      </c>
      <c r="DP203" t="s">
        <v>533</v>
      </c>
      <c r="DQ203" t="s">
        <v>153</v>
      </c>
      <c r="DR203" t="s">
        <v>153</v>
      </c>
      <c r="DS203" t="s">
        <v>2601</v>
      </c>
      <c r="DT203" t="s">
        <v>153</v>
      </c>
      <c r="DU203" t="s">
        <v>2602</v>
      </c>
      <c r="DV203" t="s">
        <v>153</v>
      </c>
      <c r="DW203" t="s">
        <v>153</v>
      </c>
      <c r="DX203" s="2"/>
      <c r="DY203" t="s">
        <v>153</v>
      </c>
      <c r="DZ203" t="s">
        <v>153</v>
      </c>
      <c r="EA203" t="s">
        <v>153</v>
      </c>
      <c r="EB203" t="s">
        <v>153</v>
      </c>
      <c r="EC203" t="s">
        <v>153</v>
      </c>
      <c r="ED203" t="s">
        <v>153</v>
      </c>
      <c r="EE203" t="s">
        <v>153</v>
      </c>
      <c r="EF203" t="s">
        <v>153</v>
      </c>
      <c r="EH203" t="s">
        <v>153</v>
      </c>
      <c r="EI203" t="s">
        <v>153</v>
      </c>
      <c r="EJ203" t="s">
        <v>153</v>
      </c>
      <c r="EK203" t="s">
        <v>153</v>
      </c>
      <c r="EM203" t="s">
        <v>153</v>
      </c>
      <c r="EN203" t="s">
        <v>153</v>
      </c>
      <c r="EP203" s="4" t="s">
        <v>153</v>
      </c>
      <c r="EQ203" s="4" t="s">
        <v>153</v>
      </c>
      <c r="ER203" s="4" t="s">
        <v>191</v>
      </c>
      <c r="ES203" s="4" t="s">
        <v>153</v>
      </c>
      <c r="ET203" t="s">
        <v>153</v>
      </c>
      <c r="EU203" t="s">
        <v>2583</v>
      </c>
      <c r="EV203" t="s">
        <v>1899</v>
      </c>
      <c r="EW203">
        <v>1303780294</v>
      </c>
      <c r="EX203" t="s">
        <v>366</v>
      </c>
    </row>
    <row r="204" spans="1:154" x14ac:dyDescent="0.25">
      <c r="A204" s="3">
        <v>45670.96634259259</v>
      </c>
      <c r="B204" s="4" t="s">
        <v>153</v>
      </c>
      <c r="C204" s="4" t="s">
        <v>2603</v>
      </c>
      <c r="D204" s="4" t="s">
        <v>2604</v>
      </c>
      <c r="E204" s="4" t="s">
        <v>628</v>
      </c>
      <c r="F204" s="4" t="s">
        <v>2132</v>
      </c>
      <c r="G204" s="4" t="s">
        <v>252</v>
      </c>
      <c r="H204" s="4" t="s">
        <v>630</v>
      </c>
      <c r="I204" s="4" t="s">
        <v>2145</v>
      </c>
      <c r="J204" s="4" t="s">
        <v>2146</v>
      </c>
      <c r="K204" s="5"/>
      <c r="L204" s="4" t="s">
        <v>153</v>
      </c>
      <c r="M204" s="4" t="s">
        <v>153</v>
      </c>
      <c r="N204" s="4" t="s">
        <v>153</v>
      </c>
      <c r="O204" s="4" t="s">
        <v>153</v>
      </c>
      <c r="P204" s="4" t="s">
        <v>153</v>
      </c>
      <c r="Q204" s="4" t="s">
        <v>153</v>
      </c>
      <c r="R204" s="4" t="s">
        <v>153</v>
      </c>
      <c r="S204" s="4" t="s">
        <v>153</v>
      </c>
      <c r="T204" s="4" t="s">
        <v>153</v>
      </c>
      <c r="U204" s="4" t="s">
        <v>153</v>
      </c>
      <c r="V204" s="4" t="s">
        <v>153</v>
      </c>
      <c r="W204" s="4" t="s">
        <v>153</v>
      </c>
      <c r="X204" s="4" t="s">
        <v>153</v>
      </c>
      <c r="Y204" s="4" t="s">
        <v>153</v>
      </c>
      <c r="Z204" s="4" t="s">
        <v>153</v>
      </c>
      <c r="AA204" s="4" t="s">
        <v>153</v>
      </c>
      <c r="AB204" s="4" t="s">
        <v>153</v>
      </c>
      <c r="AC204" s="4" t="s">
        <v>153</v>
      </c>
      <c r="AD204" s="4" t="s">
        <v>153</v>
      </c>
      <c r="AE204" s="4" t="s">
        <v>153</v>
      </c>
      <c r="AF204" s="4" t="s">
        <v>153</v>
      </c>
      <c r="AG204" s="4" t="s">
        <v>153</v>
      </c>
      <c r="AH204" s="4" t="s">
        <v>153</v>
      </c>
      <c r="AI204" s="5"/>
      <c r="AJ204" t="s">
        <v>153</v>
      </c>
      <c r="AK204" s="4"/>
      <c r="AL204" t="s">
        <v>153</v>
      </c>
      <c r="AM204" t="s">
        <v>153</v>
      </c>
      <c r="AO204" t="s">
        <v>153</v>
      </c>
      <c r="AP204" s="4"/>
      <c r="AQ204" t="s">
        <v>153</v>
      </c>
      <c r="AR204" s="5">
        <v>45655</v>
      </c>
      <c r="AS204">
        <v>1</v>
      </c>
      <c r="AT204" s="4" t="s">
        <v>2605</v>
      </c>
      <c r="AU204" s="4" t="s">
        <v>2148</v>
      </c>
      <c r="AV204" s="4" t="s">
        <v>256</v>
      </c>
      <c r="AW204" t="s">
        <v>153</v>
      </c>
      <c r="AX204" t="s">
        <v>153</v>
      </c>
      <c r="AY204" t="s">
        <v>2606</v>
      </c>
      <c r="AZ204" t="s">
        <v>2607</v>
      </c>
      <c r="BA204" t="s">
        <v>153</v>
      </c>
      <c r="BB204" t="s">
        <v>153</v>
      </c>
      <c r="BC204" t="s">
        <v>153</v>
      </c>
      <c r="BD204" s="4" t="s">
        <v>2608</v>
      </c>
      <c r="BE204" s="4" t="s">
        <v>2609</v>
      </c>
      <c r="BF204" t="s">
        <v>242</v>
      </c>
      <c r="BG204" s="4" t="s">
        <v>637</v>
      </c>
      <c r="BH204" t="s">
        <v>153</v>
      </c>
      <c r="BI204" s="4" t="s">
        <v>153</v>
      </c>
      <c r="BJ204" t="s">
        <v>153</v>
      </c>
      <c r="BK204" s="4" t="s">
        <v>153</v>
      </c>
      <c r="BL204" t="s">
        <v>153</v>
      </c>
      <c r="BM204" t="s">
        <v>153</v>
      </c>
      <c r="BN204" s="4" t="s">
        <v>153</v>
      </c>
      <c r="BO204" s="4" t="s">
        <v>153</v>
      </c>
      <c r="BP204" s="4" t="s">
        <v>153</v>
      </c>
      <c r="BQ204" s="4" t="s">
        <v>153</v>
      </c>
      <c r="BR204" s="4" t="s">
        <v>153</v>
      </c>
      <c r="BS204" s="4" t="s">
        <v>153</v>
      </c>
      <c r="BT204" s="4" t="s">
        <v>153</v>
      </c>
      <c r="BU204" s="4" t="s">
        <v>153</v>
      </c>
      <c r="BV204" s="4"/>
      <c r="BW204" s="4" t="s">
        <v>153</v>
      </c>
      <c r="BX204" s="4" t="s">
        <v>153</v>
      </c>
      <c r="BY204" s="4" t="s">
        <v>153</v>
      </c>
      <c r="BZ204" s="4" t="s">
        <v>153</v>
      </c>
      <c r="CA204" s="4" t="s">
        <v>153</v>
      </c>
      <c r="CB204" s="4"/>
      <c r="CC204" s="4" t="s">
        <v>153</v>
      </c>
      <c r="CD204" t="s">
        <v>153</v>
      </c>
      <c r="CE204" s="4" t="s">
        <v>153</v>
      </c>
      <c r="CF204" s="4" t="s">
        <v>153</v>
      </c>
      <c r="CG204" s="4" t="s">
        <v>153</v>
      </c>
      <c r="CH204" s="5"/>
      <c r="CI204" t="s">
        <v>153</v>
      </c>
      <c r="CJ204" s="4"/>
      <c r="CK204" t="s">
        <v>153</v>
      </c>
      <c r="CL204" t="s">
        <v>153</v>
      </c>
      <c r="CM204" t="s">
        <v>153</v>
      </c>
      <c r="CN204" t="s">
        <v>153</v>
      </c>
      <c r="CO204" s="5"/>
      <c r="CP204" s="4" t="s">
        <v>153</v>
      </c>
      <c r="CQ204" s="4" t="s">
        <v>153</v>
      </c>
      <c r="CR204" t="s">
        <v>153</v>
      </c>
      <c r="CS204" t="s">
        <v>153</v>
      </c>
      <c r="CT204" t="s">
        <v>153</v>
      </c>
      <c r="CU204" t="s">
        <v>153</v>
      </c>
      <c r="CV204" t="s">
        <v>153</v>
      </c>
      <c r="CW204" t="s">
        <v>153</v>
      </c>
      <c r="CX204" t="s">
        <v>153</v>
      </c>
      <c r="CY204" t="s">
        <v>153</v>
      </c>
      <c r="CZ204" t="s">
        <v>153</v>
      </c>
      <c r="DA204" t="s">
        <v>153</v>
      </c>
      <c r="DB204" t="s">
        <v>153</v>
      </c>
      <c r="DC204" t="s">
        <v>153</v>
      </c>
      <c r="DD204" t="s">
        <v>153</v>
      </c>
      <c r="DE204" t="s">
        <v>153</v>
      </c>
      <c r="DF204" t="s">
        <v>153</v>
      </c>
      <c r="DG204" t="s">
        <v>153</v>
      </c>
      <c r="DI204" t="s">
        <v>153</v>
      </c>
      <c r="DJ204" t="s">
        <v>153</v>
      </c>
      <c r="DK204" t="s">
        <v>153</v>
      </c>
      <c r="DL204" t="s">
        <v>153</v>
      </c>
      <c r="DN204" t="s">
        <v>153</v>
      </c>
      <c r="DO204" t="s">
        <v>153</v>
      </c>
      <c r="DP204" t="s">
        <v>153</v>
      </c>
      <c r="DQ204" t="s">
        <v>153</v>
      </c>
      <c r="DR204" t="s">
        <v>153</v>
      </c>
      <c r="DS204" t="s">
        <v>153</v>
      </c>
      <c r="DT204" t="s">
        <v>153</v>
      </c>
      <c r="DU204" t="s">
        <v>153</v>
      </c>
      <c r="DV204" t="s">
        <v>153</v>
      </c>
      <c r="DW204" t="s">
        <v>153</v>
      </c>
      <c r="DX204" s="2"/>
      <c r="DY204" t="s">
        <v>153</v>
      </c>
      <c r="DZ204" t="s">
        <v>153</v>
      </c>
      <c r="EA204" t="s">
        <v>153</v>
      </c>
      <c r="EB204" t="s">
        <v>153</v>
      </c>
      <c r="EC204" t="s">
        <v>153</v>
      </c>
      <c r="ED204" t="s">
        <v>153</v>
      </c>
      <c r="EE204" t="s">
        <v>153</v>
      </c>
      <c r="EF204" t="s">
        <v>153</v>
      </c>
      <c r="EH204" t="s">
        <v>153</v>
      </c>
      <c r="EI204" t="s">
        <v>153</v>
      </c>
      <c r="EJ204" t="s">
        <v>153</v>
      </c>
      <c r="EK204" t="s">
        <v>153</v>
      </c>
      <c r="EM204" t="s">
        <v>153</v>
      </c>
      <c r="EN204" t="s">
        <v>153</v>
      </c>
      <c r="EP204" s="4" t="s">
        <v>153</v>
      </c>
      <c r="EQ204" s="4" t="s">
        <v>153</v>
      </c>
      <c r="ER204" s="4" t="s">
        <v>176</v>
      </c>
      <c r="ES204" s="4" t="s">
        <v>153</v>
      </c>
      <c r="ET204" t="s">
        <v>153</v>
      </c>
      <c r="EU204" t="s">
        <v>1405</v>
      </c>
      <c r="EV204" t="s">
        <v>2610</v>
      </c>
      <c r="EW204">
        <v>1305016109</v>
      </c>
      <c r="EX204" t="s">
        <v>2611</v>
      </c>
    </row>
    <row r="205" spans="1:154" x14ac:dyDescent="0.25">
      <c r="A205" s="3">
        <v>45681.512303240743</v>
      </c>
      <c r="B205" s="4" t="s">
        <v>153</v>
      </c>
      <c r="C205" s="4" t="s">
        <v>1051</v>
      </c>
      <c r="D205" s="4" t="s">
        <v>1052</v>
      </c>
      <c r="E205" s="4" t="s">
        <v>1053</v>
      </c>
      <c r="F205" s="4" t="s">
        <v>1054</v>
      </c>
      <c r="G205" s="4" t="s">
        <v>252</v>
      </c>
      <c r="H205" s="4" t="s">
        <v>1055</v>
      </c>
      <c r="I205" s="4" t="s">
        <v>2612</v>
      </c>
      <c r="J205" s="4" t="s">
        <v>2613</v>
      </c>
      <c r="K205" s="5"/>
      <c r="L205" s="4" t="s">
        <v>153</v>
      </c>
      <c r="M205" s="4" t="s">
        <v>153</v>
      </c>
      <c r="N205" s="4" t="s">
        <v>153</v>
      </c>
      <c r="O205" s="4" t="s">
        <v>153</v>
      </c>
      <c r="P205" s="4" t="s">
        <v>153</v>
      </c>
      <c r="Q205" s="4" t="s">
        <v>153</v>
      </c>
      <c r="R205" s="4" t="s">
        <v>153</v>
      </c>
      <c r="S205" s="4" t="s">
        <v>153</v>
      </c>
      <c r="T205" s="4" t="s">
        <v>153</v>
      </c>
      <c r="U205" s="4" t="s">
        <v>153</v>
      </c>
      <c r="V205" s="4" t="s">
        <v>153</v>
      </c>
      <c r="W205" s="4" t="s">
        <v>153</v>
      </c>
      <c r="X205" s="4" t="s">
        <v>153</v>
      </c>
      <c r="Y205" s="4" t="s">
        <v>153</v>
      </c>
      <c r="Z205" s="4" t="s">
        <v>153</v>
      </c>
      <c r="AA205" s="4" t="s">
        <v>153</v>
      </c>
      <c r="AB205" s="4" t="s">
        <v>153</v>
      </c>
      <c r="AC205" s="4" t="s">
        <v>153</v>
      </c>
      <c r="AD205" s="4" t="s">
        <v>153</v>
      </c>
      <c r="AE205" s="4" t="s">
        <v>153</v>
      </c>
      <c r="AF205" s="4" t="s">
        <v>153</v>
      </c>
      <c r="AG205" s="4" t="s">
        <v>153</v>
      </c>
      <c r="AH205" s="4" t="s">
        <v>153</v>
      </c>
      <c r="AI205" s="5"/>
      <c r="AJ205" t="s">
        <v>153</v>
      </c>
      <c r="AK205" s="4"/>
      <c r="AL205" t="s">
        <v>153</v>
      </c>
      <c r="AM205" t="s">
        <v>153</v>
      </c>
      <c r="AO205" t="s">
        <v>153</v>
      </c>
      <c r="AP205" s="4"/>
      <c r="AQ205" t="s">
        <v>153</v>
      </c>
      <c r="AR205" s="5">
        <v>45655</v>
      </c>
      <c r="AS205">
        <v>1</v>
      </c>
      <c r="AT205" s="4" t="s">
        <v>2614</v>
      </c>
      <c r="AU205" s="4" t="s">
        <v>2615</v>
      </c>
      <c r="AV205" s="4" t="s">
        <v>618</v>
      </c>
      <c r="AW205" t="s">
        <v>153</v>
      </c>
      <c r="AX205" t="s">
        <v>153</v>
      </c>
      <c r="AY205" t="s">
        <v>2616</v>
      </c>
      <c r="AZ205" t="s">
        <v>2617</v>
      </c>
      <c r="BA205" t="s">
        <v>153</v>
      </c>
      <c r="BB205" t="s">
        <v>153</v>
      </c>
      <c r="BC205" t="s">
        <v>153</v>
      </c>
      <c r="BD205" s="4" t="s">
        <v>2618</v>
      </c>
      <c r="BE205" s="4" t="s">
        <v>2619</v>
      </c>
      <c r="BF205" t="s">
        <v>242</v>
      </c>
      <c r="BG205" s="4" t="s">
        <v>637</v>
      </c>
      <c r="BH205" t="s">
        <v>153</v>
      </c>
      <c r="BI205" s="4" t="s">
        <v>153</v>
      </c>
      <c r="BJ205" t="s">
        <v>153</v>
      </c>
      <c r="BK205" s="4" t="s">
        <v>153</v>
      </c>
      <c r="BL205" t="s">
        <v>153</v>
      </c>
      <c r="BM205" t="s">
        <v>153</v>
      </c>
      <c r="BN205" s="4" t="s">
        <v>153</v>
      </c>
      <c r="BO205" s="4" t="s">
        <v>153</v>
      </c>
      <c r="BP205" s="4" t="s">
        <v>153</v>
      </c>
      <c r="BQ205" s="4" t="s">
        <v>153</v>
      </c>
      <c r="BR205" s="4" t="s">
        <v>153</v>
      </c>
      <c r="BS205" s="4" t="s">
        <v>153</v>
      </c>
      <c r="BT205" s="4" t="s">
        <v>153</v>
      </c>
      <c r="BU205" s="4" t="s">
        <v>153</v>
      </c>
      <c r="BV205" s="4"/>
      <c r="BW205" s="4" t="s">
        <v>153</v>
      </c>
      <c r="BX205" s="4" t="s">
        <v>153</v>
      </c>
      <c r="BY205" s="4" t="s">
        <v>153</v>
      </c>
      <c r="BZ205" s="4" t="s">
        <v>153</v>
      </c>
      <c r="CA205" s="4" t="s">
        <v>153</v>
      </c>
      <c r="CB205" s="4"/>
      <c r="CC205" s="4" t="s">
        <v>153</v>
      </c>
      <c r="CD205" t="s">
        <v>153</v>
      </c>
      <c r="CE205" s="4" t="s">
        <v>153</v>
      </c>
      <c r="CF205" s="4" t="s">
        <v>153</v>
      </c>
      <c r="CG205" s="4" t="s">
        <v>153</v>
      </c>
      <c r="CH205" s="5"/>
      <c r="CI205" t="s">
        <v>153</v>
      </c>
      <c r="CJ205" s="4"/>
      <c r="CK205" t="s">
        <v>153</v>
      </c>
      <c r="CL205" t="s">
        <v>153</v>
      </c>
      <c r="CM205" t="s">
        <v>153</v>
      </c>
      <c r="CN205" t="s">
        <v>153</v>
      </c>
      <c r="CO205" s="5"/>
      <c r="CP205" s="4" t="s">
        <v>153</v>
      </c>
      <c r="CQ205" s="4" t="s">
        <v>153</v>
      </c>
      <c r="CR205" t="s">
        <v>153</v>
      </c>
      <c r="CS205" t="s">
        <v>153</v>
      </c>
      <c r="CT205" t="s">
        <v>153</v>
      </c>
      <c r="CU205" t="s">
        <v>153</v>
      </c>
      <c r="CV205" t="s">
        <v>153</v>
      </c>
      <c r="CW205" t="s">
        <v>153</v>
      </c>
      <c r="CX205" t="s">
        <v>153</v>
      </c>
      <c r="CY205" t="s">
        <v>153</v>
      </c>
      <c r="CZ205" t="s">
        <v>153</v>
      </c>
      <c r="DA205" t="s">
        <v>153</v>
      </c>
      <c r="DB205" t="s">
        <v>153</v>
      </c>
      <c r="DC205" t="s">
        <v>153</v>
      </c>
      <c r="DD205" t="s">
        <v>153</v>
      </c>
      <c r="DE205" t="s">
        <v>153</v>
      </c>
      <c r="DF205" t="s">
        <v>153</v>
      </c>
      <c r="DG205" t="s">
        <v>153</v>
      </c>
      <c r="DI205" t="s">
        <v>153</v>
      </c>
      <c r="DJ205" t="s">
        <v>153</v>
      </c>
      <c r="DK205" t="s">
        <v>153</v>
      </c>
      <c r="DL205" t="s">
        <v>153</v>
      </c>
      <c r="DN205" t="s">
        <v>153</v>
      </c>
      <c r="DO205" t="s">
        <v>153</v>
      </c>
      <c r="DP205" t="s">
        <v>153</v>
      </c>
      <c r="DQ205" t="s">
        <v>153</v>
      </c>
      <c r="DR205" t="s">
        <v>153</v>
      </c>
      <c r="DS205" t="s">
        <v>153</v>
      </c>
      <c r="DT205" t="s">
        <v>153</v>
      </c>
      <c r="DU205" t="s">
        <v>153</v>
      </c>
      <c r="DV205" t="s">
        <v>153</v>
      </c>
      <c r="DW205" t="s">
        <v>153</v>
      </c>
      <c r="DX205" s="2"/>
      <c r="DY205" t="s">
        <v>153</v>
      </c>
      <c r="DZ205" t="s">
        <v>153</v>
      </c>
      <c r="EA205" t="s">
        <v>153</v>
      </c>
      <c r="EB205" t="s">
        <v>153</v>
      </c>
      <c r="EC205" t="s">
        <v>153</v>
      </c>
      <c r="ED205" t="s">
        <v>153</v>
      </c>
      <c r="EE205" t="s">
        <v>153</v>
      </c>
      <c r="EF205" t="s">
        <v>153</v>
      </c>
      <c r="EH205" t="s">
        <v>153</v>
      </c>
      <c r="EI205" t="s">
        <v>153</v>
      </c>
      <c r="EJ205" t="s">
        <v>153</v>
      </c>
      <c r="EK205" t="s">
        <v>153</v>
      </c>
      <c r="EM205" t="s">
        <v>153</v>
      </c>
      <c r="EN205" t="s">
        <v>153</v>
      </c>
      <c r="EP205" s="4" t="s">
        <v>153</v>
      </c>
      <c r="EQ205" s="4" t="s">
        <v>153</v>
      </c>
      <c r="ER205" s="4" t="s">
        <v>191</v>
      </c>
      <c r="ES205" s="4" t="s">
        <v>153</v>
      </c>
      <c r="ET205" t="s">
        <v>153</v>
      </c>
      <c r="EU205" t="s">
        <v>2620</v>
      </c>
      <c r="EV205" t="s">
        <v>2621</v>
      </c>
      <c r="EW205">
        <v>1308444589</v>
      </c>
      <c r="EX205" t="s">
        <v>2622</v>
      </c>
    </row>
    <row r="206" spans="1:154" x14ac:dyDescent="0.25">
      <c r="A206" s="3">
        <v>45687.655150462961</v>
      </c>
      <c r="B206" s="4" t="s">
        <v>153</v>
      </c>
      <c r="C206" s="4" t="s">
        <v>2623</v>
      </c>
      <c r="D206" s="4" t="s">
        <v>2624</v>
      </c>
      <c r="E206" s="4" t="s">
        <v>1451</v>
      </c>
      <c r="F206" s="4" t="s">
        <v>1452</v>
      </c>
      <c r="G206" s="4" t="s">
        <v>948</v>
      </c>
      <c r="H206" s="4" t="s">
        <v>1011</v>
      </c>
      <c r="I206" s="4" t="s">
        <v>2625</v>
      </c>
      <c r="J206" s="4" t="s">
        <v>2626</v>
      </c>
      <c r="K206" s="5">
        <v>45687</v>
      </c>
      <c r="L206" s="4" t="s">
        <v>327</v>
      </c>
      <c r="M206" s="4" t="s">
        <v>2627</v>
      </c>
      <c r="N206" s="4" t="s">
        <v>2628</v>
      </c>
      <c r="O206" s="4" t="s">
        <v>1070</v>
      </c>
      <c r="P206" s="4" t="s">
        <v>2629</v>
      </c>
      <c r="Q206" s="4" t="s">
        <v>153</v>
      </c>
      <c r="R206" s="4" t="s">
        <v>666</v>
      </c>
      <c r="S206" s="4" t="s">
        <v>153</v>
      </c>
      <c r="T206" s="4" t="s">
        <v>153</v>
      </c>
      <c r="U206" s="4" t="s">
        <v>2630</v>
      </c>
      <c r="V206" s="4" t="s">
        <v>153</v>
      </c>
      <c r="W206" s="4" t="s">
        <v>372</v>
      </c>
      <c r="X206" s="4" t="s">
        <v>347</v>
      </c>
      <c r="Y206" s="4" t="s">
        <v>373</v>
      </c>
      <c r="Z206" s="4" t="s">
        <v>1812</v>
      </c>
      <c r="AA206" s="4" t="s">
        <v>2630</v>
      </c>
      <c r="AB206" s="4" t="s">
        <v>153</v>
      </c>
      <c r="AC206" s="4" t="s">
        <v>372</v>
      </c>
      <c r="AD206" s="4" t="s">
        <v>347</v>
      </c>
      <c r="AE206" s="4" t="s">
        <v>373</v>
      </c>
      <c r="AF206" s="4" t="s">
        <v>2631</v>
      </c>
      <c r="AG206" s="4" t="s">
        <v>2632</v>
      </c>
      <c r="AH206" s="4" t="s">
        <v>2633</v>
      </c>
      <c r="AI206" s="5"/>
      <c r="AJ206" t="s">
        <v>2634</v>
      </c>
      <c r="AK206" s="4"/>
      <c r="AL206" t="s">
        <v>2635</v>
      </c>
      <c r="AM206" t="s">
        <v>153</v>
      </c>
      <c r="AO206" t="s">
        <v>153</v>
      </c>
      <c r="AP206" s="4"/>
      <c r="AQ206" t="s">
        <v>153</v>
      </c>
      <c r="AR206" s="5"/>
      <c r="AT206" s="4" t="s">
        <v>153</v>
      </c>
      <c r="AU206" s="4" t="s">
        <v>153</v>
      </c>
      <c r="AV206" s="4" t="s">
        <v>153</v>
      </c>
      <c r="AW206" t="s">
        <v>153</v>
      </c>
      <c r="AX206" t="s">
        <v>153</v>
      </c>
      <c r="AY206" t="s">
        <v>153</v>
      </c>
      <c r="AZ206" t="s">
        <v>153</v>
      </c>
      <c r="BA206" t="s">
        <v>153</v>
      </c>
      <c r="BB206" t="s">
        <v>153</v>
      </c>
      <c r="BC206" t="s">
        <v>153</v>
      </c>
      <c r="BD206" s="4" t="s">
        <v>153</v>
      </c>
      <c r="BE206" s="4" t="s">
        <v>153</v>
      </c>
      <c r="BF206" t="s">
        <v>153</v>
      </c>
      <c r="BG206" s="4" t="s">
        <v>153</v>
      </c>
      <c r="BH206" t="s">
        <v>153</v>
      </c>
      <c r="BI206" s="4" t="s">
        <v>153</v>
      </c>
      <c r="BJ206" t="s">
        <v>153</v>
      </c>
      <c r="BK206" s="4" t="s">
        <v>153</v>
      </c>
      <c r="BL206" t="s">
        <v>153</v>
      </c>
      <c r="BM206" t="s">
        <v>153</v>
      </c>
      <c r="BN206" s="4" t="s">
        <v>153</v>
      </c>
      <c r="BO206" s="4" t="s">
        <v>153</v>
      </c>
      <c r="BP206" s="4" t="s">
        <v>153</v>
      </c>
      <c r="BQ206" s="4" t="s">
        <v>153</v>
      </c>
      <c r="BR206" s="4" t="s">
        <v>153</v>
      </c>
      <c r="BS206" s="4" t="s">
        <v>153</v>
      </c>
      <c r="BT206" s="4" t="s">
        <v>153</v>
      </c>
      <c r="BU206" s="4" t="s">
        <v>153</v>
      </c>
      <c r="BV206" s="4"/>
      <c r="BW206" s="4" t="s">
        <v>153</v>
      </c>
      <c r="BX206" s="4" t="s">
        <v>153</v>
      </c>
      <c r="BY206" s="4" t="s">
        <v>153</v>
      </c>
      <c r="BZ206" s="4" t="s">
        <v>153</v>
      </c>
      <c r="CA206" s="4" t="s">
        <v>153</v>
      </c>
      <c r="CB206" s="4"/>
      <c r="CC206" s="4" t="s">
        <v>153</v>
      </c>
      <c r="CD206" t="s">
        <v>153</v>
      </c>
      <c r="CE206" s="4" t="s">
        <v>153</v>
      </c>
      <c r="CF206" s="4" t="s">
        <v>153</v>
      </c>
      <c r="CG206" s="4" t="s">
        <v>153</v>
      </c>
      <c r="CH206" s="5"/>
      <c r="CI206" t="s">
        <v>153</v>
      </c>
      <c r="CJ206" s="4"/>
      <c r="CK206" t="s">
        <v>153</v>
      </c>
      <c r="CL206" t="s">
        <v>153</v>
      </c>
      <c r="CM206" t="s">
        <v>153</v>
      </c>
      <c r="CN206" t="s">
        <v>153</v>
      </c>
      <c r="CO206" s="5"/>
      <c r="CP206" s="4" t="s">
        <v>153</v>
      </c>
      <c r="CQ206" s="4" t="s">
        <v>153</v>
      </c>
      <c r="CR206" t="s">
        <v>153</v>
      </c>
      <c r="CS206" t="s">
        <v>153</v>
      </c>
      <c r="CT206" t="s">
        <v>153</v>
      </c>
      <c r="CU206" t="s">
        <v>153</v>
      </c>
      <c r="CV206" t="s">
        <v>153</v>
      </c>
      <c r="CW206" t="s">
        <v>153</v>
      </c>
      <c r="CX206" t="s">
        <v>153</v>
      </c>
      <c r="CY206" t="s">
        <v>153</v>
      </c>
      <c r="CZ206" t="s">
        <v>153</v>
      </c>
      <c r="DA206" t="s">
        <v>153</v>
      </c>
      <c r="DB206" t="s">
        <v>153</v>
      </c>
      <c r="DC206" t="s">
        <v>153</v>
      </c>
      <c r="DD206" t="s">
        <v>153</v>
      </c>
      <c r="DE206" t="s">
        <v>153</v>
      </c>
      <c r="DF206" t="s">
        <v>153</v>
      </c>
      <c r="DG206" t="s">
        <v>153</v>
      </c>
      <c r="DI206" t="s">
        <v>153</v>
      </c>
      <c r="DJ206" t="s">
        <v>153</v>
      </c>
      <c r="DK206" t="s">
        <v>153</v>
      </c>
      <c r="DL206" t="s">
        <v>153</v>
      </c>
      <c r="DN206" t="s">
        <v>153</v>
      </c>
      <c r="DO206" t="s">
        <v>153</v>
      </c>
      <c r="DP206" t="s">
        <v>153</v>
      </c>
      <c r="DQ206" t="s">
        <v>153</v>
      </c>
      <c r="DR206" t="s">
        <v>153</v>
      </c>
      <c r="DS206" t="s">
        <v>153</v>
      </c>
      <c r="DT206" t="s">
        <v>153</v>
      </c>
      <c r="DU206" t="s">
        <v>153</v>
      </c>
      <c r="DV206" t="s">
        <v>153</v>
      </c>
      <c r="DW206" t="s">
        <v>153</v>
      </c>
      <c r="DX206" s="2"/>
      <c r="DY206" t="s">
        <v>153</v>
      </c>
      <c r="DZ206" t="s">
        <v>153</v>
      </c>
      <c r="EA206" t="s">
        <v>153</v>
      </c>
      <c r="EB206" t="s">
        <v>153</v>
      </c>
      <c r="EC206" t="s">
        <v>153</v>
      </c>
      <c r="ED206" t="s">
        <v>153</v>
      </c>
      <c r="EE206" t="s">
        <v>153</v>
      </c>
      <c r="EF206" t="s">
        <v>153</v>
      </c>
      <c r="EH206" t="s">
        <v>153</v>
      </c>
      <c r="EI206" t="s">
        <v>153</v>
      </c>
      <c r="EJ206" t="s">
        <v>153</v>
      </c>
      <c r="EK206" t="s">
        <v>153</v>
      </c>
      <c r="EM206" t="s">
        <v>153</v>
      </c>
      <c r="EN206" t="s">
        <v>153</v>
      </c>
      <c r="EP206" s="4" t="s">
        <v>153</v>
      </c>
      <c r="EQ206" s="4" t="s">
        <v>153</v>
      </c>
      <c r="ER206" s="4" t="s">
        <v>176</v>
      </c>
      <c r="ES206" s="4" t="s">
        <v>153</v>
      </c>
      <c r="ET206" t="s">
        <v>153</v>
      </c>
      <c r="EU206" t="s">
        <v>2583</v>
      </c>
      <c r="EV206" t="s">
        <v>2636</v>
      </c>
      <c r="EW206">
        <v>1310334866</v>
      </c>
      <c r="EX206" t="s">
        <v>2637</v>
      </c>
    </row>
    <row r="207" spans="1:154" x14ac:dyDescent="0.25">
      <c r="A207" s="3">
        <v>45694.538240740738</v>
      </c>
      <c r="B207" s="4" t="s">
        <v>153</v>
      </c>
      <c r="C207" s="4" t="s">
        <v>2638</v>
      </c>
      <c r="D207" s="4" t="s">
        <v>2639</v>
      </c>
      <c r="E207" s="4" t="s">
        <v>2640</v>
      </c>
      <c r="F207" s="4" t="s">
        <v>2641</v>
      </c>
      <c r="G207" s="4" t="s">
        <v>252</v>
      </c>
      <c r="H207" s="4" t="s">
        <v>1119</v>
      </c>
      <c r="I207" s="4" t="s">
        <v>2642</v>
      </c>
      <c r="J207" s="4" t="s">
        <v>2643</v>
      </c>
      <c r="K207" s="5"/>
      <c r="L207" s="4" t="s">
        <v>153</v>
      </c>
      <c r="M207" s="4" t="s">
        <v>153</v>
      </c>
      <c r="N207" s="4" t="s">
        <v>153</v>
      </c>
      <c r="O207" s="4" t="s">
        <v>153</v>
      </c>
      <c r="P207" s="4" t="s">
        <v>153</v>
      </c>
      <c r="Q207" s="4" t="s">
        <v>153</v>
      </c>
      <c r="R207" s="4" t="s">
        <v>153</v>
      </c>
      <c r="S207" s="4" t="s">
        <v>153</v>
      </c>
      <c r="T207" s="4" t="s">
        <v>153</v>
      </c>
      <c r="U207" s="4" t="s">
        <v>153</v>
      </c>
      <c r="V207" s="4" t="s">
        <v>153</v>
      </c>
      <c r="W207" s="4" t="s">
        <v>153</v>
      </c>
      <c r="X207" s="4" t="s">
        <v>153</v>
      </c>
      <c r="Y207" s="4" t="s">
        <v>153</v>
      </c>
      <c r="Z207" s="4" t="s">
        <v>153</v>
      </c>
      <c r="AA207" s="4" t="s">
        <v>153</v>
      </c>
      <c r="AB207" s="4" t="s">
        <v>153</v>
      </c>
      <c r="AC207" s="4" t="s">
        <v>153</v>
      </c>
      <c r="AD207" s="4" t="s">
        <v>153</v>
      </c>
      <c r="AE207" s="4" t="s">
        <v>153</v>
      </c>
      <c r="AF207" s="4" t="s">
        <v>153</v>
      </c>
      <c r="AG207" s="4" t="s">
        <v>153</v>
      </c>
      <c r="AH207" s="4" t="s">
        <v>153</v>
      </c>
      <c r="AI207" s="5"/>
      <c r="AJ207" t="s">
        <v>153</v>
      </c>
      <c r="AK207" s="4"/>
      <c r="AL207" t="s">
        <v>153</v>
      </c>
      <c r="AM207" t="s">
        <v>153</v>
      </c>
      <c r="AO207" t="s">
        <v>153</v>
      </c>
      <c r="AP207" s="4"/>
      <c r="AQ207" t="s">
        <v>153</v>
      </c>
      <c r="AR207" s="5">
        <v>45682</v>
      </c>
      <c r="AS207">
        <v>1</v>
      </c>
      <c r="AT207" s="4" t="s">
        <v>2644</v>
      </c>
      <c r="AU207" s="4" t="s">
        <v>2645</v>
      </c>
      <c r="AV207" s="4" t="s">
        <v>256</v>
      </c>
      <c r="AW207" t="s">
        <v>153</v>
      </c>
      <c r="AX207" t="s">
        <v>153</v>
      </c>
      <c r="AY207" t="s">
        <v>2646</v>
      </c>
      <c r="AZ207" t="s">
        <v>1098</v>
      </c>
      <c r="BA207" t="s">
        <v>153</v>
      </c>
      <c r="BB207" t="s">
        <v>153</v>
      </c>
      <c r="BC207" t="s">
        <v>153</v>
      </c>
      <c r="BD207" s="4" t="s">
        <v>2647</v>
      </c>
      <c r="BE207" s="4" t="s">
        <v>2648</v>
      </c>
      <c r="BF207" t="s">
        <v>242</v>
      </c>
      <c r="BG207" s="4" t="s">
        <v>637</v>
      </c>
      <c r="BH207" t="s">
        <v>153</v>
      </c>
      <c r="BI207" s="4" t="s">
        <v>153</v>
      </c>
      <c r="BJ207" t="s">
        <v>153</v>
      </c>
      <c r="BK207" s="4" t="s">
        <v>153</v>
      </c>
      <c r="BL207" t="s">
        <v>153</v>
      </c>
      <c r="BM207" t="s">
        <v>153</v>
      </c>
      <c r="BN207" s="4" t="s">
        <v>153</v>
      </c>
      <c r="BO207" s="4" t="s">
        <v>153</v>
      </c>
      <c r="BP207" s="4" t="s">
        <v>153</v>
      </c>
      <c r="BQ207" s="4" t="s">
        <v>153</v>
      </c>
      <c r="BR207" s="4" t="s">
        <v>153</v>
      </c>
      <c r="BS207" s="4" t="s">
        <v>153</v>
      </c>
      <c r="BT207" s="4" t="s">
        <v>153</v>
      </c>
      <c r="BU207" s="4" t="s">
        <v>153</v>
      </c>
      <c r="BV207" s="4"/>
      <c r="BW207" s="4" t="s">
        <v>153</v>
      </c>
      <c r="BX207" s="4" t="s">
        <v>153</v>
      </c>
      <c r="BY207" s="4" t="s">
        <v>153</v>
      </c>
      <c r="BZ207" s="4" t="s">
        <v>153</v>
      </c>
      <c r="CA207" s="4" t="s">
        <v>153</v>
      </c>
      <c r="CB207" s="4"/>
      <c r="CC207" s="4" t="s">
        <v>153</v>
      </c>
      <c r="CD207" t="s">
        <v>153</v>
      </c>
      <c r="CE207" s="4" t="s">
        <v>153</v>
      </c>
      <c r="CF207" s="4" t="s">
        <v>153</v>
      </c>
      <c r="CG207" s="4" t="s">
        <v>153</v>
      </c>
      <c r="CH207" s="5"/>
      <c r="CI207" t="s">
        <v>153</v>
      </c>
      <c r="CJ207" s="4"/>
      <c r="CK207" t="s">
        <v>153</v>
      </c>
      <c r="CL207" t="s">
        <v>153</v>
      </c>
      <c r="CM207" t="s">
        <v>153</v>
      </c>
      <c r="CN207" t="s">
        <v>153</v>
      </c>
      <c r="CO207" s="5"/>
      <c r="CP207" s="4" t="s">
        <v>153</v>
      </c>
      <c r="CQ207" s="4" t="s">
        <v>153</v>
      </c>
      <c r="CR207" t="s">
        <v>153</v>
      </c>
      <c r="CS207" t="s">
        <v>153</v>
      </c>
      <c r="CT207" t="s">
        <v>153</v>
      </c>
      <c r="CU207" t="s">
        <v>153</v>
      </c>
      <c r="CV207" t="s">
        <v>153</v>
      </c>
      <c r="CW207" t="s">
        <v>153</v>
      </c>
      <c r="CX207" t="s">
        <v>153</v>
      </c>
      <c r="CY207" t="s">
        <v>153</v>
      </c>
      <c r="CZ207" t="s">
        <v>153</v>
      </c>
      <c r="DA207" t="s">
        <v>153</v>
      </c>
      <c r="DB207" t="s">
        <v>153</v>
      </c>
      <c r="DC207" t="s">
        <v>153</v>
      </c>
      <c r="DD207" t="s">
        <v>153</v>
      </c>
      <c r="DE207" t="s">
        <v>153</v>
      </c>
      <c r="DF207" t="s">
        <v>153</v>
      </c>
      <c r="DG207" t="s">
        <v>153</v>
      </c>
      <c r="DI207" t="s">
        <v>153</v>
      </c>
      <c r="DJ207" t="s">
        <v>153</v>
      </c>
      <c r="DK207" t="s">
        <v>153</v>
      </c>
      <c r="DL207" t="s">
        <v>153</v>
      </c>
      <c r="DN207" t="s">
        <v>153</v>
      </c>
      <c r="DO207" t="s">
        <v>153</v>
      </c>
      <c r="DP207" t="s">
        <v>153</v>
      </c>
      <c r="DQ207" t="s">
        <v>153</v>
      </c>
      <c r="DR207" t="s">
        <v>153</v>
      </c>
      <c r="DS207" t="s">
        <v>153</v>
      </c>
      <c r="DT207" t="s">
        <v>153</v>
      </c>
      <c r="DU207" t="s">
        <v>153</v>
      </c>
      <c r="DV207" t="s">
        <v>153</v>
      </c>
      <c r="DW207" t="s">
        <v>153</v>
      </c>
      <c r="DX207" s="2"/>
      <c r="DY207" t="s">
        <v>153</v>
      </c>
      <c r="DZ207" t="s">
        <v>153</v>
      </c>
      <c r="EA207" t="s">
        <v>153</v>
      </c>
      <c r="EB207" t="s">
        <v>153</v>
      </c>
      <c r="EC207" t="s">
        <v>153</v>
      </c>
      <c r="ED207" t="s">
        <v>153</v>
      </c>
      <c r="EE207" t="s">
        <v>153</v>
      </c>
      <c r="EF207" t="s">
        <v>153</v>
      </c>
      <c r="EH207" t="s">
        <v>153</v>
      </c>
      <c r="EI207" t="s">
        <v>153</v>
      </c>
      <c r="EJ207" t="s">
        <v>153</v>
      </c>
      <c r="EK207" t="s">
        <v>153</v>
      </c>
      <c r="EM207" t="s">
        <v>153</v>
      </c>
      <c r="EN207" t="s">
        <v>153</v>
      </c>
      <c r="EP207" s="4" t="s">
        <v>153</v>
      </c>
      <c r="EQ207" s="4" t="s">
        <v>153</v>
      </c>
      <c r="ER207" s="4" t="s">
        <v>191</v>
      </c>
      <c r="ES207" s="4" t="s">
        <v>153</v>
      </c>
      <c r="ET207" t="s">
        <v>153</v>
      </c>
      <c r="EU207" t="s">
        <v>2649</v>
      </c>
      <c r="EV207" t="s">
        <v>2650</v>
      </c>
      <c r="EW207">
        <v>1312487974</v>
      </c>
      <c r="EX207" t="s">
        <v>2651</v>
      </c>
    </row>
    <row r="208" spans="1:154" x14ac:dyDescent="0.25">
      <c r="A208" s="3">
        <v>45700.512499999997</v>
      </c>
      <c r="B208" s="4" t="s">
        <v>153</v>
      </c>
      <c r="C208" s="4" t="s">
        <v>285</v>
      </c>
      <c r="D208" s="4" t="s">
        <v>286</v>
      </c>
      <c r="E208" s="4" t="s">
        <v>287</v>
      </c>
      <c r="F208" s="4" t="s">
        <v>288</v>
      </c>
      <c r="G208" s="4" t="s">
        <v>252</v>
      </c>
      <c r="H208" s="4" t="s">
        <v>289</v>
      </c>
      <c r="I208" s="4" t="s">
        <v>2652</v>
      </c>
      <c r="J208" s="4" t="s">
        <v>2653</v>
      </c>
      <c r="K208" s="5"/>
      <c r="L208" s="4" t="s">
        <v>153</v>
      </c>
      <c r="M208" s="4" t="s">
        <v>153</v>
      </c>
      <c r="N208" s="4" t="s">
        <v>153</v>
      </c>
      <c r="O208" s="4" t="s">
        <v>153</v>
      </c>
      <c r="P208" s="4" t="s">
        <v>153</v>
      </c>
      <c r="Q208" s="4" t="s">
        <v>153</v>
      </c>
      <c r="R208" s="4" t="s">
        <v>153</v>
      </c>
      <c r="S208" s="4" t="s">
        <v>153</v>
      </c>
      <c r="T208" s="4" t="s">
        <v>153</v>
      </c>
      <c r="U208" s="4" t="s">
        <v>153</v>
      </c>
      <c r="V208" s="4" t="s">
        <v>153</v>
      </c>
      <c r="W208" s="4" t="s">
        <v>153</v>
      </c>
      <c r="X208" s="4" t="s">
        <v>153</v>
      </c>
      <c r="Y208" s="4" t="s">
        <v>153</v>
      </c>
      <c r="Z208" s="4" t="s">
        <v>153</v>
      </c>
      <c r="AA208" s="4" t="s">
        <v>153</v>
      </c>
      <c r="AB208" s="4" t="s">
        <v>153</v>
      </c>
      <c r="AC208" s="4" t="s">
        <v>153</v>
      </c>
      <c r="AD208" s="4" t="s">
        <v>153</v>
      </c>
      <c r="AE208" s="4" t="s">
        <v>153</v>
      </c>
      <c r="AF208" s="4" t="s">
        <v>153</v>
      </c>
      <c r="AG208" s="4" t="s">
        <v>153</v>
      </c>
      <c r="AH208" s="4" t="s">
        <v>153</v>
      </c>
      <c r="AI208" s="5"/>
      <c r="AJ208" t="s">
        <v>153</v>
      </c>
      <c r="AK208" s="4"/>
      <c r="AL208" t="s">
        <v>153</v>
      </c>
      <c r="AM208" t="s">
        <v>153</v>
      </c>
      <c r="AO208" t="s">
        <v>153</v>
      </c>
      <c r="AP208" s="4"/>
      <c r="AQ208" t="s">
        <v>153</v>
      </c>
      <c r="AR208" s="5">
        <v>45657</v>
      </c>
      <c r="AS208">
        <v>2</v>
      </c>
      <c r="AT208" s="4" t="s">
        <v>2654</v>
      </c>
      <c r="AU208" s="4" t="s">
        <v>307</v>
      </c>
      <c r="AV208" s="4" t="s">
        <v>153</v>
      </c>
      <c r="AW208" t="s">
        <v>153</v>
      </c>
      <c r="AX208" t="s">
        <v>153</v>
      </c>
      <c r="AY208" t="s">
        <v>153</v>
      </c>
      <c r="AZ208" t="s">
        <v>2655</v>
      </c>
      <c r="BA208" t="s">
        <v>153</v>
      </c>
      <c r="BB208" t="s">
        <v>153</v>
      </c>
      <c r="BC208" t="s">
        <v>2656</v>
      </c>
      <c r="BD208" s="4" t="s">
        <v>2657</v>
      </c>
      <c r="BE208" s="4" t="s">
        <v>2658</v>
      </c>
      <c r="BF208" t="s">
        <v>243</v>
      </c>
      <c r="BG208" s="4" t="s">
        <v>153</v>
      </c>
      <c r="BH208" t="s">
        <v>153</v>
      </c>
      <c r="BI208" s="4" t="s">
        <v>153</v>
      </c>
      <c r="BJ208" t="s">
        <v>153</v>
      </c>
      <c r="BK208" s="4" t="s">
        <v>153</v>
      </c>
      <c r="BL208" t="s">
        <v>153</v>
      </c>
      <c r="BM208" t="s">
        <v>153</v>
      </c>
      <c r="BN208" s="4" t="s">
        <v>153</v>
      </c>
      <c r="BO208" s="4" t="s">
        <v>153</v>
      </c>
      <c r="BP208" s="4" t="s">
        <v>153</v>
      </c>
      <c r="BQ208" s="4" t="s">
        <v>153</v>
      </c>
      <c r="BR208" s="4" t="s">
        <v>153</v>
      </c>
      <c r="BS208" s="4" t="s">
        <v>153</v>
      </c>
      <c r="BT208" s="4" t="s">
        <v>153</v>
      </c>
      <c r="BU208" s="4" t="s">
        <v>153</v>
      </c>
      <c r="BV208" s="4"/>
      <c r="BW208" s="4" t="s">
        <v>153</v>
      </c>
      <c r="BX208" s="4" t="s">
        <v>153</v>
      </c>
      <c r="BY208" s="4" t="s">
        <v>153</v>
      </c>
      <c r="BZ208" s="4" t="s">
        <v>153</v>
      </c>
      <c r="CA208" s="4" t="s">
        <v>153</v>
      </c>
      <c r="CB208" s="4"/>
      <c r="CC208" s="4" t="s">
        <v>153</v>
      </c>
      <c r="CD208" t="s">
        <v>153</v>
      </c>
      <c r="CE208" s="4" t="s">
        <v>153</v>
      </c>
      <c r="CF208" s="4" t="s">
        <v>153</v>
      </c>
      <c r="CG208" s="4" t="s">
        <v>153</v>
      </c>
      <c r="CH208" s="5"/>
      <c r="CI208" t="s">
        <v>153</v>
      </c>
      <c r="CJ208" s="4"/>
      <c r="CK208" t="s">
        <v>153</v>
      </c>
      <c r="CL208" t="s">
        <v>153</v>
      </c>
      <c r="CM208" t="s">
        <v>153</v>
      </c>
      <c r="CN208" t="s">
        <v>153</v>
      </c>
      <c r="CO208" s="5"/>
      <c r="CP208" s="4" t="s">
        <v>153</v>
      </c>
      <c r="CQ208" s="4" t="s">
        <v>153</v>
      </c>
      <c r="CR208" t="s">
        <v>153</v>
      </c>
      <c r="CS208" t="s">
        <v>153</v>
      </c>
      <c r="CT208" t="s">
        <v>153</v>
      </c>
      <c r="CU208" t="s">
        <v>153</v>
      </c>
      <c r="CV208" t="s">
        <v>153</v>
      </c>
      <c r="CW208" t="s">
        <v>153</v>
      </c>
      <c r="CX208" t="s">
        <v>153</v>
      </c>
      <c r="CY208" t="s">
        <v>153</v>
      </c>
      <c r="CZ208" t="s">
        <v>153</v>
      </c>
      <c r="DA208" t="s">
        <v>153</v>
      </c>
      <c r="DB208" t="s">
        <v>153</v>
      </c>
      <c r="DC208" t="s">
        <v>153</v>
      </c>
      <c r="DD208" t="s">
        <v>153</v>
      </c>
      <c r="DE208" t="s">
        <v>153</v>
      </c>
      <c r="DF208" t="s">
        <v>153</v>
      </c>
      <c r="DG208" t="s">
        <v>153</v>
      </c>
      <c r="DI208" t="s">
        <v>153</v>
      </c>
      <c r="DJ208" t="s">
        <v>153</v>
      </c>
      <c r="DK208" t="s">
        <v>153</v>
      </c>
      <c r="DL208" t="s">
        <v>153</v>
      </c>
      <c r="DN208" t="s">
        <v>153</v>
      </c>
      <c r="DO208" t="s">
        <v>153</v>
      </c>
      <c r="DP208" t="s">
        <v>153</v>
      </c>
      <c r="DQ208" t="s">
        <v>153</v>
      </c>
      <c r="DR208" t="s">
        <v>153</v>
      </c>
      <c r="DS208" t="s">
        <v>153</v>
      </c>
      <c r="DT208" t="s">
        <v>153</v>
      </c>
      <c r="DU208" t="s">
        <v>153</v>
      </c>
      <c r="DV208" t="s">
        <v>153</v>
      </c>
      <c r="DW208" t="s">
        <v>153</v>
      </c>
      <c r="DX208" s="2"/>
      <c r="DY208" t="s">
        <v>153</v>
      </c>
      <c r="DZ208" t="s">
        <v>153</v>
      </c>
      <c r="EA208" t="s">
        <v>153</v>
      </c>
      <c r="EB208" t="s">
        <v>153</v>
      </c>
      <c r="EC208" t="s">
        <v>153</v>
      </c>
      <c r="ED208" t="s">
        <v>153</v>
      </c>
      <c r="EE208" t="s">
        <v>153</v>
      </c>
      <c r="EF208" t="s">
        <v>153</v>
      </c>
      <c r="EH208" t="s">
        <v>153</v>
      </c>
      <c r="EI208" t="s">
        <v>153</v>
      </c>
      <c r="EJ208" t="s">
        <v>153</v>
      </c>
      <c r="EK208" t="s">
        <v>153</v>
      </c>
      <c r="EM208" t="s">
        <v>153</v>
      </c>
      <c r="EN208" t="s">
        <v>153</v>
      </c>
      <c r="EP208" s="4" t="s">
        <v>153</v>
      </c>
      <c r="EQ208" s="4" t="s">
        <v>153</v>
      </c>
      <c r="ER208" s="4" t="s">
        <v>191</v>
      </c>
      <c r="ES208" s="4" t="s">
        <v>153</v>
      </c>
      <c r="ET208" t="s">
        <v>153</v>
      </c>
      <c r="EU208" t="s">
        <v>2620</v>
      </c>
      <c r="EV208" t="s">
        <v>1899</v>
      </c>
      <c r="EW208">
        <v>1314278139</v>
      </c>
      <c r="EX208" t="s">
        <v>366</v>
      </c>
    </row>
    <row r="209" spans="1:154" x14ac:dyDescent="0.25">
      <c r="A209" s="3">
        <v>45707.658993055556</v>
      </c>
      <c r="B209" s="4" t="s">
        <v>153</v>
      </c>
      <c r="C209" s="4" t="s">
        <v>877</v>
      </c>
      <c r="D209" s="4" t="s">
        <v>878</v>
      </c>
      <c r="E209" s="4" t="s">
        <v>2493</v>
      </c>
      <c r="F209" s="4" t="s">
        <v>2494</v>
      </c>
      <c r="G209" s="4" t="s">
        <v>948</v>
      </c>
      <c r="H209" s="4" t="s">
        <v>566</v>
      </c>
      <c r="I209" s="4" t="s">
        <v>2659</v>
      </c>
      <c r="J209" s="4" t="s">
        <v>2660</v>
      </c>
      <c r="K209" s="5">
        <v>45707</v>
      </c>
      <c r="L209" s="4" t="s">
        <v>1486</v>
      </c>
      <c r="M209" s="4" t="s">
        <v>2659</v>
      </c>
      <c r="N209" s="4" t="s">
        <v>2661</v>
      </c>
      <c r="O209" s="4" t="s">
        <v>2662</v>
      </c>
      <c r="P209" s="4" t="s">
        <v>2663</v>
      </c>
      <c r="Q209" s="4" t="s">
        <v>153</v>
      </c>
      <c r="R209" s="4" t="s">
        <v>308</v>
      </c>
      <c r="S209" s="4" t="s">
        <v>153</v>
      </c>
      <c r="T209" s="4" t="s">
        <v>2664</v>
      </c>
      <c r="U209" s="4" t="s">
        <v>2665</v>
      </c>
      <c r="V209" s="4" t="s">
        <v>153</v>
      </c>
      <c r="W209" s="4" t="s">
        <v>1925</v>
      </c>
      <c r="X209" s="4" t="s">
        <v>429</v>
      </c>
      <c r="Y209" s="4" t="s">
        <v>2666</v>
      </c>
      <c r="Z209" s="4" t="s">
        <v>197</v>
      </c>
      <c r="AA209" s="4" t="s">
        <v>2667</v>
      </c>
      <c r="AB209" s="4" t="s">
        <v>153</v>
      </c>
      <c r="AC209" s="4" t="s">
        <v>1925</v>
      </c>
      <c r="AD209" s="4" t="s">
        <v>429</v>
      </c>
      <c r="AE209" s="4" t="s">
        <v>2668</v>
      </c>
      <c r="AF209" s="4" t="s">
        <v>2669</v>
      </c>
      <c r="AG209" s="4" t="s">
        <v>2670</v>
      </c>
      <c r="AH209" s="4" t="s">
        <v>153</v>
      </c>
      <c r="AI209" s="5"/>
      <c r="AJ209" t="s">
        <v>153</v>
      </c>
      <c r="AK209" s="4"/>
      <c r="AL209" t="s">
        <v>153</v>
      </c>
      <c r="AM209" t="s">
        <v>153</v>
      </c>
      <c r="AO209" t="s">
        <v>153</v>
      </c>
      <c r="AP209" s="4"/>
      <c r="AQ209" t="s">
        <v>153</v>
      </c>
      <c r="AR209" s="5"/>
      <c r="AT209" s="4" t="s">
        <v>153</v>
      </c>
      <c r="AU209" s="4" t="s">
        <v>153</v>
      </c>
      <c r="AV209" s="4" t="s">
        <v>153</v>
      </c>
      <c r="AW209" t="s">
        <v>153</v>
      </c>
      <c r="AX209" t="s">
        <v>153</v>
      </c>
      <c r="AY209" t="s">
        <v>153</v>
      </c>
      <c r="AZ209" t="s">
        <v>153</v>
      </c>
      <c r="BA209" t="s">
        <v>153</v>
      </c>
      <c r="BB209" t="s">
        <v>153</v>
      </c>
      <c r="BC209" t="s">
        <v>153</v>
      </c>
      <c r="BD209" s="4" t="s">
        <v>153</v>
      </c>
      <c r="BE209" s="4" t="s">
        <v>153</v>
      </c>
      <c r="BF209" t="s">
        <v>153</v>
      </c>
      <c r="BG209" s="4" t="s">
        <v>153</v>
      </c>
      <c r="BH209" t="s">
        <v>153</v>
      </c>
      <c r="BI209" s="4" t="s">
        <v>153</v>
      </c>
      <c r="BJ209" t="s">
        <v>153</v>
      </c>
      <c r="BK209" s="4" t="s">
        <v>153</v>
      </c>
      <c r="BL209" t="s">
        <v>153</v>
      </c>
      <c r="BM209" t="s">
        <v>153</v>
      </c>
      <c r="BN209" s="4" t="s">
        <v>153</v>
      </c>
      <c r="BO209" s="4" t="s">
        <v>153</v>
      </c>
      <c r="BP209" s="4" t="s">
        <v>153</v>
      </c>
      <c r="BQ209" s="4" t="s">
        <v>153</v>
      </c>
      <c r="BR209" s="4" t="s">
        <v>153</v>
      </c>
      <c r="BS209" s="4" t="s">
        <v>153</v>
      </c>
      <c r="BT209" s="4" t="s">
        <v>153</v>
      </c>
      <c r="BU209" s="4" t="s">
        <v>153</v>
      </c>
      <c r="BV209" s="4"/>
      <c r="BW209" s="4" t="s">
        <v>153</v>
      </c>
      <c r="BX209" s="4" t="s">
        <v>153</v>
      </c>
      <c r="BY209" s="4" t="s">
        <v>153</v>
      </c>
      <c r="BZ209" s="4" t="s">
        <v>153</v>
      </c>
      <c r="CA209" s="4" t="s">
        <v>153</v>
      </c>
      <c r="CB209" s="4"/>
      <c r="CC209" s="4" t="s">
        <v>153</v>
      </c>
      <c r="CD209" t="s">
        <v>153</v>
      </c>
      <c r="CE209" s="4" t="s">
        <v>153</v>
      </c>
      <c r="CF209" s="4" t="s">
        <v>153</v>
      </c>
      <c r="CG209" s="4" t="s">
        <v>153</v>
      </c>
      <c r="CH209" s="5"/>
      <c r="CI209" t="s">
        <v>153</v>
      </c>
      <c r="CJ209" s="4"/>
      <c r="CK209" t="s">
        <v>153</v>
      </c>
      <c r="CL209" t="s">
        <v>153</v>
      </c>
      <c r="CM209" t="s">
        <v>153</v>
      </c>
      <c r="CN209" t="s">
        <v>153</v>
      </c>
      <c r="CO209" s="5"/>
      <c r="CP209" s="4" t="s">
        <v>153</v>
      </c>
      <c r="CQ209" s="4" t="s">
        <v>153</v>
      </c>
      <c r="CR209" t="s">
        <v>153</v>
      </c>
      <c r="CS209" t="s">
        <v>153</v>
      </c>
      <c r="CT209" t="s">
        <v>153</v>
      </c>
      <c r="CU209" t="s">
        <v>153</v>
      </c>
      <c r="CV209" t="s">
        <v>153</v>
      </c>
      <c r="CW209" t="s">
        <v>153</v>
      </c>
      <c r="CX209" t="s">
        <v>153</v>
      </c>
      <c r="CY209" t="s">
        <v>153</v>
      </c>
      <c r="CZ209" t="s">
        <v>153</v>
      </c>
      <c r="DA209" t="s">
        <v>153</v>
      </c>
      <c r="DB209" t="s">
        <v>153</v>
      </c>
      <c r="DC209" t="s">
        <v>153</v>
      </c>
      <c r="DD209" t="s">
        <v>153</v>
      </c>
      <c r="DE209" t="s">
        <v>153</v>
      </c>
      <c r="DF209" t="s">
        <v>153</v>
      </c>
      <c r="DG209" t="s">
        <v>153</v>
      </c>
      <c r="DI209" t="s">
        <v>153</v>
      </c>
      <c r="DJ209" t="s">
        <v>153</v>
      </c>
      <c r="DK209" t="s">
        <v>153</v>
      </c>
      <c r="DL209" t="s">
        <v>153</v>
      </c>
      <c r="DN209" t="s">
        <v>153</v>
      </c>
      <c r="DO209" t="s">
        <v>153</v>
      </c>
      <c r="DP209" t="s">
        <v>153</v>
      </c>
      <c r="DQ209" t="s">
        <v>153</v>
      </c>
      <c r="DR209" t="s">
        <v>153</v>
      </c>
      <c r="DS209" t="s">
        <v>153</v>
      </c>
      <c r="DT209" t="s">
        <v>153</v>
      </c>
      <c r="DU209" t="s">
        <v>153</v>
      </c>
      <c r="DV209" t="s">
        <v>153</v>
      </c>
      <c r="DW209" t="s">
        <v>153</v>
      </c>
      <c r="DX209" s="2"/>
      <c r="DY209" t="s">
        <v>153</v>
      </c>
      <c r="DZ209" t="s">
        <v>153</v>
      </c>
      <c r="EA209" t="s">
        <v>153</v>
      </c>
      <c r="EB209" t="s">
        <v>153</v>
      </c>
      <c r="EC209" t="s">
        <v>153</v>
      </c>
      <c r="ED209" t="s">
        <v>153</v>
      </c>
      <c r="EE209" t="s">
        <v>153</v>
      </c>
      <c r="EF209" t="s">
        <v>153</v>
      </c>
      <c r="EH209" t="s">
        <v>153</v>
      </c>
      <c r="EI209" t="s">
        <v>153</v>
      </c>
      <c r="EJ209" t="s">
        <v>153</v>
      </c>
      <c r="EK209" t="s">
        <v>153</v>
      </c>
      <c r="EM209" t="s">
        <v>153</v>
      </c>
      <c r="EN209" t="s">
        <v>153</v>
      </c>
      <c r="EP209" s="4" t="s">
        <v>153</v>
      </c>
      <c r="EQ209" s="4" t="s">
        <v>153</v>
      </c>
      <c r="ER209" s="4" t="s">
        <v>153</v>
      </c>
      <c r="ES209" s="4" t="s">
        <v>153</v>
      </c>
      <c r="ET209" t="s">
        <v>153</v>
      </c>
      <c r="EU209" t="s">
        <v>2649</v>
      </c>
      <c r="EV209" t="s">
        <v>2671</v>
      </c>
      <c r="EW209">
        <v>1316417277</v>
      </c>
      <c r="EX209" t="s">
        <v>2508</v>
      </c>
    </row>
    <row r="210" spans="1:154" x14ac:dyDescent="0.25">
      <c r="A210" s="3">
        <v>45707.676064814812</v>
      </c>
      <c r="B210" s="4" t="s">
        <v>153</v>
      </c>
      <c r="C210" s="4" t="s">
        <v>248</v>
      </c>
      <c r="D210" s="4" t="s">
        <v>249</v>
      </c>
      <c r="E210" s="4" t="s">
        <v>250</v>
      </c>
      <c r="F210" s="4" t="s">
        <v>251</v>
      </c>
      <c r="G210" s="4" t="s">
        <v>185</v>
      </c>
      <c r="H210" s="4" t="s">
        <v>2672</v>
      </c>
      <c r="I210" s="4" t="s">
        <v>2673</v>
      </c>
      <c r="J210" s="4" t="s">
        <v>153</v>
      </c>
      <c r="K210" s="5"/>
      <c r="L210" s="4" t="s">
        <v>153</v>
      </c>
      <c r="M210" s="4" t="s">
        <v>2673</v>
      </c>
      <c r="N210" s="4" t="s">
        <v>2673</v>
      </c>
      <c r="O210" s="4" t="s">
        <v>2674</v>
      </c>
      <c r="P210" s="4" t="s">
        <v>2675</v>
      </c>
      <c r="Q210" s="4" t="s">
        <v>1486</v>
      </c>
      <c r="R210" s="4" t="s">
        <v>666</v>
      </c>
      <c r="S210" s="4" t="s">
        <v>153</v>
      </c>
      <c r="T210" s="4" t="s">
        <v>153</v>
      </c>
      <c r="U210" s="4" t="s">
        <v>2676</v>
      </c>
      <c r="V210" s="4" t="s">
        <v>153</v>
      </c>
      <c r="W210" s="4" t="s">
        <v>2677</v>
      </c>
      <c r="X210" s="4" t="s">
        <v>347</v>
      </c>
      <c r="Y210" s="4" t="s">
        <v>2678</v>
      </c>
      <c r="Z210" s="4" t="s">
        <v>197</v>
      </c>
      <c r="AA210" s="4" t="s">
        <v>2679</v>
      </c>
      <c r="AB210" s="4" t="s">
        <v>153</v>
      </c>
      <c r="AC210" s="4" t="s">
        <v>2677</v>
      </c>
      <c r="AD210" s="4" t="s">
        <v>347</v>
      </c>
      <c r="AE210" s="4" t="s">
        <v>2678</v>
      </c>
      <c r="AF210" s="4" t="s">
        <v>2680</v>
      </c>
      <c r="AG210" s="4" t="s">
        <v>2681</v>
      </c>
      <c r="AH210" s="4" t="s">
        <v>2682</v>
      </c>
      <c r="AI210" s="5">
        <v>45442</v>
      </c>
      <c r="AJ210" t="s">
        <v>2683</v>
      </c>
      <c r="AK210" s="4">
        <v>10</v>
      </c>
      <c r="AL210" t="s">
        <v>153</v>
      </c>
      <c r="AM210" t="s">
        <v>153</v>
      </c>
      <c r="AO210" t="s">
        <v>153</v>
      </c>
      <c r="AP210" s="4"/>
      <c r="AQ210" t="s">
        <v>153</v>
      </c>
      <c r="AR210" s="5"/>
      <c r="AT210" s="4" t="s">
        <v>153</v>
      </c>
      <c r="AU210" s="4" t="s">
        <v>153</v>
      </c>
      <c r="AV210" s="4" t="s">
        <v>153</v>
      </c>
      <c r="AW210" t="s">
        <v>153</v>
      </c>
      <c r="AX210" t="s">
        <v>153</v>
      </c>
      <c r="AY210" t="s">
        <v>153</v>
      </c>
      <c r="AZ210" t="s">
        <v>153</v>
      </c>
      <c r="BA210" t="s">
        <v>153</v>
      </c>
      <c r="BB210" t="s">
        <v>153</v>
      </c>
      <c r="BC210" t="s">
        <v>153</v>
      </c>
      <c r="BD210" s="4" t="s">
        <v>153</v>
      </c>
      <c r="BE210" s="4" t="s">
        <v>153</v>
      </c>
      <c r="BF210" t="s">
        <v>153</v>
      </c>
      <c r="BG210" s="4" t="s">
        <v>153</v>
      </c>
      <c r="BH210" t="s">
        <v>153</v>
      </c>
      <c r="BI210" s="4" t="s">
        <v>153</v>
      </c>
      <c r="BJ210" t="s">
        <v>153</v>
      </c>
      <c r="BK210" s="4" t="s">
        <v>153</v>
      </c>
      <c r="BL210" t="s">
        <v>153</v>
      </c>
      <c r="BM210" t="s">
        <v>153</v>
      </c>
      <c r="BN210" s="4" t="s">
        <v>153</v>
      </c>
      <c r="BO210" s="4" t="s">
        <v>153</v>
      </c>
      <c r="BP210" s="4" t="s">
        <v>153</v>
      </c>
      <c r="BQ210" s="4" t="s">
        <v>153</v>
      </c>
      <c r="BR210" s="4" t="s">
        <v>153</v>
      </c>
      <c r="BS210" s="4" t="s">
        <v>153</v>
      </c>
      <c r="BT210" s="4" t="s">
        <v>153</v>
      </c>
      <c r="BU210" s="4" t="s">
        <v>153</v>
      </c>
      <c r="BV210" s="4"/>
      <c r="BW210" s="4" t="s">
        <v>153</v>
      </c>
      <c r="BX210" s="4" t="s">
        <v>153</v>
      </c>
      <c r="BY210" s="4" t="s">
        <v>153</v>
      </c>
      <c r="BZ210" s="4" t="s">
        <v>153</v>
      </c>
      <c r="CA210" s="4" t="s">
        <v>153</v>
      </c>
      <c r="CB210" s="4"/>
      <c r="CC210" s="4" t="s">
        <v>153</v>
      </c>
      <c r="CD210" t="s">
        <v>153</v>
      </c>
      <c r="CE210" s="4" t="s">
        <v>153</v>
      </c>
      <c r="CF210" s="4" t="s">
        <v>153</v>
      </c>
      <c r="CG210" s="4" t="s">
        <v>153</v>
      </c>
      <c r="CH210" s="5"/>
      <c r="CI210" t="s">
        <v>153</v>
      </c>
      <c r="CJ210" s="4"/>
      <c r="CK210" t="s">
        <v>153</v>
      </c>
      <c r="CL210" t="s">
        <v>153</v>
      </c>
      <c r="CM210" t="s">
        <v>153</v>
      </c>
      <c r="CN210" t="s">
        <v>153</v>
      </c>
      <c r="CO210" s="5"/>
      <c r="CP210" s="4" t="s">
        <v>153</v>
      </c>
      <c r="CQ210" s="4" t="s">
        <v>153</v>
      </c>
      <c r="CR210" t="s">
        <v>153</v>
      </c>
      <c r="CS210" t="s">
        <v>153</v>
      </c>
      <c r="CT210" t="s">
        <v>153</v>
      </c>
      <c r="CU210" t="s">
        <v>153</v>
      </c>
      <c r="CV210" t="s">
        <v>153</v>
      </c>
      <c r="CW210" t="s">
        <v>153</v>
      </c>
      <c r="CX210" t="s">
        <v>153</v>
      </c>
      <c r="CY210" t="s">
        <v>153</v>
      </c>
      <c r="CZ210" t="s">
        <v>153</v>
      </c>
      <c r="DA210" t="s">
        <v>153</v>
      </c>
      <c r="DB210" t="s">
        <v>153</v>
      </c>
      <c r="DC210" t="s">
        <v>153</v>
      </c>
      <c r="DD210" t="s">
        <v>153</v>
      </c>
      <c r="DE210" t="s">
        <v>153</v>
      </c>
      <c r="DF210" t="s">
        <v>153</v>
      </c>
      <c r="DG210" t="s">
        <v>153</v>
      </c>
      <c r="DI210" t="s">
        <v>153</v>
      </c>
      <c r="DJ210" t="s">
        <v>153</v>
      </c>
      <c r="DK210" t="s">
        <v>153</v>
      </c>
      <c r="DL210" t="s">
        <v>153</v>
      </c>
      <c r="DN210" t="s">
        <v>153</v>
      </c>
      <c r="DO210" t="s">
        <v>153</v>
      </c>
      <c r="DP210" t="s">
        <v>153</v>
      </c>
      <c r="DQ210" t="s">
        <v>153</v>
      </c>
      <c r="DR210" t="s">
        <v>153</v>
      </c>
      <c r="DS210" t="s">
        <v>153</v>
      </c>
      <c r="DT210" t="s">
        <v>153</v>
      </c>
      <c r="DU210" t="s">
        <v>153</v>
      </c>
      <c r="DV210" t="s">
        <v>153</v>
      </c>
      <c r="DW210" t="s">
        <v>153</v>
      </c>
      <c r="DX210" s="2"/>
      <c r="DY210" t="s">
        <v>153</v>
      </c>
      <c r="DZ210" t="s">
        <v>153</v>
      </c>
      <c r="EA210" t="s">
        <v>153</v>
      </c>
      <c r="EB210" t="s">
        <v>153</v>
      </c>
      <c r="EC210" t="s">
        <v>153</v>
      </c>
      <c r="ED210" t="s">
        <v>153</v>
      </c>
      <c r="EE210" t="s">
        <v>153</v>
      </c>
      <c r="EF210" t="s">
        <v>153</v>
      </c>
      <c r="EH210" t="s">
        <v>153</v>
      </c>
      <c r="EI210" t="s">
        <v>153</v>
      </c>
      <c r="EJ210" t="s">
        <v>153</v>
      </c>
      <c r="EK210" t="s">
        <v>153</v>
      </c>
      <c r="EM210" t="s">
        <v>153</v>
      </c>
      <c r="EN210" t="s">
        <v>153</v>
      </c>
      <c r="EP210" s="4" t="s">
        <v>153</v>
      </c>
      <c r="EQ210" s="4" t="s">
        <v>153</v>
      </c>
      <c r="ER210" s="4" t="s">
        <v>243</v>
      </c>
      <c r="ES210" s="4" t="s">
        <v>356</v>
      </c>
      <c r="ET210" t="s">
        <v>153</v>
      </c>
      <c r="EU210" t="s">
        <v>2427</v>
      </c>
      <c r="EV210" t="s">
        <v>2684</v>
      </c>
      <c r="EW210">
        <v>1316429823</v>
      </c>
      <c r="EX210" t="s">
        <v>2685</v>
      </c>
    </row>
    <row r="211" spans="1:154" x14ac:dyDescent="0.25">
      <c r="A211" s="3">
        <v>45708.61314814815</v>
      </c>
      <c r="B211" s="4" t="s">
        <v>153</v>
      </c>
      <c r="C211" s="4" t="s">
        <v>2686</v>
      </c>
      <c r="D211" s="4" t="s">
        <v>2687</v>
      </c>
      <c r="E211" s="4" t="s">
        <v>2688</v>
      </c>
      <c r="F211" s="4" t="s">
        <v>2689</v>
      </c>
      <c r="G211" s="4" t="s">
        <v>948</v>
      </c>
      <c r="H211" s="4" t="s">
        <v>226</v>
      </c>
      <c r="I211" s="4" t="s">
        <v>2690</v>
      </c>
      <c r="J211" s="4" t="s">
        <v>2691</v>
      </c>
      <c r="K211" s="5">
        <v>45669</v>
      </c>
      <c r="L211" s="4" t="s">
        <v>2293</v>
      </c>
      <c r="M211" s="4" t="s">
        <v>2690</v>
      </c>
      <c r="N211" s="4" t="s">
        <v>153</v>
      </c>
      <c r="O211" s="4" t="s">
        <v>153</v>
      </c>
      <c r="P211" s="4" t="s">
        <v>153</v>
      </c>
      <c r="Q211" s="4" t="s">
        <v>153</v>
      </c>
      <c r="R211" s="4" t="s">
        <v>153</v>
      </c>
      <c r="S211" s="4" t="s">
        <v>153</v>
      </c>
      <c r="T211" s="4" t="s">
        <v>153</v>
      </c>
      <c r="U211" s="4" t="s">
        <v>153</v>
      </c>
      <c r="V211" s="4" t="s">
        <v>153</v>
      </c>
      <c r="W211" s="4" t="s">
        <v>153</v>
      </c>
      <c r="X211" s="4" t="s">
        <v>153</v>
      </c>
      <c r="Y211" s="4" t="s">
        <v>153</v>
      </c>
      <c r="Z211" s="4" t="s">
        <v>153</v>
      </c>
      <c r="AA211" s="4" t="s">
        <v>153</v>
      </c>
      <c r="AB211" s="4" t="s">
        <v>153</v>
      </c>
      <c r="AC211" s="4" t="s">
        <v>153</v>
      </c>
      <c r="AD211" s="4" t="s">
        <v>153</v>
      </c>
      <c r="AE211" s="4" t="s">
        <v>153</v>
      </c>
      <c r="AF211" s="4" t="s">
        <v>153</v>
      </c>
      <c r="AG211" s="4" t="s">
        <v>153</v>
      </c>
      <c r="AH211" s="4" t="s">
        <v>153</v>
      </c>
      <c r="AI211" s="5"/>
      <c r="AJ211" t="s">
        <v>153</v>
      </c>
      <c r="AK211" s="4"/>
      <c r="AL211" t="s">
        <v>153</v>
      </c>
      <c r="AM211" t="s">
        <v>153</v>
      </c>
      <c r="AO211" t="s">
        <v>153</v>
      </c>
      <c r="AP211" s="4"/>
      <c r="AQ211" t="s">
        <v>153</v>
      </c>
      <c r="AR211" s="5">
        <v>45669</v>
      </c>
      <c r="AS211">
        <v>1</v>
      </c>
      <c r="AT211" s="4" t="s">
        <v>2614</v>
      </c>
      <c r="AU211" s="4" t="s">
        <v>2692</v>
      </c>
      <c r="AV211" s="4" t="s">
        <v>921</v>
      </c>
      <c r="AW211" t="s">
        <v>153</v>
      </c>
      <c r="AX211" t="s">
        <v>2693</v>
      </c>
      <c r="AY211" t="s">
        <v>153</v>
      </c>
      <c r="AZ211" t="s">
        <v>2694</v>
      </c>
      <c r="BA211" t="s">
        <v>153</v>
      </c>
      <c r="BB211" t="s">
        <v>153</v>
      </c>
      <c r="BC211" t="s">
        <v>153</v>
      </c>
      <c r="BD211" s="4" t="s">
        <v>203</v>
      </c>
      <c r="BE211" s="4" t="s">
        <v>2695</v>
      </c>
      <c r="BF211" t="s">
        <v>242</v>
      </c>
      <c r="BG211" s="4" t="s">
        <v>2696</v>
      </c>
      <c r="BH211" t="s">
        <v>153</v>
      </c>
      <c r="BI211" s="4" t="s">
        <v>153</v>
      </c>
      <c r="BJ211" t="s">
        <v>153</v>
      </c>
      <c r="BK211" s="4" t="s">
        <v>153</v>
      </c>
      <c r="BL211" t="s">
        <v>153</v>
      </c>
      <c r="BM211" t="s">
        <v>153</v>
      </c>
      <c r="BN211" s="4" t="s">
        <v>153</v>
      </c>
      <c r="BO211" s="4" t="s">
        <v>153</v>
      </c>
      <c r="BP211" s="4" t="s">
        <v>153</v>
      </c>
      <c r="BQ211" s="4" t="s">
        <v>153</v>
      </c>
      <c r="BR211" s="4" t="s">
        <v>153</v>
      </c>
      <c r="BS211" s="4" t="s">
        <v>153</v>
      </c>
      <c r="BT211" s="4" t="s">
        <v>153</v>
      </c>
      <c r="BU211" s="4" t="s">
        <v>153</v>
      </c>
      <c r="BV211" s="4"/>
      <c r="BW211" s="4" t="s">
        <v>153</v>
      </c>
      <c r="BX211" s="4" t="s">
        <v>153</v>
      </c>
      <c r="BY211" s="4" t="s">
        <v>153</v>
      </c>
      <c r="BZ211" s="4" t="s">
        <v>153</v>
      </c>
      <c r="CA211" s="4" t="s">
        <v>153</v>
      </c>
      <c r="CB211" s="4"/>
      <c r="CC211" s="4" t="s">
        <v>153</v>
      </c>
      <c r="CD211" t="s">
        <v>153</v>
      </c>
      <c r="CE211" s="4" t="s">
        <v>153</v>
      </c>
      <c r="CF211" s="4" t="s">
        <v>153</v>
      </c>
      <c r="CG211" s="4" t="s">
        <v>153</v>
      </c>
      <c r="CH211" s="5"/>
      <c r="CI211" t="s">
        <v>153</v>
      </c>
      <c r="CJ211" s="4"/>
      <c r="CK211" t="s">
        <v>153</v>
      </c>
      <c r="CL211" t="s">
        <v>153</v>
      </c>
      <c r="CM211" t="s">
        <v>153</v>
      </c>
      <c r="CN211" t="s">
        <v>153</v>
      </c>
      <c r="CO211" s="5"/>
      <c r="CP211" s="4" t="s">
        <v>153</v>
      </c>
      <c r="CQ211" s="4" t="s">
        <v>153</v>
      </c>
      <c r="CR211" t="s">
        <v>153</v>
      </c>
      <c r="CS211" t="s">
        <v>153</v>
      </c>
      <c r="CT211" t="s">
        <v>153</v>
      </c>
      <c r="CU211" t="s">
        <v>153</v>
      </c>
      <c r="CV211" t="s">
        <v>153</v>
      </c>
      <c r="CW211" t="s">
        <v>153</v>
      </c>
      <c r="CX211" t="s">
        <v>153</v>
      </c>
      <c r="CY211" t="s">
        <v>153</v>
      </c>
      <c r="CZ211" t="s">
        <v>153</v>
      </c>
      <c r="DA211" t="s">
        <v>153</v>
      </c>
      <c r="DB211" t="s">
        <v>153</v>
      </c>
      <c r="DC211" t="s">
        <v>153</v>
      </c>
      <c r="DD211" t="s">
        <v>153</v>
      </c>
      <c r="DE211" t="s">
        <v>153</v>
      </c>
      <c r="DF211" t="s">
        <v>153</v>
      </c>
      <c r="DG211" t="s">
        <v>153</v>
      </c>
      <c r="DI211" t="s">
        <v>153</v>
      </c>
      <c r="DJ211" t="s">
        <v>153</v>
      </c>
      <c r="DK211" t="s">
        <v>153</v>
      </c>
      <c r="DL211" t="s">
        <v>153</v>
      </c>
      <c r="DN211" t="s">
        <v>153</v>
      </c>
      <c r="DO211" t="s">
        <v>153</v>
      </c>
      <c r="DP211" t="s">
        <v>153</v>
      </c>
      <c r="DQ211" t="s">
        <v>153</v>
      </c>
      <c r="DR211" t="s">
        <v>153</v>
      </c>
      <c r="DS211" t="s">
        <v>153</v>
      </c>
      <c r="DT211" t="s">
        <v>153</v>
      </c>
      <c r="DU211" t="s">
        <v>153</v>
      </c>
      <c r="DV211" t="s">
        <v>153</v>
      </c>
      <c r="DW211" t="s">
        <v>153</v>
      </c>
      <c r="DX211" s="2"/>
      <c r="DY211" t="s">
        <v>153</v>
      </c>
      <c r="DZ211" t="s">
        <v>153</v>
      </c>
      <c r="EA211" t="s">
        <v>153</v>
      </c>
      <c r="EB211" t="s">
        <v>153</v>
      </c>
      <c r="EC211" t="s">
        <v>153</v>
      </c>
      <c r="ED211" t="s">
        <v>153</v>
      </c>
      <c r="EE211" t="s">
        <v>153</v>
      </c>
      <c r="EF211" t="s">
        <v>153</v>
      </c>
      <c r="EH211" t="s">
        <v>153</v>
      </c>
      <c r="EI211" t="s">
        <v>153</v>
      </c>
      <c r="EJ211" t="s">
        <v>153</v>
      </c>
      <c r="EK211" t="s">
        <v>153</v>
      </c>
      <c r="EM211" t="s">
        <v>153</v>
      </c>
      <c r="EN211" t="s">
        <v>153</v>
      </c>
      <c r="EP211" s="4" t="s">
        <v>153</v>
      </c>
      <c r="EQ211" s="4" t="s">
        <v>153</v>
      </c>
      <c r="ER211" s="4" t="s">
        <v>243</v>
      </c>
      <c r="ES211" s="4" t="s">
        <v>356</v>
      </c>
      <c r="ET211" t="s">
        <v>2697</v>
      </c>
      <c r="EU211" t="s">
        <v>2649</v>
      </c>
      <c r="EV211" t="s">
        <v>2698</v>
      </c>
      <c r="EW211">
        <v>1316762645</v>
      </c>
      <c r="EX211" t="s">
        <v>2699</v>
      </c>
    </row>
    <row r="212" spans="1:154" x14ac:dyDescent="0.25">
      <c r="A212" s="3">
        <v>45729.456550925926</v>
      </c>
      <c r="B212" s="4" t="s">
        <v>153</v>
      </c>
      <c r="C212" s="4" t="s">
        <v>892</v>
      </c>
      <c r="D212" s="4" t="s">
        <v>893</v>
      </c>
      <c r="E212" s="4" t="s">
        <v>894</v>
      </c>
      <c r="F212" s="4" t="s">
        <v>895</v>
      </c>
      <c r="G212" s="4" t="s">
        <v>948</v>
      </c>
      <c r="H212" s="4" t="s">
        <v>542</v>
      </c>
      <c r="I212" s="4" t="s">
        <v>2700</v>
      </c>
      <c r="J212" s="4" t="s">
        <v>2701</v>
      </c>
      <c r="K212" s="5">
        <v>45450</v>
      </c>
      <c r="L212" s="4" t="s">
        <v>327</v>
      </c>
      <c r="M212" s="4" t="s">
        <v>2702</v>
      </c>
      <c r="N212" s="4" t="s">
        <v>2703</v>
      </c>
      <c r="O212" s="4" t="s">
        <v>2704</v>
      </c>
      <c r="P212" s="4" t="s">
        <v>2705</v>
      </c>
      <c r="Q212" s="4" t="s">
        <v>153</v>
      </c>
      <c r="R212" s="4" t="s">
        <v>191</v>
      </c>
      <c r="S212" s="4" t="s">
        <v>2706</v>
      </c>
      <c r="T212" s="4" t="s">
        <v>153</v>
      </c>
      <c r="U212" s="4" t="s">
        <v>2707</v>
      </c>
      <c r="V212" s="4" t="s">
        <v>153</v>
      </c>
      <c r="W212" s="4" t="s">
        <v>2708</v>
      </c>
      <c r="X212" s="4" t="s">
        <v>902</v>
      </c>
      <c r="Y212" s="4" t="s">
        <v>2709</v>
      </c>
      <c r="Z212" s="4" t="s">
        <v>197</v>
      </c>
      <c r="AA212" s="4" t="s">
        <v>2710</v>
      </c>
      <c r="AB212" s="4" t="s">
        <v>153</v>
      </c>
      <c r="AC212" s="4" t="s">
        <v>2708</v>
      </c>
      <c r="AD212" s="4" t="s">
        <v>902</v>
      </c>
      <c r="AE212" s="4" t="s">
        <v>2709</v>
      </c>
      <c r="AF212" s="4" t="s">
        <v>2711</v>
      </c>
      <c r="AG212" s="4" t="s">
        <v>2712</v>
      </c>
      <c r="AH212" s="4" t="s">
        <v>2713</v>
      </c>
      <c r="AI212" s="5"/>
      <c r="AJ212" t="s">
        <v>153</v>
      </c>
      <c r="AK212" s="4">
        <v>1</v>
      </c>
      <c r="AL212" t="s">
        <v>153</v>
      </c>
      <c r="AM212" t="s">
        <v>153</v>
      </c>
      <c r="AO212" t="s">
        <v>153</v>
      </c>
      <c r="AP212" s="4"/>
      <c r="AQ212" t="s">
        <v>153</v>
      </c>
      <c r="AR212" s="5"/>
      <c r="AT212" s="4" t="s">
        <v>153</v>
      </c>
      <c r="AU212" s="4" t="s">
        <v>153</v>
      </c>
      <c r="AV212" s="4" t="s">
        <v>153</v>
      </c>
      <c r="AW212" t="s">
        <v>153</v>
      </c>
      <c r="AX212" t="s">
        <v>153</v>
      </c>
      <c r="AY212" t="s">
        <v>153</v>
      </c>
      <c r="AZ212" t="s">
        <v>153</v>
      </c>
      <c r="BA212" t="s">
        <v>153</v>
      </c>
      <c r="BB212" t="s">
        <v>153</v>
      </c>
      <c r="BC212" t="s">
        <v>153</v>
      </c>
      <c r="BD212" s="4" t="s">
        <v>153</v>
      </c>
      <c r="BE212" s="4" t="s">
        <v>153</v>
      </c>
      <c r="BF212" t="s">
        <v>153</v>
      </c>
      <c r="BG212" s="4" t="s">
        <v>153</v>
      </c>
      <c r="BH212" t="s">
        <v>153</v>
      </c>
      <c r="BI212" s="4" t="s">
        <v>153</v>
      </c>
      <c r="BJ212" t="s">
        <v>153</v>
      </c>
      <c r="BK212" s="4" t="s">
        <v>153</v>
      </c>
      <c r="BL212" t="s">
        <v>153</v>
      </c>
      <c r="BM212" t="s">
        <v>153</v>
      </c>
      <c r="BN212" s="4" t="s">
        <v>153</v>
      </c>
      <c r="BO212" s="4" t="s">
        <v>153</v>
      </c>
      <c r="BP212" s="4" t="s">
        <v>153</v>
      </c>
      <c r="BQ212" s="4" t="s">
        <v>153</v>
      </c>
      <c r="BR212" s="4" t="s">
        <v>153</v>
      </c>
      <c r="BS212" s="4" t="s">
        <v>153</v>
      </c>
      <c r="BT212" s="4" t="s">
        <v>153</v>
      </c>
      <c r="BU212" s="4" t="s">
        <v>153</v>
      </c>
      <c r="BV212" s="4"/>
      <c r="BW212" s="4" t="s">
        <v>153</v>
      </c>
      <c r="BX212" s="4" t="s">
        <v>153</v>
      </c>
      <c r="BY212" s="4" t="s">
        <v>153</v>
      </c>
      <c r="BZ212" s="4" t="s">
        <v>153</v>
      </c>
      <c r="CA212" s="4" t="s">
        <v>153</v>
      </c>
      <c r="CB212" s="4"/>
      <c r="CC212" s="4" t="s">
        <v>153</v>
      </c>
      <c r="CD212" t="s">
        <v>153</v>
      </c>
      <c r="CE212" s="4" t="s">
        <v>153</v>
      </c>
      <c r="CF212" s="4" t="s">
        <v>153</v>
      </c>
      <c r="CG212" s="4" t="s">
        <v>153</v>
      </c>
      <c r="CH212" s="5"/>
      <c r="CI212" t="s">
        <v>153</v>
      </c>
      <c r="CJ212" s="4"/>
      <c r="CK212" t="s">
        <v>153</v>
      </c>
      <c r="CL212" t="s">
        <v>153</v>
      </c>
      <c r="CM212" t="s">
        <v>153</v>
      </c>
      <c r="CN212" t="s">
        <v>153</v>
      </c>
      <c r="CO212" s="5"/>
      <c r="CP212" s="4" t="s">
        <v>153</v>
      </c>
      <c r="CQ212" s="4" t="s">
        <v>153</v>
      </c>
      <c r="CR212" t="s">
        <v>153</v>
      </c>
      <c r="CS212" t="s">
        <v>153</v>
      </c>
      <c r="CT212" t="s">
        <v>153</v>
      </c>
      <c r="CU212" t="s">
        <v>153</v>
      </c>
      <c r="CV212" t="s">
        <v>153</v>
      </c>
      <c r="CW212" t="s">
        <v>153</v>
      </c>
      <c r="CX212" t="s">
        <v>153</v>
      </c>
      <c r="CY212" t="s">
        <v>153</v>
      </c>
      <c r="CZ212" t="s">
        <v>153</v>
      </c>
      <c r="DA212" t="s">
        <v>153</v>
      </c>
      <c r="DB212" t="s">
        <v>153</v>
      </c>
      <c r="DC212" t="s">
        <v>153</v>
      </c>
      <c r="DD212" t="s">
        <v>153</v>
      </c>
      <c r="DE212" t="s">
        <v>153</v>
      </c>
      <c r="DF212" t="s">
        <v>153</v>
      </c>
      <c r="DG212" t="s">
        <v>153</v>
      </c>
      <c r="DI212" t="s">
        <v>153</v>
      </c>
      <c r="DJ212" t="s">
        <v>153</v>
      </c>
      <c r="DK212" t="s">
        <v>153</v>
      </c>
      <c r="DL212" t="s">
        <v>153</v>
      </c>
      <c r="DN212" t="s">
        <v>153</v>
      </c>
      <c r="DO212" t="s">
        <v>153</v>
      </c>
      <c r="DP212" t="s">
        <v>153</v>
      </c>
      <c r="DQ212" t="s">
        <v>153</v>
      </c>
      <c r="DR212" t="s">
        <v>153</v>
      </c>
      <c r="DS212" t="s">
        <v>153</v>
      </c>
      <c r="DT212" t="s">
        <v>153</v>
      </c>
      <c r="DU212" t="s">
        <v>153</v>
      </c>
      <c r="DV212" t="s">
        <v>153</v>
      </c>
      <c r="DW212" t="s">
        <v>153</v>
      </c>
      <c r="DX212" s="2"/>
      <c r="DY212" t="s">
        <v>153</v>
      </c>
      <c r="DZ212" t="s">
        <v>153</v>
      </c>
      <c r="EA212" t="s">
        <v>153</v>
      </c>
      <c r="EB212" t="s">
        <v>153</v>
      </c>
      <c r="EC212" t="s">
        <v>153</v>
      </c>
      <c r="ED212" t="s">
        <v>153</v>
      </c>
      <c r="EE212" t="s">
        <v>153</v>
      </c>
      <c r="EF212" t="s">
        <v>153</v>
      </c>
      <c r="EH212" t="s">
        <v>153</v>
      </c>
      <c r="EI212" t="s">
        <v>153</v>
      </c>
      <c r="EJ212" t="s">
        <v>153</v>
      </c>
      <c r="EK212" t="s">
        <v>153</v>
      </c>
      <c r="EM212" t="s">
        <v>153</v>
      </c>
      <c r="EN212" t="s">
        <v>153</v>
      </c>
      <c r="EP212" s="4" t="s">
        <v>242</v>
      </c>
      <c r="EQ212" s="4" t="s">
        <v>153</v>
      </c>
      <c r="ER212" s="4" t="s">
        <v>243</v>
      </c>
      <c r="ES212" s="4" t="s">
        <v>244</v>
      </c>
      <c r="ET212" t="s">
        <v>153</v>
      </c>
      <c r="EU212" t="s">
        <v>2714</v>
      </c>
      <c r="EV212" t="s">
        <v>2715</v>
      </c>
      <c r="EW212">
        <v>1323898675</v>
      </c>
      <c r="EX212" t="s">
        <v>1093</v>
      </c>
    </row>
    <row r="213" spans="1:154" x14ac:dyDescent="0.25">
      <c r="A213" s="3">
        <v>45733.645636574074</v>
      </c>
      <c r="B213" s="4" t="s">
        <v>153</v>
      </c>
      <c r="C213" s="4" t="s">
        <v>2686</v>
      </c>
      <c r="D213" s="4" t="s">
        <v>2687</v>
      </c>
      <c r="E213" s="4" t="s">
        <v>2688</v>
      </c>
      <c r="F213" s="4" t="s">
        <v>2689</v>
      </c>
      <c r="G213" s="4" t="s">
        <v>185</v>
      </c>
      <c r="H213" s="4" t="s">
        <v>226</v>
      </c>
      <c r="I213" s="4" t="s">
        <v>2716</v>
      </c>
      <c r="J213" s="4" t="s">
        <v>153</v>
      </c>
      <c r="K213" s="5"/>
      <c r="L213" s="4" t="s">
        <v>153</v>
      </c>
      <c r="M213" s="4" t="s">
        <v>2716</v>
      </c>
      <c r="N213" s="4" t="s">
        <v>153</v>
      </c>
      <c r="O213" s="4" t="s">
        <v>212</v>
      </c>
      <c r="P213" s="4" t="s">
        <v>2717</v>
      </c>
      <c r="Q213" s="4" t="s">
        <v>403</v>
      </c>
      <c r="R213" s="4" t="s">
        <v>153</v>
      </c>
      <c r="S213" s="4" t="s">
        <v>153</v>
      </c>
      <c r="T213" s="4" t="s">
        <v>153</v>
      </c>
      <c r="U213" s="4" t="s">
        <v>2718</v>
      </c>
      <c r="V213" s="4" t="s">
        <v>153</v>
      </c>
      <c r="W213" s="4" t="s">
        <v>2719</v>
      </c>
      <c r="X213" s="4" t="s">
        <v>2720</v>
      </c>
      <c r="Y213" s="4" t="s">
        <v>2721</v>
      </c>
      <c r="Z213" s="4" t="s">
        <v>197</v>
      </c>
      <c r="AA213" s="4" t="s">
        <v>2722</v>
      </c>
      <c r="AB213" s="4" t="s">
        <v>153</v>
      </c>
      <c r="AC213" s="4" t="s">
        <v>2719</v>
      </c>
      <c r="AD213" s="4" t="s">
        <v>2720</v>
      </c>
      <c r="AE213" s="4" t="s">
        <v>2723</v>
      </c>
      <c r="AF213" s="4" t="s">
        <v>2724</v>
      </c>
      <c r="AG213" s="4" t="s">
        <v>2725</v>
      </c>
      <c r="AH213" s="4" t="s">
        <v>153</v>
      </c>
      <c r="AI213" s="5">
        <v>45298</v>
      </c>
      <c r="AJ213" t="s">
        <v>204</v>
      </c>
      <c r="AK213" s="4"/>
      <c r="AL213" t="s">
        <v>2726</v>
      </c>
      <c r="AM213" t="s">
        <v>2727</v>
      </c>
      <c r="AO213" t="s">
        <v>153</v>
      </c>
      <c r="AP213" s="4"/>
      <c r="AQ213" t="s">
        <v>153</v>
      </c>
      <c r="AR213" s="5"/>
      <c r="AT213" s="4" t="s">
        <v>153</v>
      </c>
      <c r="AU213" s="4" t="s">
        <v>153</v>
      </c>
      <c r="AV213" s="4" t="s">
        <v>153</v>
      </c>
      <c r="AW213" t="s">
        <v>153</v>
      </c>
      <c r="AX213" t="s">
        <v>153</v>
      </c>
      <c r="AY213" t="s">
        <v>153</v>
      </c>
      <c r="AZ213" t="s">
        <v>153</v>
      </c>
      <c r="BA213" t="s">
        <v>153</v>
      </c>
      <c r="BB213" t="s">
        <v>153</v>
      </c>
      <c r="BC213" t="s">
        <v>153</v>
      </c>
      <c r="BD213" s="4" t="s">
        <v>153</v>
      </c>
      <c r="BE213" s="4" t="s">
        <v>153</v>
      </c>
      <c r="BF213" t="s">
        <v>153</v>
      </c>
      <c r="BG213" s="4" t="s">
        <v>153</v>
      </c>
      <c r="BH213" t="s">
        <v>153</v>
      </c>
      <c r="BI213" s="4" t="s">
        <v>153</v>
      </c>
      <c r="BJ213" t="s">
        <v>153</v>
      </c>
      <c r="BK213" s="4" t="s">
        <v>153</v>
      </c>
      <c r="BL213" t="s">
        <v>153</v>
      </c>
      <c r="BM213" t="s">
        <v>153</v>
      </c>
      <c r="BN213" s="4" t="s">
        <v>153</v>
      </c>
      <c r="BO213" s="4" t="s">
        <v>153</v>
      </c>
      <c r="BP213" s="4" t="s">
        <v>153</v>
      </c>
      <c r="BQ213" s="4" t="s">
        <v>153</v>
      </c>
      <c r="BR213" s="4" t="s">
        <v>153</v>
      </c>
      <c r="BS213" s="4" t="s">
        <v>153</v>
      </c>
      <c r="BT213" s="4" t="s">
        <v>153</v>
      </c>
      <c r="BU213" s="4" t="s">
        <v>153</v>
      </c>
      <c r="BV213" s="4"/>
      <c r="BW213" s="4" t="s">
        <v>153</v>
      </c>
      <c r="BX213" s="4" t="s">
        <v>153</v>
      </c>
      <c r="BY213" s="4" t="s">
        <v>153</v>
      </c>
      <c r="BZ213" s="4" t="s">
        <v>153</v>
      </c>
      <c r="CA213" s="4" t="s">
        <v>153</v>
      </c>
      <c r="CB213" s="4"/>
      <c r="CC213" s="4" t="s">
        <v>153</v>
      </c>
      <c r="CD213" t="s">
        <v>153</v>
      </c>
      <c r="CE213" s="4" t="s">
        <v>153</v>
      </c>
      <c r="CF213" s="4" t="s">
        <v>153</v>
      </c>
      <c r="CG213" s="4" t="s">
        <v>153</v>
      </c>
      <c r="CH213" s="5"/>
      <c r="CI213" t="s">
        <v>153</v>
      </c>
      <c r="CJ213" s="4"/>
      <c r="CK213" t="s">
        <v>153</v>
      </c>
      <c r="CL213" t="s">
        <v>153</v>
      </c>
      <c r="CM213" t="s">
        <v>153</v>
      </c>
      <c r="CN213" t="s">
        <v>153</v>
      </c>
      <c r="CO213" s="5"/>
      <c r="CP213" s="4" t="s">
        <v>153</v>
      </c>
      <c r="CQ213" s="4" t="s">
        <v>153</v>
      </c>
      <c r="CR213" t="s">
        <v>153</v>
      </c>
      <c r="CS213" t="s">
        <v>153</v>
      </c>
      <c r="CT213" t="s">
        <v>153</v>
      </c>
      <c r="CU213" t="s">
        <v>153</v>
      </c>
      <c r="CV213" t="s">
        <v>153</v>
      </c>
      <c r="CW213" t="s">
        <v>153</v>
      </c>
      <c r="CX213" t="s">
        <v>153</v>
      </c>
      <c r="CY213" t="s">
        <v>153</v>
      </c>
      <c r="CZ213" t="s">
        <v>153</v>
      </c>
      <c r="DA213" t="s">
        <v>153</v>
      </c>
      <c r="DB213" t="s">
        <v>153</v>
      </c>
      <c r="DC213" t="s">
        <v>153</v>
      </c>
      <c r="DD213" t="s">
        <v>153</v>
      </c>
      <c r="DE213" t="s">
        <v>153</v>
      </c>
      <c r="DF213" t="s">
        <v>153</v>
      </c>
      <c r="DG213" t="s">
        <v>153</v>
      </c>
      <c r="DI213" t="s">
        <v>153</v>
      </c>
      <c r="DJ213" t="s">
        <v>153</v>
      </c>
      <c r="DK213" t="s">
        <v>153</v>
      </c>
      <c r="DL213" t="s">
        <v>153</v>
      </c>
      <c r="DN213" t="s">
        <v>153</v>
      </c>
      <c r="DO213" t="s">
        <v>153</v>
      </c>
      <c r="DP213" t="s">
        <v>153</v>
      </c>
      <c r="DQ213" t="s">
        <v>153</v>
      </c>
      <c r="DR213" t="s">
        <v>153</v>
      </c>
      <c r="DS213" t="s">
        <v>153</v>
      </c>
      <c r="DT213" t="s">
        <v>153</v>
      </c>
      <c r="DU213" t="s">
        <v>153</v>
      </c>
      <c r="DV213" t="s">
        <v>153</v>
      </c>
      <c r="DW213" t="s">
        <v>153</v>
      </c>
      <c r="DX213" s="2"/>
      <c r="DY213" t="s">
        <v>153</v>
      </c>
      <c r="DZ213" t="s">
        <v>153</v>
      </c>
      <c r="EA213" t="s">
        <v>153</v>
      </c>
      <c r="EB213" t="s">
        <v>153</v>
      </c>
      <c r="EC213" t="s">
        <v>153</v>
      </c>
      <c r="ED213" t="s">
        <v>153</v>
      </c>
      <c r="EE213" t="s">
        <v>153</v>
      </c>
      <c r="EF213" t="s">
        <v>153</v>
      </c>
      <c r="EH213" t="s">
        <v>153</v>
      </c>
      <c r="EI213" t="s">
        <v>153</v>
      </c>
      <c r="EJ213" t="s">
        <v>153</v>
      </c>
      <c r="EK213" t="s">
        <v>153</v>
      </c>
      <c r="EM213" t="s">
        <v>153</v>
      </c>
      <c r="EN213" t="s">
        <v>153</v>
      </c>
      <c r="EP213" s="4" t="s">
        <v>153</v>
      </c>
      <c r="EQ213" s="4" t="s">
        <v>153</v>
      </c>
      <c r="ER213" s="4" t="s">
        <v>153</v>
      </c>
      <c r="ES213" s="4" t="s">
        <v>153</v>
      </c>
      <c r="ET213" t="s">
        <v>153</v>
      </c>
      <c r="EU213" t="s">
        <v>2714</v>
      </c>
      <c r="EV213" t="s">
        <v>2698</v>
      </c>
      <c r="EW213">
        <v>1325062161</v>
      </c>
      <c r="EX213" t="s">
        <v>2699</v>
      </c>
    </row>
    <row r="214" spans="1:154" x14ac:dyDescent="0.25">
      <c r="A214" s="3">
        <v>45735.94390046296</v>
      </c>
      <c r="B214" s="4" t="s">
        <v>153</v>
      </c>
      <c r="C214" s="4" t="s">
        <v>154</v>
      </c>
      <c r="D214" s="4" t="s">
        <v>155</v>
      </c>
      <c r="E214" s="4" t="s">
        <v>2728</v>
      </c>
      <c r="F214" s="4" t="s">
        <v>157</v>
      </c>
      <c r="G214" s="4" t="s">
        <v>252</v>
      </c>
      <c r="H214" s="4" t="s">
        <v>159</v>
      </c>
      <c r="I214" s="4" t="s">
        <v>2729</v>
      </c>
      <c r="J214" s="4" t="s">
        <v>2730</v>
      </c>
      <c r="K214" s="5"/>
      <c r="L214" s="4" t="s">
        <v>153</v>
      </c>
      <c r="M214" s="4" t="s">
        <v>153</v>
      </c>
      <c r="N214" s="4" t="s">
        <v>153</v>
      </c>
      <c r="O214" s="4" t="s">
        <v>153</v>
      </c>
      <c r="P214" s="4" t="s">
        <v>153</v>
      </c>
      <c r="Q214" s="4" t="s">
        <v>153</v>
      </c>
      <c r="R214" s="4" t="s">
        <v>153</v>
      </c>
      <c r="S214" s="4" t="s">
        <v>153</v>
      </c>
      <c r="T214" s="4" t="s">
        <v>153</v>
      </c>
      <c r="U214" s="4" t="s">
        <v>153</v>
      </c>
      <c r="V214" s="4" t="s">
        <v>153</v>
      </c>
      <c r="W214" s="4" t="s">
        <v>153</v>
      </c>
      <c r="X214" s="4" t="s">
        <v>153</v>
      </c>
      <c r="Y214" s="4" t="s">
        <v>153</v>
      </c>
      <c r="Z214" s="4" t="s">
        <v>153</v>
      </c>
      <c r="AA214" s="4" t="s">
        <v>153</v>
      </c>
      <c r="AB214" s="4" t="s">
        <v>153</v>
      </c>
      <c r="AC214" s="4" t="s">
        <v>153</v>
      </c>
      <c r="AD214" s="4" t="s">
        <v>153</v>
      </c>
      <c r="AE214" s="4" t="s">
        <v>153</v>
      </c>
      <c r="AF214" s="4" t="s">
        <v>153</v>
      </c>
      <c r="AG214" s="4" t="s">
        <v>153</v>
      </c>
      <c r="AH214" s="4" t="s">
        <v>153</v>
      </c>
      <c r="AI214" s="5"/>
      <c r="AJ214" t="s">
        <v>153</v>
      </c>
      <c r="AK214" s="4"/>
      <c r="AL214" t="s">
        <v>153</v>
      </c>
      <c r="AM214" t="s">
        <v>153</v>
      </c>
      <c r="AO214" t="s">
        <v>153</v>
      </c>
      <c r="AP214" s="4"/>
      <c r="AQ214" t="s">
        <v>153</v>
      </c>
      <c r="AR214" s="5">
        <v>45169</v>
      </c>
      <c r="AS214">
        <v>1</v>
      </c>
      <c r="AT214" s="4" t="s">
        <v>2731</v>
      </c>
      <c r="AU214" s="4" t="s">
        <v>2732</v>
      </c>
      <c r="AV214" s="4" t="s">
        <v>649</v>
      </c>
      <c r="AW214" t="s">
        <v>2733</v>
      </c>
      <c r="AX214" t="s">
        <v>2734</v>
      </c>
      <c r="AY214" t="s">
        <v>2735</v>
      </c>
      <c r="AZ214" t="s">
        <v>1044</v>
      </c>
      <c r="BA214" t="s">
        <v>2736</v>
      </c>
      <c r="BB214" t="s">
        <v>2737</v>
      </c>
      <c r="BC214" t="s">
        <v>153</v>
      </c>
      <c r="BD214" s="4" t="s">
        <v>2738</v>
      </c>
      <c r="BE214" s="4" t="s">
        <v>2739</v>
      </c>
      <c r="BF214" t="s">
        <v>242</v>
      </c>
      <c r="BG214" s="4" t="s">
        <v>362</v>
      </c>
      <c r="BH214" t="s">
        <v>153</v>
      </c>
      <c r="BI214" s="4" t="s">
        <v>153</v>
      </c>
      <c r="BJ214" t="s">
        <v>153</v>
      </c>
      <c r="BK214" s="4" t="s">
        <v>153</v>
      </c>
      <c r="BL214" t="s">
        <v>153</v>
      </c>
      <c r="BM214" t="s">
        <v>153</v>
      </c>
      <c r="BN214" s="4" t="s">
        <v>153</v>
      </c>
      <c r="BO214" s="4" t="s">
        <v>153</v>
      </c>
      <c r="BP214" s="4" t="s">
        <v>153</v>
      </c>
      <c r="BQ214" s="4" t="s">
        <v>153</v>
      </c>
      <c r="BR214" s="4" t="s">
        <v>153</v>
      </c>
      <c r="BS214" s="4" t="s">
        <v>153</v>
      </c>
      <c r="BT214" s="4" t="s">
        <v>153</v>
      </c>
      <c r="BU214" s="4" t="s">
        <v>153</v>
      </c>
      <c r="BV214" s="4"/>
      <c r="BW214" s="4" t="s">
        <v>153</v>
      </c>
      <c r="BX214" s="4" t="s">
        <v>153</v>
      </c>
      <c r="BY214" s="4" t="s">
        <v>153</v>
      </c>
      <c r="BZ214" s="4" t="s">
        <v>153</v>
      </c>
      <c r="CA214" s="4" t="s">
        <v>153</v>
      </c>
      <c r="CB214" s="4"/>
      <c r="CC214" s="4" t="s">
        <v>153</v>
      </c>
      <c r="CD214" t="s">
        <v>153</v>
      </c>
      <c r="CE214" s="4" t="s">
        <v>153</v>
      </c>
      <c r="CF214" s="4" t="s">
        <v>153</v>
      </c>
      <c r="CG214" s="4" t="s">
        <v>153</v>
      </c>
      <c r="CH214" s="5"/>
      <c r="CI214" t="s">
        <v>153</v>
      </c>
      <c r="CJ214" s="4"/>
      <c r="CK214" t="s">
        <v>153</v>
      </c>
      <c r="CL214" t="s">
        <v>153</v>
      </c>
      <c r="CM214" t="s">
        <v>153</v>
      </c>
      <c r="CN214" t="s">
        <v>153</v>
      </c>
      <c r="CO214" s="5"/>
      <c r="CP214" s="4" t="s">
        <v>153</v>
      </c>
      <c r="CQ214" s="4" t="s">
        <v>153</v>
      </c>
      <c r="CR214" t="s">
        <v>153</v>
      </c>
      <c r="CS214" t="s">
        <v>153</v>
      </c>
      <c r="CT214" t="s">
        <v>153</v>
      </c>
      <c r="CU214" t="s">
        <v>153</v>
      </c>
      <c r="CV214" t="s">
        <v>153</v>
      </c>
      <c r="CW214" t="s">
        <v>153</v>
      </c>
      <c r="CX214" t="s">
        <v>153</v>
      </c>
      <c r="CY214" t="s">
        <v>153</v>
      </c>
      <c r="CZ214" t="s">
        <v>153</v>
      </c>
      <c r="DA214" t="s">
        <v>153</v>
      </c>
      <c r="DB214" t="s">
        <v>153</v>
      </c>
      <c r="DC214" t="s">
        <v>153</v>
      </c>
      <c r="DD214" t="s">
        <v>153</v>
      </c>
      <c r="DE214" t="s">
        <v>153</v>
      </c>
      <c r="DF214" t="s">
        <v>153</v>
      </c>
      <c r="DG214" t="s">
        <v>153</v>
      </c>
      <c r="DI214" t="s">
        <v>153</v>
      </c>
      <c r="DJ214" t="s">
        <v>153</v>
      </c>
      <c r="DK214" t="s">
        <v>153</v>
      </c>
      <c r="DL214" t="s">
        <v>153</v>
      </c>
      <c r="DN214" t="s">
        <v>153</v>
      </c>
      <c r="DO214" t="s">
        <v>153</v>
      </c>
      <c r="DP214" t="s">
        <v>153</v>
      </c>
      <c r="DQ214" t="s">
        <v>153</v>
      </c>
      <c r="DR214" t="s">
        <v>153</v>
      </c>
      <c r="DS214" t="s">
        <v>153</v>
      </c>
      <c r="DT214" t="s">
        <v>153</v>
      </c>
      <c r="DU214" t="s">
        <v>153</v>
      </c>
      <c r="DV214" t="s">
        <v>153</v>
      </c>
      <c r="DW214" t="s">
        <v>153</v>
      </c>
      <c r="DX214" s="2"/>
      <c r="DY214" t="s">
        <v>153</v>
      </c>
      <c r="DZ214" t="s">
        <v>153</v>
      </c>
      <c r="EA214" t="s">
        <v>153</v>
      </c>
      <c r="EB214" t="s">
        <v>153</v>
      </c>
      <c r="EC214" t="s">
        <v>153</v>
      </c>
      <c r="ED214" t="s">
        <v>153</v>
      </c>
      <c r="EE214" t="s">
        <v>153</v>
      </c>
      <c r="EF214" t="s">
        <v>153</v>
      </c>
      <c r="EH214" t="s">
        <v>153</v>
      </c>
      <c r="EI214" t="s">
        <v>153</v>
      </c>
      <c r="EJ214" t="s">
        <v>153</v>
      </c>
      <c r="EK214" t="s">
        <v>153</v>
      </c>
      <c r="EM214" t="s">
        <v>153</v>
      </c>
      <c r="EN214" t="s">
        <v>153</v>
      </c>
      <c r="EP214" s="4" t="s">
        <v>153</v>
      </c>
      <c r="EQ214" s="4" t="s">
        <v>153</v>
      </c>
      <c r="ER214" s="4" t="s">
        <v>243</v>
      </c>
      <c r="ES214" s="4" t="s">
        <v>356</v>
      </c>
      <c r="ET214" t="s">
        <v>2740</v>
      </c>
      <c r="EU214" t="s">
        <v>2714</v>
      </c>
      <c r="EV214" t="s">
        <v>179</v>
      </c>
      <c r="EW214">
        <v>1325983479</v>
      </c>
      <c r="EX214" t="s">
        <v>2741</v>
      </c>
    </row>
    <row r="215" spans="1:154" x14ac:dyDescent="0.25">
      <c r="A215" s="3">
        <v>45736.685648148145</v>
      </c>
      <c r="B215" s="4" t="s">
        <v>153</v>
      </c>
      <c r="C215" s="4" t="s">
        <v>2686</v>
      </c>
      <c r="D215" s="4" t="s">
        <v>2687</v>
      </c>
      <c r="E215" s="4" t="s">
        <v>2688</v>
      </c>
      <c r="F215" s="4" t="s">
        <v>2689</v>
      </c>
      <c r="G215" s="4" t="s">
        <v>185</v>
      </c>
      <c r="H215" s="4" t="s">
        <v>226</v>
      </c>
      <c r="I215" s="4" t="s">
        <v>2742</v>
      </c>
      <c r="J215" s="4" t="s">
        <v>153</v>
      </c>
      <c r="K215" s="5"/>
      <c r="L215" s="4" t="s">
        <v>153</v>
      </c>
      <c r="M215" s="4" t="s">
        <v>2742</v>
      </c>
      <c r="N215" s="4" t="s">
        <v>2743</v>
      </c>
      <c r="O215" s="4" t="s">
        <v>2744</v>
      </c>
      <c r="P215" s="4" t="s">
        <v>2745</v>
      </c>
      <c r="Q215" s="4" t="s">
        <v>190</v>
      </c>
      <c r="R215" s="4" t="s">
        <v>191</v>
      </c>
      <c r="S215" s="4" t="s">
        <v>2746</v>
      </c>
      <c r="T215" s="4" t="s">
        <v>153</v>
      </c>
      <c r="U215" s="4" t="s">
        <v>2747</v>
      </c>
      <c r="V215" s="4" t="s">
        <v>153</v>
      </c>
      <c r="W215" s="4" t="s">
        <v>2748</v>
      </c>
      <c r="X215" s="4" t="s">
        <v>235</v>
      </c>
      <c r="Y215" s="4" t="s">
        <v>2749</v>
      </c>
      <c r="Z215" s="4" t="s">
        <v>197</v>
      </c>
      <c r="AA215" s="4" t="s">
        <v>2750</v>
      </c>
      <c r="AB215" s="4" t="s">
        <v>153</v>
      </c>
      <c r="AC215" s="4" t="s">
        <v>1996</v>
      </c>
      <c r="AD215" s="4" t="s">
        <v>235</v>
      </c>
      <c r="AE215" s="4" t="s">
        <v>2751</v>
      </c>
      <c r="AF215" s="4" t="s">
        <v>2752</v>
      </c>
      <c r="AG215" s="4" t="s">
        <v>2753</v>
      </c>
      <c r="AH215" s="4" t="s">
        <v>2754</v>
      </c>
      <c r="AI215" s="5">
        <v>45613</v>
      </c>
      <c r="AJ215" t="s">
        <v>591</v>
      </c>
      <c r="AK215" s="4"/>
      <c r="AL215" t="s">
        <v>2755</v>
      </c>
      <c r="AM215" t="s">
        <v>153</v>
      </c>
      <c r="AO215" t="s">
        <v>153</v>
      </c>
      <c r="AP215" s="4"/>
      <c r="AQ215" t="s">
        <v>153</v>
      </c>
      <c r="AR215" s="5"/>
      <c r="AT215" s="4" t="s">
        <v>153</v>
      </c>
      <c r="AU215" s="4" t="s">
        <v>153</v>
      </c>
      <c r="AV215" s="4" t="s">
        <v>153</v>
      </c>
      <c r="AW215" t="s">
        <v>153</v>
      </c>
      <c r="AX215" t="s">
        <v>153</v>
      </c>
      <c r="AY215" t="s">
        <v>153</v>
      </c>
      <c r="AZ215" t="s">
        <v>153</v>
      </c>
      <c r="BA215" t="s">
        <v>153</v>
      </c>
      <c r="BB215" t="s">
        <v>153</v>
      </c>
      <c r="BC215" t="s">
        <v>153</v>
      </c>
      <c r="BD215" s="4" t="s">
        <v>153</v>
      </c>
      <c r="BE215" s="4" t="s">
        <v>153</v>
      </c>
      <c r="BF215" t="s">
        <v>153</v>
      </c>
      <c r="BG215" s="4" t="s">
        <v>153</v>
      </c>
      <c r="BH215" t="s">
        <v>153</v>
      </c>
      <c r="BI215" s="4" t="s">
        <v>153</v>
      </c>
      <c r="BJ215" t="s">
        <v>153</v>
      </c>
      <c r="BK215" s="4" t="s">
        <v>153</v>
      </c>
      <c r="BL215" t="s">
        <v>153</v>
      </c>
      <c r="BM215" t="s">
        <v>153</v>
      </c>
      <c r="BN215" s="4" t="s">
        <v>153</v>
      </c>
      <c r="BO215" s="4" t="s">
        <v>153</v>
      </c>
      <c r="BP215" s="4" t="s">
        <v>153</v>
      </c>
      <c r="BQ215" s="4" t="s">
        <v>153</v>
      </c>
      <c r="BR215" s="4" t="s">
        <v>153</v>
      </c>
      <c r="BS215" s="4" t="s">
        <v>153</v>
      </c>
      <c r="BT215" s="4" t="s">
        <v>153</v>
      </c>
      <c r="BU215" s="4" t="s">
        <v>153</v>
      </c>
      <c r="BV215" s="4"/>
      <c r="BW215" s="4" t="s">
        <v>153</v>
      </c>
      <c r="BX215" s="4" t="s">
        <v>153</v>
      </c>
      <c r="BY215" s="4" t="s">
        <v>153</v>
      </c>
      <c r="BZ215" s="4" t="s">
        <v>153</v>
      </c>
      <c r="CA215" s="4" t="s">
        <v>153</v>
      </c>
      <c r="CB215" s="4"/>
      <c r="CC215" s="4" t="s">
        <v>153</v>
      </c>
      <c r="CD215" t="s">
        <v>153</v>
      </c>
      <c r="CE215" s="4" t="s">
        <v>153</v>
      </c>
      <c r="CF215" s="4" t="s">
        <v>153</v>
      </c>
      <c r="CG215" s="4" t="s">
        <v>153</v>
      </c>
      <c r="CH215" s="5"/>
      <c r="CI215" t="s">
        <v>153</v>
      </c>
      <c r="CJ215" s="4"/>
      <c r="CK215" t="s">
        <v>153</v>
      </c>
      <c r="CL215" t="s">
        <v>153</v>
      </c>
      <c r="CM215" t="s">
        <v>153</v>
      </c>
      <c r="CN215" t="s">
        <v>153</v>
      </c>
      <c r="CO215" s="5"/>
      <c r="CP215" s="4" t="s">
        <v>153</v>
      </c>
      <c r="CQ215" s="4" t="s">
        <v>153</v>
      </c>
      <c r="CR215" t="s">
        <v>153</v>
      </c>
      <c r="CS215" t="s">
        <v>153</v>
      </c>
      <c r="CT215" t="s">
        <v>153</v>
      </c>
      <c r="CU215" t="s">
        <v>153</v>
      </c>
      <c r="CV215" t="s">
        <v>153</v>
      </c>
      <c r="CW215" t="s">
        <v>153</v>
      </c>
      <c r="CX215" t="s">
        <v>153</v>
      </c>
      <c r="CY215" t="s">
        <v>153</v>
      </c>
      <c r="CZ215" t="s">
        <v>153</v>
      </c>
      <c r="DA215" t="s">
        <v>153</v>
      </c>
      <c r="DB215" t="s">
        <v>153</v>
      </c>
      <c r="DC215" t="s">
        <v>153</v>
      </c>
      <c r="DD215" t="s">
        <v>153</v>
      </c>
      <c r="DE215" t="s">
        <v>153</v>
      </c>
      <c r="DF215" t="s">
        <v>153</v>
      </c>
      <c r="DG215" t="s">
        <v>153</v>
      </c>
      <c r="DI215" t="s">
        <v>153</v>
      </c>
      <c r="DJ215" t="s">
        <v>153</v>
      </c>
      <c r="DK215" t="s">
        <v>153</v>
      </c>
      <c r="DL215" t="s">
        <v>153</v>
      </c>
      <c r="DN215" t="s">
        <v>153</v>
      </c>
      <c r="DO215" t="s">
        <v>153</v>
      </c>
      <c r="DP215" t="s">
        <v>153</v>
      </c>
      <c r="DQ215" t="s">
        <v>153</v>
      </c>
      <c r="DR215" t="s">
        <v>153</v>
      </c>
      <c r="DS215" t="s">
        <v>153</v>
      </c>
      <c r="DT215" t="s">
        <v>153</v>
      </c>
      <c r="DU215" t="s">
        <v>153</v>
      </c>
      <c r="DV215" t="s">
        <v>153</v>
      </c>
      <c r="DW215" t="s">
        <v>153</v>
      </c>
      <c r="DX215" s="2"/>
      <c r="DY215" t="s">
        <v>153</v>
      </c>
      <c r="DZ215" t="s">
        <v>153</v>
      </c>
      <c r="EA215" t="s">
        <v>153</v>
      </c>
      <c r="EB215" t="s">
        <v>153</v>
      </c>
      <c r="EC215" t="s">
        <v>153</v>
      </c>
      <c r="ED215" t="s">
        <v>153</v>
      </c>
      <c r="EE215" t="s">
        <v>153</v>
      </c>
      <c r="EF215" t="s">
        <v>153</v>
      </c>
      <c r="EH215" t="s">
        <v>153</v>
      </c>
      <c r="EI215" t="s">
        <v>153</v>
      </c>
      <c r="EJ215" t="s">
        <v>153</v>
      </c>
      <c r="EK215" t="s">
        <v>153</v>
      </c>
      <c r="EM215" t="s">
        <v>153</v>
      </c>
      <c r="EN215" t="s">
        <v>153</v>
      </c>
      <c r="EP215" s="4" t="s">
        <v>242</v>
      </c>
      <c r="EQ215" s="4" t="s">
        <v>153</v>
      </c>
      <c r="ER215" s="4" t="s">
        <v>243</v>
      </c>
      <c r="ES215" s="4" t="s">
        <v>356</v>
      </c>
      <c r="ET215" t="s">
        <v>153</v>
      </c>
      <c r="EU215" t="s">
        <v>2714</v>
      </c>
      <c r="EV215" t="s">
        <v>2698</v>
      </c>
      <c r="EW215">
        <v>1326244322</v>
      </c>
      <c r="EX215" t="s">
        <v>2699</v>
      </c>
    </row>
    <row r="216" spans="1:154" x14ac:dyDescent="0.25">
      <c r="A216" s="3">
        <v>45736.717777777776</v>
      </c>
      <c r="B216" s="4" t="s">
        <v>153</v>
      </c>
      <c r="C216" s="4" t="s">
        <v>2686</v>
      </c>
      <c r="D216" s="4" t="s">
        <v>2687</v>
      </c>
      <c r="E216" s="4" t="s">
        <v>2688</v>
      </c>
      <c r="F216" s="4" t="s">
        <v>2689</v>
      </c>
      <c r="G216" s="4" t="s">
        <v>185</v>
      </c>
      <c r="H216" s="4" t="s">
        <v>226</v>
      </c>
      <c r="I216" s="4" t="s">
        <v>2756</v>
      </c>
      <c r="J216" s="4" t="s">
        <v>153</v>
      </c>
      <c r="K216" s="5"/>
      <c r="L216" s="4" t="s">
        <v>153</v>
      </c>
      <c r="M216" s="4" t="s">
        <v>2756</v>
      </c>
      <c r="N216" s="4" t="s">
        <v>153</v>
      </c>
      <c r="O216" s="4" t="s">
        <v>2757</v>
      </c>
      <c r="P216" s="4" t="s">
        <v>2758</v>
      </c>
      <c r="Q216" s="4" t="s">
        <v>403</v>
      </c>
      <c r="R216" s="4" t="s">
        <v>153</v>
      </c>
      <c r="S216" s="4" t="s">
        <v>153</v>
      </c>
      <c r="T216" s="4" t="s">
        <v>153</v>
      </c>
      <c r="U216" s="4" t="s">
        <v>2759</v>
      </c>
      <c r="V216" s="4" t="s">
        <v>153</v>
      </c>
      <c r="W216" s="4" t="s">
        <v>2760</v>
      </c>
      <c r="X216" s="4" t="s">
        <v>235</v>
      </c>
      <c r="Y216" s="4" t="s">
        <v>2761</v>
      </c>
      <c r="Z216" s="4" t="s">
        <v>197</v>
      </c>
      <c r="AA216" s="4" t="s">
        <v>2759</v>
      </c>
      <c r="AB216" s="4" t="s">
        <v>153</v>
      </c>
      <c r="AC216" s="4" t="s">
        <v>2760</v>
      </c>
      <c r="AD216" s="4" t="s">
        <v>235</v>
      </c>
      <c r="AE216" s="4" t="s">
        <v>2761</v>
      </c>
      <c r="AF216" s="4" t="s">
        <v>2762</v>
      </c>
      <c r="AG216" s="4" t="s">
        <v>2763</v>
      </c>
      <c r="AH216" s="4" t="s">
        <v>153</v>
      </c>
      <c r="AI216" s="5">
        <v>45179</v>
      </c>
      <c r="AJ216" t="s">
        <v>591</v>
      </c>
      <c r="AK216" s="4"/>
      <c r="AL216" t="s">
        <v>2764</v>
      </c>
      <c r="AM216" t="s">
        <v>2765</v>
      </c>
      <c r="AN216">
        <v>46</v>
      </c>
      <c r="AO216" t="s">
        <v>2766</v>
      </c>
      <c r="AP216" s="4">
        <v>991242808</v>
      </c>
      <c r="AQ216" t="s">
        <v>153</v>
      </c>
      <c r="AR216" s="5"/>
      <c r="AT216" s="4" t="s">
        <v>153</v>
      </c>
      <c r="AU216" s="4" t="s">
        <v>153</v>
      </c>
      <c r="AV216" s="4" t="s">
        <v>153</v>
      </c>
      <c r="AW216" t="s">
        <v>153</v>
      </c>
      <c r="AX216" t="s">
        <v>153</v>
      </c>
      <c r="AY216" t="s">
        <v>153</v>
      </c>
      <c r="AZ216" t="s">
        <v>153</v>
      </c>
      <c r="BA216" t="s">
        <v>153</v>
      </c>
      <c r="BB216" t="s">
        <v>153</v>
      </c>
      <c r="BC216" t="s">
        <v>153</v>
      </c>
      <c r="BD216" s="4" t="s">
        <v>153</v>
      </c>
      <c r="BE216" s="4" t="s">
        <v>153</v>
      </c>
      <c r="BF216" t="s">
        <v>153</v>
      </c>
      <c r="BG216" s="4" t="s">
        <v>153</v>
      </c>
      <c r="BH216" t="s">
        <v>153</v>
      </c>
      <c r="BI216" s="4" t="s">
        <v>153</v>
      </c>
      <c r="BJ216" t="s">
        <v>153</v>
      </c>
      <c r="BK216" s="4" t="s">
        <v>153</v>
      </c>
      <c r="BL216" t="s">
        <v>153</v>
      </c>
      <c r="BM216" t="s">
        <v>153</v>
      </c>
      <c r="BN216" s="4" t="s">
        <v>153</v>
      </c>
      <c r="BO216" s="4" t="s">
        <v>153</v>
      </c>
      <c r="BP216" s="4" t="s">
        <v>153</v>
      </c>
      <c r="BQ216" s="4" t="s">
        <v>153</v>
      </c>
      <c r="BR216" s="4" t="s">
        <v>153</v>
      </c>
      <c r="BS216" s="4" t="s">
        <v>153</v>
      </c>
      <c r="BT216" s="4" t="s">
        <v>153</v>
      </c>
      <c r="BU216" s="4" t="s">
        <v>153</v>
      </c>
      <c r="BV216" s="4"/>
      <c r="BW216" s="4" t="s">
        <v>153</v>
      </c>
      <c r="BX216" s="4" t="s">
        <v>153</v>
      </c>
      <c r="BY216" s="4" t="s">
        <v>153</v>
      </c>
      <c r="BZ216" s="4" t="s">
        <v>153</v>
      </c>
      <c r="CA216" s="4" t="s">
        <v>153</v>
      </c>
      <c r="CB216" s="4"/>
      <c r="CC216" s="4" t="s">
        <v>153</v>
      </c>
      <c r="CD216" t="s">
        <v>153</v>
      </c>
      <c r="CE216" s="4" t="s">
        <v>153</v>
      </c>
      <c r="CF216" s="4" t="s">
        <v>153</v>
      </c>
      <c r="CG216" s="4" t="s">
        <v>153</v>
      </c>
      <c r="CH216" s="5"/>
      <c r="CI216" t="s">
        <v>153</v>
      </c>
      <c r="CJ216" s="4"/>
      <c r="CK216" t="s">
        <v>153</v>
      </c>
      <c r="CL216" t="s">
        <v>153</v>
      </c>
      <c r="CM216" t="s">
        <v>153</v>
      </c>
      <c r="CN216" t="s">
        <v>153</v>
      </c>
      <c r="CO216" s="5"/>
      <c r="CP216" s="4" t="s">
        <v>153</v>
      </c>
      <c r="CQ216" s="4" t="s">
        <v>153</v>
      </c>
      <c r="CR216" t="s">
        <v>153</v>
      </c>
      <c r="CS216" t="s">
        <v>153</v>
      </c>
      <c r="CT216" t="s">
        <v>153</v>
      </c>
      <c r="CU216" t="s">
        <v>153</v>
      </c>
      <c r="CV216" t="s">
        <v>153</v>
      </c>
      <c r="CW216" t="s">
        <v>153</v>
      </c>
      <c r="CX216" t="s">
        <v>153</v>
      </c>
      <c r="CY216" t="s">
        <v>153</v>
      </c>
      <c r="CZ216" t="s">
        <v>153</v>
      </c>
      <c r="DA216" t="s">
        <v>153</v>
      </c>
      <c r="DB216" t="s">
        <v>153</v>
      </c>
      <c r="DC216" t="s">
        <v>153</v>
      </c>
      <c r="DD216" t="s">
        <v>153</v>
      </c>
      <c r="DE216" t="s">
        <v>153</v>
      </c>
      <c r="DF216" t="s">
        <v>153</v>
      </c>
      <c r="DG216" t="s">
        <v>153</v>
      </c>
      <c r="DI216" t="s">
        <v>153</v>
      </c>
      <c r="DJ216" t="s">
        <v>153</v>
      </c>
      <c r="DK216" t="s">
        <v>153</v>
      </c>
      <c r="DL216" t="s">
        <v>153</v>
      </c>
      <c r="DN216" t="s">
        <v>153</v>
      </c>
      <c r="DO216" t="s">
        <v>153</v>
      </c>
      <c r="DP216" t="s">
        <v>153</v>
      </c>
      <c r="DQ216" t="s">
        <v>153</v>
      </c>
      <c r="DR216" t="s">
        <v>153</v>
      </c>
      <c r="DS216" t="s">
        <v>153</v>
      </c>
      <c r="DT216" t="s">
        <v>153</v>
      </c>
      <c r="DU216" t="s">
        <v>153</v>
      </c>
      <c r="DV216" t="s">
        <v>153</v>
      </c>
      <c r="DW216" t="s">
        <v>153</v>
      </c>
      <c r="DX216" s="2"/>
      <c r="DY216" t="s">
        <v>153</v>
      </c>
      <c r="DZ216" t="s">
        <v>153</v>
      </c>
      <c r="EA216" t="s">
        <v>153</v>
      </c>
      <c r="EB216" t="s">
        <v>153</v>
      </c>
      <c r="EC216" t="s">
        <v>153</v>
      </c>
      <c r="ED216" t="s">
        <v>153</v>
      </c>
      <c r="EE216" t="s">
        <v>153</v>
      </c>
      <c r="EF216" t="s">
        <v>153</v>
      </c>
      <c r="EH216" t="s">
        <v>153</v>
      </c>
      <c r="EI216" t="s">
        <v>153</v>
      </c>
      <c r="EJ216" t="s">
        <v>153</v>
      </c>
      <c r="EK216" t="s">
        <v>153</v>
      </c>
      <c r="EM216" t="s">
        <v>153</v>
      </c>
      <c r="EN216" t="s">
        <v>153</v>
      </c>
      <c r="EP216" s="4" t="s">
        <v>153</v>
      </c>
      <c r="EQ216" s="4" t="s">
        <v>153</v>
      </c>
      <c r="ER216" s="4" t="s">
        <v>153</v>
      </c>
      <c r="ES216" s="4" t="s">
        <v>153</v>
      </c>
      <c r="ET216" t="s">
        <v>153</v>
      </c>
      <c r="EU216" t="s">
        <v>2714</v>
      </c>
      <c r="EV216" t="s">
        <v>2698</v>
      </c>
      <c r="EW216">
        <v>1326261774</v>
      </c>
      <c r="EX216" t="s">
        <v>2699</v>
      </c>
    </row>
    <row r="217" spans="1:154" x14ac:dyDescent="0.25">
      <c r="A217" s="3">
        <v>45741.801030092596</v>
      </c>
      <c r="B217" s="4" t="s">
        <v>153</v>
      </c>
      <c r="C217" s="4" t="s">
        <v>822</v>
      </c>
      <c r="D217" s="4" t="s">
        <v>823</v>
      </c>
      <c r="E217" s="4" t="s">
        <v>824</v>
      </c>
      <c r="F217" s="4" t="s">
        <v>2767</v>
      </c>
      <c r="G217" s="4" t="s">
        <v>252</v>
      </c>
      <c r="H217" s="4" t="s">
        <v>826</v>
      </c>
      <c r="I217" s="4" t="s">
        <v>2768</v>
      </c>
      <c r="J217" s="4" t="s">
        <v>2769</v>
      </c>
      <c r="K217" s="5"/>
      <c r="L217" s="4" t="s">
        <v>153</v>
      </c>
      <c r="M217" s="4" t="s">
        <v>153</v>
      </c>
      <c r="N217" s="4" t="s">
        <v>153</v>
      </c>
      <c r="O217" s="4" t="s">
        <v>153</v>
      </c>
      <c r="P217" s="4" t="s">
        <v>153</v>
      </c>
      <c r="Q217" s="4" t="s">
        <v>153</v>
      </c>
      <c r="R217" s="4" t="s">
        <v>153</v>
      </c>
      <c r="S217" s="4" t="s">
        <v>153</v>
      </c>
      <c r="T217" s="4" t="s">
        <v>153</v>
      </c>
      <c r="U217" s="4" t="s">
        <v>153</v>
      </c>
      <c r="V217" s="4" t="s">
        <v>153</v>
      </c>
      <c r="W217" s="4" t="s">
        <v>153</v>
      </c>
      <c r="X217" s="4" t="s">
        <v>153</v>
      </c>
      <c r="Y217" s="4" t="s">
        <v>153</v>
      </c>
      <c r="Z217" s="4" t="s">
        <v>153</v>
      </c>
      <c r="AA217" s="4" t="s">
        <v>153</v>
      </c>
      <c r="AB217" s="4" t="s">
        <v>153</v>
      </c>
      <c r="AC217" s="4" t="s">
        <v>153</v>
      </c>
      <c r="AD217" s="4" t="s">
        <v>153</v>
      </c>
      <c r="AE217" s="4" t="s">
        <v>153</v>
      </c>
      <c r="AF217" s="4" t="s">
        <v>153</v>
      </c>
      <c r="AG217" s="4" t="s">
        <v>153</v>
      </c>
      <c r="AH217" s="4" t="s">
        <v>153</v>
      </c>
      <c r="AI217" s="5"/>
      <c r="AJ217" t="s">
        <v>153</v>
      </c>
      <c r="AK217" s="4"/>
      <c r="AL217" t="s">
        <v>153</v>
      </c>
      <c r="AM217" t="s">
        <v>153</v>
      </c>
      <c r="AO217" t="s">
        <v>153</v>
      </c>
      <c r="AP217" s="4"/>
      <c r="AQ217" t="s">
        <v>153</v>
      </c>
      <c r="AR217" s="5">
        <v>45473</v>
      </c>
      <c r="AS217">
        <v>2</v>
      </c>
      <c r="AT217" s="4" t="s">
        <v>2770</v>
      </c>
      <c r="AU217" s="4" t="s">
        <v>2692</v>
      </c>
      <c r="AV217" s="4" t="s">
        <v>153</v>
      </c>
      <c r="AW217" t="s">
        <v>153</v>
      </c>
      <c r="AX217" t="s">
        <v>153</v>
      </c>
      <c r="AY217" t="s">
        <v>153</v>
      </c>
      <c r="AZ217" t="s">
        <v>2771</v>
      </c>
      <c r="BA217" t="s">
        <v>153</v>
      </c>
      <c r="BB217" t="s">
        <v>153</v>
      </c>
      <c r="BC217" t="s">
        <v>2772</v>
      </c>
      <c r="BD217" s="4" t="s">
        <v>2773</v>
      </c>
      <c r="BE217" s="4" t="s">
        <v>2774</v>
      </c>
      <c r="BF217" t="s">
        <v>242</v>
      </c>
      <c r="BG217" s="4" t="s">
        <v>637</v>
      </c>
      <c r="BH217" t="s">
        <v>153</v>
      </c>
      <c r="BI217" s="4" t="s">
        <v>153</v>
      </c>
      <c r="BJ217" t="s">
        <v>153</v>
      </c>
      <c r="BK217" s="4" t="s">
        <v>153</v>
      </c>
      <c r="BL217" t="s">
        <v>153</v>
      </c>
      <c r="BM217" t="s">
        <v>153</v>
      </c>
      <c r="BN217" s="4" t="s">
        <v>153</v>
      </c>
      <c r="BO217" s="4" t="s">
        <v>153</v>
      </c>
      <c r="BP217" s="4" t="s">
        <v>153</v>
      </c>
      <c r="BQ217" s="4" t="s">
        <v>153</v>
      </c>
      <c r="BR217" s="4" t="s">
        <v>153</v>
      </c>
      <c r="BS217" s="4" t="s">
        <v>153</v>
      </c>
      <c r="BT217" s="4" t="s">
        <v>153</v>
      </c>
      <c r="BU217" s="4" t="s">
        <v>153</v>
      </c>
      <c r="BV217" s="4"/>
      <c r="BW217" s="4" t="s">
        <v>153</v>
      </c>
      <c r="BX217" s="4" t="s">
        <v>153</v>
      </c>
      <c r="BY217" s="4" t="s">
        <v>153</v>
      </c>
      <c r="BZ217" s="4" t="s">
        <v>153</v>
      </c>
      <c r="CA217" s="4" t="s">
        <v>153</v>
      </c>
      <c r="CB217" s="4"/>
      <c r="CC217" s="4" t="s">
        <v>153</v>
      </c>
      <c r="CD217" t="s">
        <v>153</v>
      </c>
      <c r="CE217" s="4" t="s">
        <v>153</v>
      </c>
      <c r="CF217" s="4" t="s">
        <v>153</v>
      </c>
      <c r="CG217" s="4" t="s">
        <v>153</v>
      </c>
      <c r="CH217" s="5"/>
      <c r="CI217" t="s">
        <v>153</v>
      </c>
      <c r="CJ217" s="4"/>
      <c r="CK217" t="s">
        <v>153</v>
      </c>
      <c r="CL217" t="s">
        <v>153</v>
      </c>
      <c r="CM217" t="s">
        <v>153</v>
      </c>
      <c r="CN217" t="s">
        <v>153</v>
      </c>
      <c r="CO217" s="5"/>
      <c r="CP217" s="4" t="s">
        <v>153</v>
      </c>
      <c r="CQ217" s="4" t="s">
        <v>153</v>
      </c>
      <c r="CR217" t="s">
        <v>153</v>
      </c>
      <c r="CS217" t="s">
        <v>153</v>
      </c>
      <c r="CT217" t="s">
        <v>153</v>
      </c>
      <c r="CU217" t="s">
        <v>153</v>
      </c>
      <c r="CV217" t="s">
        <v>153</v>
      </c>
      <c r="CW217" t="s">
        <v>153</v>
      </c>
      <c r="CX217" t="s">
        <v>153</v>
      </c>
      <c r="CY217" t="s">
        <v>153</v>
      </c>
      <c r="CZ217" t="s">
        <v>153</v>
      </c>
      <c r="DA217" t="s">
        <v>153</v>
      </c>
      <c r="DB217" t="s">
        <v>153</v>
      </c>
      <c r="DC217" t="s">
        <v>153</v>
      </c>
      <c r="DD217" t="s">
        <v>153</v>
      </c>
      <c r="DE217" t="s">
        <v>153</v>
      </c>
      <c r="DF217" t="s">
        <v>153</v>
      </c>
      <c r="DG217" t="s">
        <v>153</v>
      </c>
      <c r="DI217" t="s">
        <v>153</v>
      </c>
      <c r="DJ217" t="s">
        <v>153</v>
      </c>
      <c r="DK217" t="s">
        <v>153</v>
      </c>
      <c r="DL217" t="s">
        <v>153</v>
      </c>
      <c r="DN217" t="s">
        <v>153</v>
      </c>
      <c r="DO217" t="s">
        <v>153</v>
      </c>
      <c r="DP217" t="s">
        <v>153</v>
      </c>
      <c r="DQ217" t="s">
        <v>153</v>
      </c>
      <c r="DR217" t="s">
        <v>153</v>
      </c>
      <c r="DS217" t="s">
        <v>153</v>
      </c>
      <c r="DT217" t="s">
        <v>153</v>
      </c>
      <c r="DU217" t="s">
        <v>153</v>
      </c>
      <c r="DV217" t="s">
        <v>153</v>
      </c>
      <c r="DW217" t="s">
        <v>153</v>
      </c>
      <c r="DX217" s="2"/>
      <c r="DY217" t="s">
        <v>153</v>
      </c>
      <c r="DZ217" t="s">
        <v>153</v>
      </c>
      <c r="EA217" t="s">
        <v>153</v>
      </c>
      <c r="EB217" t="s">
        <v>153</v>
      </c>
      <c r="EC217" t="s">
        <v>153</v>
      </c>
      <c r="ED217" t="s">
        <v>153</v>
      </c>
      <c r="EE217" t="s">
        <v>153</v>
      </c>
      <c r="EF217" t="s">
        <v>153</v>
      </c>
      <c r="EH217" t="s">
        <v>153</v>
      </c>
      <c r="EI217" t="s">
        <v>153</v>
      </c>
      <c r="EJ217" t="s">
        <v>153</v>
      </c>
      <c r="EK217" t="s">
        <v>153</v>
      </c>
      <c r="EM217" t="s">
        <v>153</v>
      </c>
      <c r="EN217" t="s">
        <v>153</v>
      </c>
      <c r="EP217" s="4" t="s">
        <v>153</v>
      </c>
      <c r="EQ217" s="4" t="s">
        <v>153</v>
      </c>
      <c r="ER217" s="4" t="s">
        <v>176</v>
      </c>
      <c r="ES217" s="4" t="s">
        <v>153</v>
      </c>
      <c r="ET217" t="s">
        <v>2775</v>
      </c>
      <c r="EU217" t="s">
        <v>2776</v>
      </c>
      <c r="EV217" t="s">
        <v>845</v>
      </c>
      <c r="EW217">
        <v>1327705276</v>
      </c>
      <c r="EX217" t="s">
        <v>2777</v>
      </c>
    </row>
    <row r="218" spans="1:154" x14ac:dyDescent="0.25">
      <c r="A218" s="3">
        <v>45741.819224537037</v>
      </c>
      <c r="B218" s="4" t="s">
        <v>153</v>
      </c>
      <c r="C218" s="4" t="s">
        <v>822</v>
      </c>
      <c r="D218" s="4" t="s">
        <v>823</v>
      </c>
      <c r="E218" s="4" t="s">
        <v>824</v>
      </c>
      <c r="F218" s="4" t="s">
        <v>2767</v>
      </c>
      <c r="G218" s="4" t="s">
        <v>252</v>
      </c>
      <c r="H218" s="4" t="s">
        <v>826</v>
      </c>
      <c r="I218" s="4" t="s">
        <v>2778</v>
      </c>
      <c r="J218" s="4" t="s">
        <v>2779</v>
      </c>
      <c r="K218" s="5"/>
      <c r="L218" s="4" t="s">
        <v>153</v>
      </c>
      <c r="M218" s="4" t="s">
        <v>153</v>
      </c>
      <c r="N218" s="4" t="s">
        <v>153</v>
      </c>
      <c r="O218" s="4" t="s">
        <v>153</v>
      </c>
      <c r="P218" s="4" t="s">
        <v>153</v>
      </c>
      <c r="Q218" s="4" t="s">
        <v>153</v>
      </c>
      <c r="R218" s="4" t="s">
        <v>153</v>
      </c>
      <c r="S218" s="4" t="s">
        <v>153</v>
      </c>
      <c r="T218" s="4" t="s">
        <v>153</v>
      </c>
      <c r="U218" s="4" t="s">
        <v>153</v>
      </c>
      <c r="V218" s="4" t="s">
        <v>153</v>
      </c>
      <c r="W218" s="4" t="s">
        <v>153</v>
      </c>
      <c r="X218" s="4" t="s">
        <v>153</v>
      </c>
      <c r="Y218" s="4" t="s">
        <v>153</v>
      </c>
      <c r="Z218" s="4" t="s">
        <v>153</v>
      </c>
      <c r="AA218" s="4" t="s">
        <v>153</v>
      </c>
      <c r="AB218" s="4" t="s">
        <v>153</v>
      </c>
      <c r="AC218" s="4" t="s">
        <v>153</v>
      </c>
      <c r="AD218" s="4" t="s">
        <v>153</v>
      </c>
      <c r="AE218" s="4" t="s">
        <v>153</v>
      </c>
      <c r="AF218" s="4" t="s">
        <v>153</v>
      </c>
      <c r="AG218" s="4" t="s">
        <v>153</v>
      </c>
      <c r="AH218" s="4" t="s">
        <v>153</v>
      </c>
      <c r="AI218" s="5"/>
      <c r="AJ218" t="s">
        <v>153</v>
      </c>
      <c r="AK218" s="4"/>
      <c r="AL218" t="s">
        <v>153</v>
      </c>
      <c r="AM218" t="s">
        <v>153</v>
      </c>
      <c r="AO218" t="s">
        <v>153</v>
      </c>
      <c r="AP218" s="4"/>
      <c r="AQ218" t="s">
        <v>153</v>
      </c>
      <c r="AR218" s="5">
        <v>45626</v>
      </c>
      <c r="AS218">
        <v>2</v>
      </c>
      <c r="AT218" s="4" t="s">
        <v>2780</v>
      </c>
      <c r="AU218" s="4" t="s">
        <v>2781</v>
      </c>
      <c r="AV218" s="4" t="s">
        <v>153</v>
      </c>
      <c r="AW218" t="s">
        <v>153</v>
      </c>
      <c r="AX218" t="s">
        <v>153</v>
      </c>
      <c r="AY218" t="s">
        <v>153</v>
      </c>
      <c r="AZ218" t="s">
        <v>2782</v>
      </c>
      <c r="BA218" t="s">
        <v>153</v>
      </c>
      <c r="BB218" t="s">
        <v>153</v>
      </c>
      <c r="BC218" t="s">
        <v>2783</v>
      </c>
      <c r="BD218" s="4" t="s">
        <v>2784</v>
      </c>
      <c r="BE218" s="4" t="s">
        <v>2785</v>
      </c>
      <c r="BF218" t="s">
        <v>242</v>
      </c>
      <c r="BG218" s="4" t="s">
        <v>2786</v>
      </c>
      <c r="BH218" t="s">
        <v>153</v>
      </c>
      <c r="BI218" s="4" t="s">
        <v>153</v>
      </c>
      <c r="BJ218" t="s">
        <v>153</v>
      </c>
      <c r="BK218" s="4" t="s">
        <v>153</v>
      </c>
      <c r="BL218" t="s">
        <v>153</v>
      </c>
      <c r="BM218" t="s">
        <v>153</v>
      </c>
      <c r="BN218" s="4" t="s">
        <v>153</v>
      </c>
      <c r="BO218" s="4" t="s">
        <v>153</v>
      </c>
      <c r="BP218" s="4" t="s">
        <v>153</v>
      </c>
      <c r="BQ218" s="4" t="s">
        <v>153</v>
      </c>
      <c r="BR218" s="4" t="s">
        <v>153</v>
      </c>
      <c r="BS218" s="4" t="s">
        <v>153</v>
      </c>
      <c r="BT218" s="4" t="s">
        <v>153</v>
      </c>
      <c r="BU218" s="4" t="s">
        <v>153</v>
      </c>
      <c r="BV218" s="4"/>
      <c r="BW218" s="4" t="s">
        <v>153</v>
      </c>
      <c r="BX218" s="4" t="s">
        <v>153</v>
      </c>
      <c r="BY218" s="4" t="s">
        <v>153</v>
      </c>
      <c r="BZ218" s="4" t="s">
        <v>153</v>
      </c>
      <c r="CA218" s="4" t="s">
        <v>153</v>
      </c>
      <c r="CB218" s="4"/>
      <c r="CC218" s="4" t="s">
        <v>153</v>
      </c>
      <c r="CD218" t="s">
        <v>153</v>
      </c>
      <c r="CE218" s="4" t="s">
        <v>153</v>
      </c>
      <c r="CF218" s="4" t="s">
        <v>153</v>
      </c>
      <c r="CG218" s="4" t="s">
        <v>153</v>
      </c>
      <c r="CH218" s="5"/>
      <c r="CI218" t="s">
        <v>153</v>
      </c>
      <c r="CJ218" s="4"/>
      <c r="CK218" t="s">
        <v>153</v>
      </c>
      <c r="CL218" t="s">
        <v>153</v>
      </c>
      <c r="CM218" t="s">
        <v>153</v>
      </c>
      <c r="CN218" t="s">
        <v>153</v>
      </c>
      <c r="CO218" s="5"/>
      <c r="CP218" s="4" t="s">
        <v>153</v>
      </c>
      <c r="CQ218" s="4" t="s">
        <v>153</v>
      </c>
      <c r="CR218" t="s">
        <v>153</v>
      </c>
      <c r="CS218" t="s">
        <v>153</v>
      </c>
      <c r="CT218" t="s">
        <v>153</v>
      </c>
      <c r="CU218" t="s">
        <v>153</v>
      </c>
      <c r="CV218" t="s">
        <v>153</v>
      </c>
      <c r="CW218" t="s">
        <v>153</v>
      </c>
      <c r="CX218" t="s">
        <v>153</v>
      </c>
      <c r="CY218" t="s">
        <v>153</v>
      </c>
      <c r="CZ218" t="s">
        <v>153</v>
      </c>
      <c r="DA218" t="s">
        <v>153</v>
      </c>
      <c r="DB218" t="s">
        <v>153</v>
      </c>
      <c r="DC218" t="s">
        <v>153</v>
      </c>
      <c r="DD218" t="s">
        <v>153</v>
      </c>
      <c r="DE218" t="s">
        <v>153</v>
      </c>
      <c r="DF218" t="s">
        <v>153</v>
      </c>
      <c r="DG218" t="s">
        <v>153</v>
      </c>
      <c r="DI218" t="s">
        <v>153</v>
      </c>
      <c r="DJ218" t="s">
        <v>153</v>
      </c>
      <c r="DK218" t="s">
        <v>153</v>
      </c>
      <c r="DL218" t="s">
        <v>153</v>
      </c>
      <c r="DN218" t="s">
        <v>153</v>
      </c>
      <c r="DO218" t="s">
        <v>153</v>
      </c>
      <c r="DP218" t="s">
        <v>153</v>
      </c>
      <c r="DQ218" t="s">
        <v>153</v>
      </c>
      <c r="DR218" t="s">
        <v>153</v>
      </c>
      <c r="DS218" t="s">
        <v>153</v>
      </c>
      <c r="DT218" t="s">
        <v>153</v>
      </c>
      <c r="DU218" t="s">
        <v>153</v>
      </c>
      <c r="DV218" t="s">
        <v>153</v>
      </c>
      <c r="DW218" t="s">
        <v>153</v>
      </c>
      <c r="DX218" s="2"/>
      <c r="DY218" t="s">
        <v>153</v>
      </c>
      <c r="DZ218" t="s">
        <v>153</v>
      </c>
      <c r="EA218" t="s">
        <v>153</v>
      </c>
      <c r="EB218" t="s">
        <v>153</v>
      </c>
      <c r="EC218" t="s">
        <v>153</v>
      </c>
      <c r="ED218" t="s">
        <v>153</v>
      </c>
      <c r="EE218" t="s">
        <v>153</v>
      </c>
      <c r="EF218" t="s">
        <v>153</v>
      </c>
      <c r="EH218" t="s">
        <v>153</v>
      </c>
      <c r="EI218" t="s">
        <v>153</v>
      </c>
      <c r="EJ218" t="s">
        <v>153</v>
      </c>
      <c r="EK218" t="s">
        <v>153</v>
      </c>
      <c r="EM218" t="s">
        <v>153</v>
      </c>
      <c r="EN218" t="s">
        <v>153</v>
      </c>
      <c r="EP218" s="4" t="s">
        <v>153</v>
      </c>
      <c r="EQ218" s="4" t="s">
        <v>153</v>
      </c>
      <c r="ER218" s="4" t="s">
        <v>176</v>
      </c>
      <c r="ES218" s="4" t="s">
        <v>153</v>
      </c>
      <c r="ET218" t="s">
        <v>2787</v>
      </c>
      <c r="EU218" t="s">
        <v>2776</v>
      </c>
      <c r="EV218" t="s">
        <v>845</v>
      </c>
      <c r="EW218">
        <v>1327712161</v>
      </c>
      <c r="EX218" t="s">
        <v>2777</v>
      </c>
    </row>
    <row r="219" spans="1:154" x14ac:dyDescent="0.25">
      <c r="A219" s="3">
        <v>45741.825844907406</v>
      </c>
      <c r="B219" s="4" t="s">
        <v>153</v>
      </c>
      <c r="C219" s="4" t="s">
        <v>822</v>
      </c>
      <c r="D219" s="4" t="s">
        <v>823</v>
      </c>
      <c r="E219" s="4" t="s">
        <v>824</v>
      </c>
      <c r="F219" s="4" t="s">
        <v>2767</v>
      </c>
      <c r="G219" s="4" t="s">
        <v>252</v>
      </c>
      <c r="H219" s="4" t="s">
        <v>826</v>
      </c>
      <c r="I219" s="4" t="s">
        <v>2788</v>
      </c>
      <c r="J219" s="4" t="s">
        <v>2789</v>
      </c>
      <c r="K219" s="5"/>
      <c r="L219" s="4" t="s">
        <v>153</v>
      </c>
      <c r="M219" s="4" t="s">
        <v>153</v>
      </c>
      <c r="N219" s="4" t="s">
        <v>153</v>
      </c>
      <c r="O219" s="4" t="s">
        <v>153</v>
      </c>
      <c r="P219" s="4" t="s">
        <v>153</v>
      </c>
      <c r="Q219" s="4" t="s">
        <v>153</v>
      </c>
      <c r="R219" s="4" t="s">
        <v>153</v>
      </c>
      <c r="S219" s="4" t="s">
        <v>153</v>
      </c>
      <c r="T219" s="4" t="s">
        <v>153</v>
      </c>
      <c r="U219" s="4" t="s">
        <v>153</v>
      </c>
      <c r="V219" s="4" t="s">
        <v>153</v>
      </c>
      <c r="W219" s="4" t="s">
        <v>153</v>
      </c>
      <c r="X219" s="4" t="s">
        <v>153</v>
      </c>
      <c r="Y219" s="4" t="s">
        <v>153</v>
      </c>
      <c r="Z219" s="4" t="s">
        <v>153</v>
      </c>
      <c r="AA219" s="4" t="s">
        <v>153</v>
      </c>
      <c r="AB219" s="4" t="s">
        <v>153</v>
      </c>
      <c r="AC219" s="4" t="s">
        <v>153</v>
      </c>
      <c r="AD219" s="4" t="s">
        <v>153</v>
      </c>
      <c r="AE219" s="4" t="s">
        <v>153</v>
      </c>
      <c r="AF219" s="4" t="s">
        <v>153</v>
      </c>
      <c r="AG219" s="4" t="s">
        <v>153</v>
      </c>
      <c r="AH219" s="4" t="s">
        <v>153</v>
      </c>
      <c r="AI219" s="5"/>
      <c r="AJ219" t="s">
        <v>153</v>
      </c>
      <c r="AK219" s="4"/>
      <c r="AL219" t="s">
        <v>153</v>
      </c>
      <c r="AM219" t="s">
        <v>153</v>
      </c>
      <c r="AO219" t="s">
        <v>153</v>
      </c>
      <c r="AP219" s="4"/>
      <c r="AQ219" t="s">
        <v>153</v>
      </c>
      <c r="AR219" s="5">
        <v>45626</v>
      </c>
      <c r="AS219">
        <v>1</v>
      </c>
      <c r="AT219" s="4" t="s">
        <v>2790</v>
      </c>
      <c r="AU219" s="4" t="s">
        <v>2791</v>
      </c>
      <c r="AV219" s="4" t="s">
        <v>153</v>
      </c>
      <c r="AW219" t="s">
        <v>153</v>
      </c>
      <c r="AX219" t="s">
        <v>153</v>
      </c>
      <c r="AY219" t="s">
        <v>153</v>
      </c>
      <c r="AZ219" t="s">
        <v>653</v>
      </c>
      <c r="BA219" t="s">
        <v>153</v>
      </c>
      <c r="BB219" t="s">
        <v>153</v>
      </c>
      <c r="BC219" t="s">
        <v>153</v>
      </c>
      <c r="BD219" s="4" t="s">
        <v>2792</v>
      </c>
      <c r="BE219" s="4" t="s">
        <v>2793</v>
      </c>
      <c r="BF219" t="s">
        <v>243</v>
      </c>
      <c r="BG219" s="4" t="s">
        <v>153</v>
      </c>
      <c r="BH219" t="s">
        <v>153</v>
      </c>
      <c r="BI219" s="4" t="s">
        <v>153</v>
      </c>
      <c r="BJ219" t="s">
        <v>153</v>
      </c>
      <c r="BK219" s="4" t="s">
        <v>153</v>
      </c>
      <c r="BL219" t="s">
        <v>153</v>
      </c>
      <c r="BM219" t="s">
        <v>153</v>
      </c>
      <c r="BN219" s="4" t="s">
        <v>153</v>
      </c>
      <c r="BO219" s="4" t="s">
        <v>153</v>
      </c>
      <c r="BP219" s="4" t="s">
        <v>153</v>
      </c>
      <c r="BQ219" s="4" t="s">
        <v>153</v>
      </c>
      <c r="BR219" s="4" t="s">
        <v>153</v>
      </c>
      <c r="BS219" s="4" t="s">
        <v>153</v>
      </c>
      <c r="BT219" s="4" t="s">
        <v>153</v>
      </c>
      <c r="BU219" s="4" t="s">
        <v>153</v>
      </c>
      <c r="BV219" s="4"/>
      <c r="BW219" s="4" t="s">
        <v>153</v>
      </c>
      <c r="BX219" s="4" t="s">
        <v>153</v>
      </c>
      <c r="BY219" s="4" t="s">
        <v>153</v>
      </c>
      <c r="BZ219" s="4" t="s">
        <v>153</v>
      </c>
      <c r="CA219" s="4" t="s">
        <v>153</v>
      </c>
      <c r="CB219" s="4"/>
      <c r="CC219" s="4" t="s">
        <v>153</v>
      </c>
      <c r="CD219" t="s">
        <v>153</v>
      </c>
      <c r="CE219" s="4" t="s">
        <v>153</v>
      </c>
      <c r="CF219" s="4" t="s">
        <v>153</v>
      </c>
      <c r="CG219" s="4" t="s">
        <v>153</v>
      </c>
      <c r="CH219" s="5"/>
      <c r="CI219" t="s">
        <v>153</v>
      </c>
      <c r="CJ219" s="4"/>
      <c r="CK219" t="s">
        <v>153</v>
      </c>
      <c r="CL219" t="s">
        <v>153</v>
      </c>
      <c r="CM219" t="s">
        <v>153</v>
      </c>
      <c r="CN219" t="s">
        <v>153</v>
      </c>
      <c r="CO219" s="5"/>
      <c r="CP219" s="4" t="s">
        <v>153</v>
      </c>
      <c r="CQ219" s="4" t="s">
        <v>153</v>
      </c>
      <c r="CR219" t="s">
        <v>153</v>
      </c>
      <c r="CS219" t="s">
        <v>153</v>
      </c>
      <c r="CT219" t="s">
        <v>153</v>
      </c>
      <c r="CU219" t="s">
        <v>153</v>
      </c>
      <c r="CV219" t="s">
        <v>153</v>
      </c>
      <c r="CW219" t="s">
        <v>153</v>
      </c>
      <c r="CX219" t="s">
        <v>153</v>
      </c>
      <c r="CY219" t="s">
        <v>153</v>
      </c>
      <c r="CZ219" t="s">
        <v>153</v>
      </c>
      <c r="DA219" t="s">
        <v>153</v>
      </c>
      <c r="DB219" t="s">
        <v>153</v>
      </c>
      <c r="DC219" t="s">
        <v>153</v>
      </c>
      <c r="DD219" t="s">
        <v>153</v>
      </c>
      <c r="DE219" t="s">
        <v>153</v>
      </c>
      <c r="DF219" t="s">
        <v>153</v>
      </c>
      <c r="DG219" t="s">
        <v>153</v>
      </c>
      <c r="DI219" t="s">
        <v>153</v>
      </c>
      <c r="DJ219" t="s">
        <v>153</v>
      </c>
      <c r="DK219" t="s">
        <v>153</v>
      </c>
      <c r="DL219" t="s">
        <v>153</v>
      </c>
      <c r="DN219" t="s">
        <v>153</v>
      </c>
      <c r="DO219" t="s">
        <v>153</v>
      </c>
      <c r="DP219" t="s">
        <v>153</v>
      </c>
      <c r="DQ219" t="s">
        <v>153</v>
      </c>
      <c r="DR219" t="s">
        <v>153</v>
      </c>
      <c r="DS219" t="s">
        <v>153</v>
      </c>
      <c r="DT219" t="s">
        <v>153</v>
      </c>
      <c r="DU219" t="s">
        <v>153</v>
      </c>
      <c r="DV219" t="s">
        <v>153</v>
      </c>
      <c r="DW219" t="s">
        <v>153</v>
      </c>
      <c r="DX219" s="2"/>
      <c r="DY219" t="s">
        <v>153</v>
      </c>
      <c r="DZ219" t="s">
        <v>153</v>
      </c>
      <c r="EA219" t="s">
        <v>153</v>
      </c>
      <c r="EB219" t="s">
        <v>153</v>
      </c>
      <c r="EC219" t="s">
        <v>153</v>
      </c>
      <c r="ED219" t="s">
        <v>153</v>
      </c>
      <c r="EE219" t="s">
        <v>153</v>
      </c>
      <c r="EF219" t="s">
        <v>153</v>
      </c>
      <c r="EH219" t="s">
        <v>153</v>
      </c>
      <c r="EI219" t="s">
        <v>153</v>
      </c>
      <c r="EJ219" t="s">
        <v>153</v>
      </c>
      <c r="EK219" t="s">
        <v>153</v>
      </c>
      <c r="EM219" t="s">
        <v>153</v>
      </c>
      <c r="EN219" t="s">
        <v>153</v>
      </c>
      <c r="EP219" s="4" t="s">
        <v>153</v>
      </c>
      <c r="EQ219" s="4" t="s">
        <v>153</v>
      </c>
      <c r="ER219" s="4" t="s">
        <v>243</v>
      </c>
      <c r="ES219" s="4" t="s">
        <v>356</v>
      </c>
      <c r="ET219" t="s">
        <v>2794</v>
      </c>
      <c r="EU219" t="s">
        <v>2776</v>
      </c>
      <c r="EV219" t="s">
        <v>845</v>
      </c>
      <c r="EW219">
        <v>1327714741</v>
      </c>
      <c r="EX219" t="s">
        <v>2777</v>
      </c>
    </row>
    <row r="220" spans="1:154" x14ac:dyDescent="0.25">
      <c r="A220" s="3">
        <v>45750.43953703704</v>
      </c>
      <c r="B220" s="4" t="s">
        <v>153</v>
      </c>
      <c r="C220" s="4" t="s">
        <v>285</v>
      </c>
      <c r="D220" s="4" t="s">
        <v>286</v>
      </c>
      <c r="E220" s="4" t="s">
        <v>287</v>
      </c>
      <c r="F220" s="4" t="s">
        <v>288</v>
      </c>
      <c r="G220" s="4" t="s">
        <v>948</v>
      </c>
      <c r="H220" s="4" t="s">
        <v>289</v>
      </c>
      <c r="I220" s="4" t="s">
        <v>1886</v>
      </c>
      <c r="J220" s="4" t="s">
        <v>153</v>
      </c>
      <c r="K220" s="5">
        <v>45773</v>
      </c>
      <c r="L220" s="4" t="s">
        <v>403</v>
      </c>
      <c r="M220" s="4" t="s">
        <v>1886</v>
      </c>
      <c r="N220" s="4" t="s">
        <v>153</v>
      </c>
      <c r="O220" s="4" t="s">
        <v>169</v>
      </c>
      <c r="P220" s="4" t="s">
        <v>2795</v>
      </c>
      <c r="Q220" s="4" t="s">
        <v>153</v>
      </c>
      <c r="R220" s="4" t="s">
        <v>153</v>
      </c>
      <c r="S220" s="4" t="s">
        <v>153</v>
      </c>
      <c r="T220" s="4" t="s">
        <v>153</v>
      </c>
      <c r="U220" s="4" t="s">
        <v>1890</v>
      </c>
      <c r="V220" s="4" t="s">
        <v>153</v>
      </c>
      <c r="W220" s="4" t="s">
        <v>1891</v>
      </c>
      <c r="X220" s="4" t="s">
        <v>297</v>
      </c>
      <c r="Y220" s="4" t="s">
        <v>1892</v>
      </c>
      <c r="Z220" s="4" t="s">
        <v>237</v>
      </c>
      <c r="AA220" s="4" t="s">
        <v>1893</v>
      </c>
      <c r="AB220" s="4" t="s">
        <v>153</v>
      </c>
      <c r="AC220" s="4" t="s">
        <v>1891</v>
      </c>
      <c r="AD220" s="4" t="s">
        <v>297</v>
      </c>
      <c r="AE220" s="4" t="s">
        <v>1892</v>
      </c>
      <c r="AF220" s="4" t="s">
        <v>1894</v>
      </c>
      <c r="AG220" s="4" t="s">
        <v>2796</v>
      </c>
      <c r="AH220" s="4" t="s">
        <v>1896</v>
      </c>
      <c r="AI220" s="5"/>
      <c r="AJ220" t="s">
        <v>153</v>
      </c>
      <c r="AK220" s="4"/>
      <c r="AL220" t="s">
        <v>153</v>
      </c>
      <c r="AM220" t="s">
        <v>414</v>
      </c>
      <c r="AO220" t="s">
        <v>2797</v>
      </c>
      <c r="AP220" s="4">
        <v>931913289</v>
      </c>
      <c r="AQ220" t="s">
        <v>2798</v>
      </c>
      <c r="AR220" s="5"/>
      <c r="AT220" s="4" t="s">
        <v>153</v>
      </c>
      <c r="AU220" s="4" t="s">
        <v>153</v>
      </c>
      <c r="AV220" s="4" t="s">
        <v>153</v>
      </c>
      <c r="AW220" t="s">
        <v>153</v>
      </c>
      <c r="AX220" t="s">
        <v>153</v>
      </c>
      <c r="AY220" t="s">
        <v>153</v>
      </c>
      <c r="AZ220" t="s">
        <v>153</v>
      </c>
      <c r="BA220" t="s">
        <v>153</v>
      </c>
      <c r="BB220" t="s">
        <v>153</v>
      </c>
      <c r="BC220" t="s">
        <v>153</v>
      </c>
      <c r="BD220" s="4" t="s">
        <v>153</v>
      </c>
      <c r="BE220" s="4" t="s">
        <v>153</v>
      </c>
      <c r="BF220" t="s">
        <v>153</v>
      </c>
      <c r="BG220" s="4" t="s">
        <v>153</v>
      </c>
      <c r="BH220" t="s">
        <v>153</v>
      </c>
      <c r="BI220" s="4" t="s">
        <v>153</v>
      </c>
      <c r="BJ220" t="s">
        <v>153</v>
      </c>
      <c r="BK220" s="4" t="s">
        <v>153</v>
      </c>
      <c r="BL220" t="s">
        <v>153</v>
      </c>
      <c r="BM220" t="s">
        <v>153</v>
      </c>
      <c r="BN220" s="4" t="s">
        <v>153</v>
      </c>
      <c r="BO220" s="4" t="s">
        <v>153</v>
      </c>
      <c r="BP220" s="4" t="s">
        <v>153</v>
      </c>
      <c r="BQ220" s="4" t="s">
        <v>153</v>
      </c>
      <c r="BR220" s="4" t="s">
        <v>153</v>
      </c>
      <c r="BS220" s="4" t="s">
        <v>153</v>
      </c>
      <c r="BT220" s="4" t="s">
        <v>153</v>
      </c>
      <c r="BU220" s="4" t="s">
        <v>153</v>
      </c>
      <c r="BV220" s="4"/>
      <c r="BW220" s="4" t="s">
        <v>153</v>
      </c>
      <c r="BX220" s="4" t="s">
        <v>153</v>
      </c>
      <c r="BY220" s="4" t="s">
        <v>153</v>
      </c>
      <c r="BZ220" s="4" t="s">
        <v>153</v>
      </c>
      <c r="CA220" s="4" t="s">
        <v>153</v>
      </c>
      <c r="CB220" s="4"/>
      <c r="CC220" s="4" t="s">
        <v>153</v>
      </c>
      <c r="CD220" t="s">
        <v>153</v>
      </c>
      <c r="CE220" s="4" t="s">
        <v>153</v>
      </c>
      <c r="CF220" s="4" t="s">
        <v>153</v>
      </c>
      <c r="CG220" s="4" t="s">
        <v>153</v>
      </c>
      <c r="CH220" s="5"/>
      <c r="CI220" t="s">
        <v>153</v>
      </c>
      <c r="CJ220" s="4"/>
      <c r="CK220" t="s">
        <v>153</v>
      </c>
      <c r="CL220" t="s">
        <v>153</v>
      </c>
      <c r="CM220" t="s">
        <v>153</v>
      </c>
      <c r="CN220" t="s">
        <v>153</v>
      </c>
      <c r="CO220" s="5"/>
      <c r="CP220" s="4" t="s">
        <v>153</v>
      </c>
      <c r="CQ220" s="4" t="s">
        <v>153</v>
      </c>
      <c r="CR220" t="s">
        <v>153</v>
      </c>
      <c r="CS220" t="s">
        <v>153</v>
      </c>
      <c r="CT220" t="s">
        <v>153</v>
      </c>
      <c r="CU220" t="s">
        <v>153</v>
      </c>
      <c r="CV220" t="s">
        <v>153</v>
      </c>
      <c r="CW220" t="s">
        <v>153</v>
      </c>
      <c r="CX220" t="s">
        <v>153</v>
      </c>
      <c r="CY220" t="s">
        <v>153</v>
      </c>
      <c r="CZ220" t="s">
        <v>153</v>
      </c>
      <c r="DA220" t="s">
        <v>153</v>
      </c>
      <c r="DB220" t="s">
        <v>153</v>
      </c>
      <c r="DC220" t="s">
        <v>153</v>
      </c>
      <c r="DD220" t="s">
        <v>153</v>
      </c>
      <c r="DE220" t="s">
        <v>153</v>
      </c>
      <c r="DF220" t="s">
        <v>153</v>
      </c>
      <c r="DG220" t="s">
        <v>153</v>
      </c>
      <c r="DI220" t="s">
        <v>153</v>
      </c>
      <c r="DJ220" t="s">
        <v>153</v>
      </c>
      <c r="DK220" t="s">
        <v>153</v>
      </c>
      <c r="DL220" t="s">
        <v>153</v>
      </c>
      <c r="DN220" t="s">
        <v>153</v>
      </c>
      <c r="DO220" t="s">
        <v>153</v>
      </c>
      <c r="DP220" t="s">
        <v>153</v>
      </c>
      <c r="DQ220" t="s">
        <v>153</v>
      </c>
      <c r="DR220" t="s">
        <v>153</v>
      </c>
      <c r="DS220" t="s">
        <v>153</v>
      </c>
      <c r="DT220" t="s">
        <v>153</v>
      </c>
      <c r="DU220" t="s">
        <v>153</v>
      </c>
      <c r="DV220" t="s">
        <v>153</v>
      </c>
      <c r="DW220" t="s">
        <v>153</v>
      </c>
      <c r="DX220" s="2"/>
      <c r="DY220" t="s">
        <v>153</v>
      </c>
      <c r="DZ220" t="s">
        <v>153</v>
      </c>
      <c r="EA220" t="s">
        <v>153</v>
      </c>
      <c r="EB220" t="s">
        <v>153</v>
      </c>
      <c r="EC220" t="s">
        <v>153</v>
      </c>
      <c r="ED220" t="s">
        <v>153</v>
      </c>
      <c r="EE220" t="s">
        <v>153</v>
      </c>
      <c r="EF220" t="s">
        <v>153</v>
      </c>
      <c r="EH220" t="s">
        <v>153</v>
      </c>
      <c r="EI220" t="s">
        <v>153</v>
      </c>
      <c r="EJ220" t="s">
        <v>153</v>
      </c>
      <c r="EK220" t="s">
        <v>153</v>
      </c>
      <c r="EM220" t="s">
        <v>153</v>
      </c>
      <c r="EN220" t="s">
        <v>153</v>
      </c>
      <c r="EP220" s="4" t="s">
        <v>153</v>
      </c>
      <c r="EQ220" s="4" t="s">
        <v>153</v>
      </c>
      <c r="ER220" s="4" t="s">
        <v>191</v>
      </c>
      <c r="ES220" s="4" t="s">
        <v>153</v>
      </c>
      <c r="ET220" t="s">
        <v>2799</v>
      </c>
      <c r="EU220" t="s">
        <v>2714</v>
      </c>
      <c r="EV220" t="s">
        <v>1899</v>
      </c>
      <c r="EW220">
        <v>1331354538</v>
      </c>
      <c r="EX220" t="s">
        <v>366</v>
      </c>
    </row>
    <row r="221" spans="1:154" x14ac:dyDescent="0.25">
      <c r="A221" s="3">
        <v>45750.485358796293</v>
      </c>
      <c r="B221" s="4" t="s">
        <v>153</v>
      </c>
      <c r="C221" s="4" t="s">
        <v>2638</v>
      </c>
      <c r="D221" s="4" t="s">
        <v>2639</v>
      </c>
      <c r="E221" s="4" t="s">
        <v>2640</v>
      </c>
      <c r="F221" s="4" t="s">
        <v>2641</v>
      </c>
      <c r="G221" s="4" t="s">
        <v>252</v>
      </c>
      <c r="H221" s="4" t="s">
        <v>1119</v>
      </c>
      <c r="I221" s="4" t="s">
        <v>2800</v>
      </c>
      <c r="J221" s="4" t="s">
        <v>2801</v>
      </c>
      <c r="K221" s="5"/>
      <c r="L221" s="4" t="s">
        <v>153</v>
      </c>
      <c r="M221" s="4" t="s">
        <v>153</v>
      </c>
      <c r="N221" s="4" t="s">
        <v>153</v>
      </c>
      <c r="O221" s="4" t="s">
        <v>153</v>
      </c>
      <c r="P221" s="4" t="s">
        <v>153</v>
      </c>
      <c r="Q221" s="4" t="s">
        <v>153</v>
      </c>
      <c r="R221" s="4" t="s">
        <v>153</v>
      </c>
      <c r="S221" s="4" t="s">
        <v>153</v>
      </c>
      <c r="T221" s="4" t="s">
        <v>153</v>
      </c>
      <c r="U221" s="4" t="s">
        <v>153</v>
      </c>
      <c r="V221" s="4" t="s">
        <v>153</v>
      </c>
      <c r="W221" s="4" t="s">
        <v>153</v>
      </c>
      <c r="X221" s="4" t="s">
        <v>153</v>
      </c>
      <c r="Y221" s="4" t="s">
        <v>153</v>
      </c>
      <c r="Z221" s="4" t="s">
        <v>153</v>
      </c>
      <c r="AA221" s="4" t="s">
        <v>153</v>
      </c>
      <c r="AB221" s="4" t="s">
        <v>153</v>
      </c>
      <c r="AC221" s="4" t="s">
        <v>153</v>
      </c>
      <c r="AD221" s="4" t="s">
        <v>153</v>
      </c>
      <c r="AE221" s="4" t="s">
        <v>153</v>
      </c>
      <c r="AF221" s="4" t="s">
        <v>153</v>
      </c>
      <c r="AG221" s="4" t="s">
        <v>153</v>
      </c>
      <c r="AH221" s="4" t="s">
        <v>153</v>
      </c>
      <c r="AI221" s="5"/>
      <c r="AJ221" t="s">
        <v>153</v>
      </c>
      <c r="AK221" s="4"/>
      <c r="AL221" t="s">
        <v>153</v>
      </c>
      <c r="AM221" t="s">
        <v>153</v>
      </c>
      <c r="AO221" t="s">
        <v>153</v>
      </c>
      <c r="AP221" s="4"/>
      <c r="AQ221" t="s">
        <v>153</v>
      </c>
      <c r="AR221" s="5">
        <v>45732</v>
      </c>
      <c r="AS221">
        <v>0</v>
      </c>
      <c r="AT221" s="4" t="s">
        <v>153</v>
      </c>
      <c r="AU221" s="4" t="s">
        <v>153</v>
      </c>
      <c r="AV221" s="4" t="s">
        <v>256</v>
      </c>
      <c r="AW221" t="s">
        <v>153</v>
      </c>
      <c r="AX221" t="s">
        <v>153</v>
      </c>
      <c r="AY221" t="s">
        <v>153</v>
      </c>
      <c r="AZ221" t="s">
        <v>153</v>
      </c>
      <c r="BA221" t="s">
        <v>153</v>
      </c>
      <c r="BB221" t="s">
        <v>153</v>
      </c>
      <c r="BC221" t="s">
        <v>153</v>
      </c>
      <c r="BD221" s="4" t="s">
        <v>2802</v>
      </c>
      <c r="BE221" s="4" t="s">
        <v>2803</v>
      </c>
      <c r="BF221" t="s">
        <v>242</v>
      </c>
      <c r="BG221" s="4" t="s">
        <v>2804</v>
      </c>
      <c r="BH221" t="s">
        <v>153</v>
      </c>
      <c r="BI221" s="4" t="s">
        <v>153</v>
      </c>
      <c r="BJ221" t="s">
        <v>153</v>
      </c>
      <c r="BK221" s="4" t="s">
        <v>153</v>
      </c>
      <c r="BL221" t="s">
        <v>153</v>
      </c>
      <c r="BM221" t="s">
        <v>153</v>
      </c>
      <c r="BN221" s="4" t="s">
        <v>153</v>
      </c>
      <c r="BO221" s="4" t="s">
        <v>153</v>
      </c>
      <c r="BP221" s="4" t="s">
        <v>153</v>
      </c>
      <c r="BQ221" s="4" t="s">
        <v>153</v>
      </c>
      <c r="BR221" s="4" t="s">
        <v>153</v>
      </c>
      <c r="BS221" s="4" t="s">
        <v>153</v>
      </c>
      <c r="BT221" s="4" t="s">
        <v>153</v>
      </c>
      <c r="BU221" s="4" t="s">
        <v>153</v>
      </c>
      <c r="BV221" s="4"/>
      <c r="BW221" s="4" t="s">
        <v>153</v>
      </c>
      <c r="BX221" s="4" t="s">
        <v>153</v>
      </c>
      <c r="BY221" s="4" t="s">
        <v>153</v>
      </c>
      <c r="BZ221" s="4" t="s">
        <v>153</v>
      </c>
      <c r="CA221" s="4" t="s">
        <v>153</v>
      </c>
      <c r="CB221" s="4"/>
      <c r="CC221" s="4" t="s">
        <v>153</v>
      </c>
      <c r="CD221" t="s">
        <v>153</v>
      </c>
      <c r="CE221" s="4" t="s">
        <v>153</v>
      </c>
      <c r="CF221" s="4" t="s">
        <v>153</v>
      </c>
      <c r="CG221" s="4" t="s">
        <v>153</v>
      </c>
      <c r="CH221" s="5"/>
      <c r="CI221" t="s">
        <v>153</v>
      </c>
      <c r="CJ221" s="4"/>
      <c r="CK221" t="s">
        <v>153</v>
      </c>
      <c r="CL221" t="s">
        <v>153</v>
      </c>
      <c r="CM221" t="s">
        <v>153</v>
      </c>
      <c r="CN221" t="s">
        <v>153</v>
      </c>
      <c r="CO221" s="5"/>
      <c r="CP221" s="4" t="s">
        <v>153</v>
      </c>
      <c r="CQ221" s="4" t="s">
        <v>153</v>
      </c>
      <c r="CR221" t="s">
        <v>153</v>
      </c>
      <c r="CS221" t="s">
        <v>153</v>
      </c>
      <c r="CT221" t="s">
        <v>153</v>
      </c>
      <c r="CU221" t="s">
        <v>153</v>
      </c>
      <c r="CV221" t="s">
        <v>153</v>
      </c>
      <c r="CW221" t="s">
        <v>153</v>
      </c>
      <c r="CX221" t="s">
        <v>153</v>
      </c>
      <c r="CY221" t="s">
        <v>153</v>
      </c>
      <c r="CZ221" t="s">
        <v>153</v>
      </c>
      <c r="DA221" t="s">
        <v>153</v>
      </c>
      <c r="DB221" t="s">
        <v>153</v>
      </c>
      <c r="DC221" t="s">
        <v>153</v>
      </c>
      <c r="DD221" t="s">
        <v>153</v>
      </c>
      <c r="DE221" t="s">
        <v>153</v>
      </c>
      <c r="DF221" t="s">
        <v>153</v>
      </c>
      <c r="DG221" t="s">
        <v>153</v>
      </c>
      <c r="DI221" t="s">
        <v>153</v>
      </c>
      <c r="DJ221" t="s">
        <v>153</v>
      </c>
      <c r="DK221" t="s">
        <v>153</v>
      </c>
      <c r="DL221" t="s">
        <v>153</v>
      </c>
      <c r="DN221" t="s">
        <v>153</v>
      </c>
      <c r="DO221" t="s">
        <v>153</v>
      </c>
      <c r="DP221" t="s">
        <v>153</v>
      </c>
      <c r="DQ221" t="s">
        <v>153</v>
      </c>
      <c r="DR221" t="s">
        <v>153</v>
      </c>
      <c r="DS221" t="s">
        <v>153</v>
      </c>
      <c r="DT221" t="s">
        <v>153</v>
      </c>
      <c r="DU221" t="s">
        <v>153</v>
      </c>
      <c r="DV221" t="s">
        <v>153</v>
      </c>
      <c r="DW221" t="s">
        <v>153</v>
      </c>
      <c r="DX221" s="2"/>
      <c r="DY221" t="s">
        <v>153</v>
      </c>
      <c r="DZ221" t="s">
        <v>153</v>
      </c>
      <c r="EA221" t="s">
        <v>153</v>
      </c>
      <c r="EB221" t="s">
        <v>153</v>
      </c>
      <c r="EC221" t="s">
        <v>153</v>
      </c>
      <c r="ED221" t="s">
        <v>153</v>
      </c>
      <c r="EE221" t="s">
        <v>153</v>
      </c>
      <c r="EF221" t="s">
        <v>153</v>
      </c>
      <c r="EH221" t="s">
        <v>153</v>
      </c>
      <c r="EI221" t="s">
        <v>153</v>
      </c>
      <c r="EJ221" t="s">
        <v>153</v>
      </c>
      <c r="EK221" t="s">
        <v>153</v>
      </c>
      <c r="EM221" t="s">
        <v>153</v>
      </c>
      <c r="EN221" t="s">
        <v>153</v>
      </c>
      <c r="EP221" s="4" t="s">
        <v>153</v>
      </c>
      <c r="EQ221" s="4" t="s">
        <v>153</v>
      </c>
      <c r="ER221" s="4" t="s">
        <v>191</v>
      </c>
      <c r="ES221" s="4" t="s">
        <v>153</v>
      </c>
      <c r="ET221" t="s">
        <v>2805</v>
      </c>
      <c r="EU221" t="s">
        <v>2714</v>
      </c>
      <c r="EV221" t="s">
        <v>2650</v>
      </c>
      <c r="EW221">
        <v>1331381896</v>
      </c>
      <c r="EX221" t="s">
        <v>2651</v>
      </c>
    </row>
    <row r="222" spans="1:154" x14ac:dyDescent="0.25">
      <c r="A222" s="3">
        <v>45762.380474537036</v>
      </c>
      <c r="B222" s="4" t="s">
        <v>153</v>
      </c>
      <c r="C222" s="4" t="s">
        <v>285</v>
      </c>
      <c r="D222" s="4" t="s">
        <v>286</v>
      </c>
      <c r="E222" s="4" t="s">
        <v>287</v>
      </c>
      <c r="F222" s="4" t="s">
        <v>288</v>
      </c>
      <c r="G222" s="4" t="s">
        <v>948</v>
      </c>
      <c r="H222" s="4" t="s">
        <v>289</v>
      </c>
      <c r="I222" s="4" t="s">
        <v>2806</v>
      </c>
      <c r="J222" s="4" t="s">
        <v>2807</v>
      </c>
      <c r="K222" s="5">
        <v>45773</v>
      </c>
      <c r="L222" s="4" t="s">
        <v>403</v>
      </c>
      <c r="M222" s="4" t="s">
        <v>2806</v>
      </c>
      <c r="N222" s="4" t="s">
        <v>153</v>
      </c>
      <c r="O222" s="4" t="s">
        <v>2808</v>
      </c>
      <c r="P222" s="4" t="s">
        <v>2809</v>
      </c>
      <c r="Q222" s="4" t="s">
        <v>153</v>
      </c>
      <c r="R222" s="4" t="s">
        <v>153</v>
      </c>
      <c r="S222" s="4" t="s">
        <v>153</v>
      </c>
      <c r="T222" s="4" t="s">
        <v>153</v>
      </c>
      <c r="U222" s="4" t="s">
        <v>2810</v>
      </c>
      <c r="V222" s="4" t="s">
        <v>153</v>
      </c>
      <c r="W222" s="4" t="s">
        <v>2811</v>
      </c>
      <c r="X222" s="4" t="s">
        <v>297</v>
      </c>
      <c r="Y222" s="4" t="s">
        <v>2812</v>
      </c>
      <c r="Z222" s="4" t="s">
        <v>237</v>
      </c>
      <c r="AA222" s="4" t="s">
        <v>2813</v>
      </c>
      <c r="AB222" s="4" t="s">
        <v>153</v>
      </c>
      <c r="AC222" s="4" t="s">
        <v>2811</v>
      </c>
      <c r="AD222" s="4" t="s">
        <v>297</v>
      </c>
      <c r="AE222" s="4" t="s">
        <v>2812</v>
      </c>
      <c r="AF222" s="4" t="s">
        <v>2814</v>
      </c>
      <c r="AG222" s="4" t="s">
        <v>2815</v>
      </c>
      <c r="AH222" s="4" t="s">
        <v>2816</v>
      </c>
      <c r="AI222" s="5"/>
      <c r="AJ222" t="s">
        <v>153</v>
      </c>
      <c r="AK222" s="4"/>
      <c r="AL222" t="s">
        <v>153</v>
      </c>
      <c r="AM222" t="s">
        <v>414</v>
      </c>
      <c r="AO222" t="s">
        <v>2817</v>
      </c>
      <c r="AP222" s="4">
        <v>431233353</v>
      </c>
      <c r="AQ222" t="s">
        <v>2818</v>
      </c>
      <c r="AR222" s="5"/>
      <c r="AT222" s="4" t="s">
        <v>153</v>
      </c>
      <c r="AU222" s="4" t="s">
        <v>153</v>
      </c>
      <c r="AV222" s="4" t="s">
        <v>153</v>
      </c>
      <c r="AW222" t="s">
        <v>153</v>
      </c>
      <c r="AX222" t="s">
        <v>153</v>
      </c>
      <c r="AY222" t="s">
        <v>153</v>
      </c>
      <c r="AZ222" t="s">
        <v>153</v>
      </c>
      <c r="BA222" t="s">
        <v>153</v>
      </c>
      <c r="BB222" t="s">
        <v>153</v>
      </c>
      <c r="BC222" t="s">
        <v>153</v>
      </c>
      <c r="BD222" s="4" t="s">
        <v>153</v>
      </c>
      <c r="BE222" s="4" t="s">
        <v>153</v>
      </c>
      <c r="BF222" t="s">
        <v>153</v>
      </c>
      <c r="BG222" s="4" t="s">
        <v>153</v>
      </c>
      <c r="BH222" t="s">
        <v>153</v>
      </c>
      <c r="BI222" s="4" t="s">
        <v>153</v>
      </c>
      <c r="BJ222" t="s">
        <v>153</v>
      </c>
      <c r="BK222" s="4" t="s">
        <v>153</v>
      </c>
      <c r="BL222" t="s">
        <v>153</v>
      </c>
      <c r="BM222" t="s">
        <v>153</v>
      </c>
      <c r="BN222" s="4" t="s">
        <v>153</v>
      </c>
      <c r="BO222" s="4" t="s">
        <v>153</v>
      </c>
      <c r="BP222" s="4" t="s">
        <v>153</v>
      </c>
      <c r="BQ222" s="4" t="s">
        <v>153</v>
      </c>
      <c r="BR222" s="4" t="s">
        <v>153</v>
      </c>
      <c r="BS222" s="4" t="s">
        <v>153</v>
      </c>
      <c r="BT222" s="4" t="s">
        <v>153</v>
      </c>
      <c r="BU222" s="4" t="s">
        <v>153</v>
      </c>
      <c r="BV222" s="4"/>
      <c r="BW222" s="4" t="s">
        <v>153</v>
      </c>
      <c r="BX222" s="4" t="s">
        <v>153</v>
      </c>
      <c r="BY222" s="4" t="s">
        <v>153</v>
      </c>
      <c r="BZ222" s="4" t="s">
        <v>153</v>
      </c>
      <c r="CA222" s="4" t="s">
        <v>153</v>
      </c>
      <c r="CB222" s="4"/>
      <c r="CC222" s="4" t="s">
        <v>153</v>
      </c>
      <c r="CD222" t="s">
        <v>153</v>
      </c>
      <c r="CE222" s="4" t="s">
        <v>153</v>
      </c>
      <c r="CF222" s="4" t="s">
        <v>153</v>
      </c>
      <c r="CG222" s="4" t="s">
        <v>153</v>
      </c>
      <c r="CH222" s="5"/>
      <c r="CI222" t="s">
        <v>153</v>
      </c>
      <c r="CJ222" s="4"/>
      <c r="CK222" t="s">
        <v>153</v>
      </c>
      <c r="CL222" t="s">
        <v>153</v>
      </c>
      <c r="CM222" t="s">
        <v>153</v>
      </c>
      <c r="CN222" t="s">
        <v>153</v>
      </c>
      <c r="CO222" s="5"/>
      <c r="CP222" s="4" t="s">
        <v>153</v>
      </c>
      <c r="CQ222" s="4" t="s">
        <v>153</v>
      </c>
      <c r="CR222" t="s">
        <v>153</v>
      </c>
      <c r="CS222" t="s">
        <v>153</v>
      </c>
      <c r="CT222" t="s">
        <v>153</v>
      </c>
      <c r="CU222" t="s">
        <v>153</v>
      </c>
      <c r="CV222" t="s">
        <v>153</v>
      </c>
      <c r="CW222" t="s">
        <v>153</v>
      </c>
      <c r="CX222" t="s">
        <v>153</v>
      </c>
      <c r="CY222" t="s">
        <v>153</v>
      </c>
      <c r="CZ222" t="s">
        <v>153</v>
      </c>
      <c r="DA222" t="s">
        <v>153</v>
      </c>
      <c r="DB222" t="s">
        <v>153</v>
      </c>
      <c r="DC222" t="s">
        <v>153</v>
      </c>
      <c r="DD222" t="s">
        <v>153</v>
      </c>
      <c r="DE222" t="s">
        <v>153</v>
      </c>
      <c r="DF222" t="s">
        <v>153</v>
      </c>
      <c r="DG222" t="s">
        <v>153</v>
      </c>
      <c r="DI222" t="s">
        <v>153</v>
      </c>
      <c r="DJ222" t="s">
        <v>153</v>
      </c>
      <c r="DK222" t="s">
        <v>153</v>
      </c>
      <c r="DL222" t="s">
        <v>153</v>
      </c>
      <c r="DN222" t="s">
        <v>153</v>
      </c>
      <c r="DO222" t="s">
        <v>153</v>
      </c>
      <c r="DP222" t="s">
        <v>153</v>
      </c>
      <c r="DQ222" t="s">
        <v>153</v>
      </c>
      <c r="DR222" t="s">
        <v>153</v>
      </c>
      <c r="DS222" t="s">
        <v>153</v>
      </c>
      <c r="DT222" t="s">
        <v>153</v>
      </c>
      <c r="DU222" t="s">
        <v>153</v>
      </c>
      <c r="DV222" t="s">
        <v>153</v>
      </c>
      <c r="DW222" t="s">
        <v>153</v>
      </c>
      <c r="DX222" s="2"/>
      <c r="DY222" t="s">
        <v>153</v>
      </c>
      <c r="DZ222" t="s">
        <v>153</v>
      </c>
      <c r="EA222" t="s">
        <v>153</v>
      </c>
      <c r="EB222" t="s">
        <v>153</v>
      </c>
      <c r="EC222" t="s">
        <v>153</v>
      </c>
      <c r="ED222" t="s">
        <v>153</v>
      </c>
      <c r="EE222" t="s">
        <v>153</v>
      </c>
      <c r="EF222" t="s">
        <v>153</v>
      </c>
      <c r="EH222" t="s">
        <v>153</v>
      </c>
      <c r="EI222" t="s">
        <v>153</v>
      </c>
      <c r="EJ222" t="s">
        <v>153</v>
      </c>
      <c r="EK222" t="s">
        <v>153</v>
      </c>
      <c r="EM222" t="s">
        <v>153</v>
      </c>
      <c r="EN222" t="s">
        <v>153</v>
      </c>
      <c r="EP222" s="4" t="s">
        <v>153</v>
      </c>
      <c r="EQ222" s="4" t="s">
        <v>153</v>
      </c>
      <c r="ER222" s="4" t="s">
        <v>191</v>
      </c>
      <c r="ES222" s="4" t="s">
        <v>153</v>
      </c>
      <c r="ET222" t="s">
        <v>2819</v>
      </c>
      <c r="EU222" t="s">
        <v>2820</v>
      </c>
      <c r="EV222" t="s">
        <v>1899</v>
      </c>
      <c r="EW222">
        <v>1335124089</v>
      </c>
      <c r="EX222" t="s">
        <v>366</v>
      </c>
    </row>
    <row r="223" spans="1:154" x14ac:dyDescent="0.25">
      <c r="A223" s="3">
        <v>45771.551365740743</v>
      </c>
      <c r="B223" s="4" t="s">
        <v>153</v>
      </c>
      <c r="C223" s="4" t="s">
        <v>892</v>
      </c>
      <c r="D223" s="4" t="s">
        <v>893</v>
      </c>
      <c r="E223" s="4" t="s">
        <v>894</v>
      </c>
      <c r="F223" s="4" t="s">
        <v>895</v>
      </c>
      <c r="G223" s="4" t="s">
        <v>423</v>
      </c>
      <c r="H223" s="4" t="s">
        <v>542</v>
      </c>
      <c r="I223" s="4" t="s">
        <v>1932</v>
      </c>
      <c r="J223" s="4" t="s">
        <v>1931</v>
      </c>
      <c r="K223" s="5"/>
      <c r="L223" s="4" t="s">
        <v>153</v>
      </c>
      <c r="M223" s="4" t="s">
        <v>153</v>
      </c>
      <c r="N223" s="4" t="s">
        <v>153</v>
      </c>
      <c r="O223" s="4" t="s">
        <v>153</v>
      </c>
      <c r="P223" s="4" t="s">
        <v>153</v>
      </c>
      <c r="Q223" s="4" t="s">
        <v>153</v>
      </c>
      <c r="R223" s="4" t="s">
        <v>153</v>
      </c>
      <c r="S223" s="4" t="s">
        <v>153</v>
      </c>
      <c r="T223" s="4" t="s">
        <v>153</v>
      </c>
      <c r="U223" s="4" t="s">
        <v>153</v>
      </c>
      <c r="V223" s="4" t="s">
        <v>153</v>
      </c>
      <c r="W223" s="4" t="s">
        <v>153</v>
      </c>
      <c r="X223" s="4" t="s">
        <v>153</v>
      </c>
      <c r="Y223" s="4" t="s">
        <v>153</v>
      </c>
      <c r="Z223" s="4" t="s">
        <v>153</v>
      </c>
      <c r="AA223" s="4" t="s">
        <v>153</v>
      </c>
      <c r="AB223" s="4" t="s">
        <v>153</v>
      </c>
      <c r="AC223" s="4" t="s">
        <v>153</v>
      </c>
      <c r="AD223" s="4" t="s">
        <v>153</v>
      </c>
      <c r="AE223" s="4" t="s">
        <v>153</v>
      </c>
      <c r="AF223" s="4" t="s">
        <v>153</v>
      </c>
      <c r="AG223" s="4" t="s">
        <v>153</v>
      </c>
      <c r="AH223" s="4" t="s">
        <v>153</v>
      </c>
      <c r="AI223" s="5"/>
      <c r="AJ223" t="s">
        <v>153</v>
      </c>
      <c r="AK223" s="4"/>
      <c r="AL223" t="s">
        <v>153</v>
      </c>
      <c r="AM223" t="s">
        <v>153</v>
      </c>
      <c r="AO223" t="s">
        <v>153</v>
      </c>
      <c r="AP223" s="4"/>
      <c r="AQ223" t="s">
        <v>153</v>
      </c>
      <c r="AR223" s="5"/>
      <c r="AT223" s="4" t="s">
        <v>153</v>
      </c>
      <c r="AU223" s="4" t="s">
        <v>153</v>
      </c>
      <c r="AV223" s="4" t="s">
        <v>153</v>
      </c>
      <c r="AW223" t="s">
        <v>153</v>
      </c>
      <c r="AX223" t="s">
        <v>153</v>
      </c>
      <c r="AY223" t="s">
        <v>153</v>
      </c>
      <c r="AZ223" t="s">
        <v>153</v>
      </c>
      <c r="BA223" t="s">
        <v>153</v>
      </c>
      <c r="BB223" t="s">
        <v>153</v>
      </c>
      <c r="BC223" t="s">
        <v>153</v>
      </c>
      <c r="BD223" s="4" t="s">
        <v>153</v>
      </c>
      <c r="BE223" s="4" t="s">
        <v>153</v>
      </c>
      <c r="BF223" t="s">
        <v>153</v>
      </c>
      <c r="BG223" s="4" t="s">
        <v>153</v>
      </c>
      <c r="BH223" t="s">
        <v>153</v>
      </c>
      <c r="BI223" s="4" t="s">
        <v>153</v>
      </c>
      <c r="BJ223" t="s">
        <v>153</v>
      </c>
      <c r="BK223" s="4" t="s">
        <v>153</v>
      </c>
      <c r="BL223" t="s">
        <v>153</v>
      </c>
      <c r="BM223" t="s">
        <v>153</v>
      </c>
      <c r="BN223" s="4" t="s">
        <v>403</v>
      </c>
      <c r="BO223" s="4" t="s">
        <v>153</v>
      </c>
      <c r="BP223" s="4" t="s">
        <v>153</v>
      </c>
      <c r="BQ223" s="4" t="s">
        <v>153</v>
      </c>
      <c r="BR223" s="4" t="s">
        <v>2821</v>
      </c>
      <c r="BS223" s="4" t="s">
        <v>153</v>
      </c>
      <c r="BT223" s="4" t="s">
        <v>1549</v>
      </c>
      <c r="BU223" s="4" t="s">
        <v>1074</v>
      </c>
      <c r="BV223" s="4">
        <v>35630</v>
      </c>
      <c r="BW223" s="4" t="s">
        <v>430</v>
      </c>
      <c r="BX223" s="4" t="s">
        <v>2822</v>
      </c>
      <c r="BY223" s="4" t="s">
        <v>153</v>
      </c>
      <c r="BZ223" s="4" t="s">
        <v>1546</v>
      </c>
      <c r="CA223" s="4" t="s">
        <v>1074</v>
      </c>
      <c r="CB223" s="4">
        <v>35648</v>
      </c>
      <c r="CC223" s="4" t="s">
        <v>430</v>
      </c>
      <c r="CD223" t="s">
        <v>2083</v>
      </c>
      <c r="CE223" s="4" t="s">
        <v>153</v>
      </c>
      <c r="CF223" s="4" t="s">
        <v>153</v>
      </c>
      <c r="CG223" s="4" t="s">
        <v>153</v>
      </c>
      <c r="CH223" s="5"/>
      <c r="CI223" t="s">
        <v>153</v>
      </c>
      <c r="CJ223" s="4"/>
      <c r="CK223" t="s">
        <v>153</v>
      </c>
      <c r="CL223" t="s">
        <v>153</v>
      </c>
      <c r="CM223" t="s">
        <v>153</v>
      </c>
      <c r="CN223" t="s">
        <v>153</v>
      </c>
      <c r="CO223" s="5"/>
      <c r="CP223" s="4" t="s">
        <v>153</v>
      </c>
      <c r="CQ223" s="4" t="s">
        <v>153</v>
      </c>
      <c r="CR223" t="s">
        <v>153</v>
      </c>
      <c r="CS223" t="s">
        <v>153</v>
      </c>
      <c r="CT223" t="s">
        <v>153</v>
      </c>
      <c r="CU223" t="s">
        <v>153</v>
      </c>
      <c r="CV223" t="s">
        <v>153</v>
      </c>
      <c r="CW223" t="s">
        <v>153</v>
      </c>
      <c r="CX223" t="s">
        <v>153</v>
      </c>
      <c r="CY223" t="s">
        <v>153</v>
      </c>
      <c r="CZ223" t="s">
        <v>153</v>
      </c>
      <c r="DA223" t="s">
        <v>153</v>
      </c>
      <c r="DB223" t="s">
        <v>153</v>
      </c>
      <c r="DC223" t="s">
        <v>153</v>
      </c>
      <c r="DD223" t="s">
        <v>153</v>
      </c>
      <c r="DE223" t="s">
        <v>153</v>
      </c>
      <c r="DF223" t="s">
        <v>153</v>
      </c>
      <c r="DG223" t="s">
        <v>153</v>
      </c>
      <c r="DI223" t="s">
        <v>153</v>
      </c>
      <c r="DJ223" t="s">
        <v>153</v>
      </c>
      <c r="DK223" t="s">
        <v>153</v>
      </c>
      <c r="DL223" t="s">
        <v>153</v>
      </c>
      <c r="DN223" t="s">
        <v>153</v>
      </c>
      <c r="DO223" t="s">
        <v>153</v>
      </c>
      <c r="DP223" t="s">
        <v>153</v>
      </c>
      <c r="DQ223" t="s">
        <v>153</v>
      </c>
      <c r="DR223" t="s">
        <v>153</v>
      </c>
      <c r="DS223" t="s">
        <v>153</v>
      </c>
      <c r="DT223" t="s">
        <v>153</v>
      </c>
      <c r="DU223" t="s">
        <v>153</v>
      </c>
      <c r="DV223" t="s">
        <v>153</v>
      </c>
      <c r="DW223" t="s">
        <v>153</v>
      </c>
      <c r="DX223" s="2"/>
      <c r="DY223" t="s">
        <v>153</v>
      </c>
      <c r="DZ223" t="s">
        <v>153</v>
      </c>
      <c r="EA223" t="s">
        <v>153</v>
      </c>
      <c r="EB223" t="s">
        <v>153</v>
      </c>
      <c r="EC223" t="s">
        <v>153</v>
      </c>
      <c r="ED223" t="s">
        <v>153</v>
      </c>
      <c r="EE223" t="s">
        <v>153</v>
      </c>
      <c r="EF223" t="s">
        <v>153</v>
      </c>
      <c r="EH223" t="s">
        <v>153</v>
      </c>
      <c r="EI223" t="s">
        <v>153</v>
      </c>
      <c r="EJ223" t="s">
        <v>153</v>
      </c>
      <c r="EK223" t="s">
        <v>153</v>
      </c>
      <c r="EM223" t="s">
        <v>153</v>
      </c>
      <c r="EN223" t="s">
        <v>153</v>
      </c>
      <c r="EP223" s="4" t="s">
        <v>153</v>
      </c>
      <c r="EQ223" s="4" t="s">
        <v>153</v>
      </c>
      <c r="ER223" s="4" t="s">
        <v>153</v>
      </c>
      <c r="ES223" s="4" t="s">
        <v>153</v>
      </c>
      <c r="ET223" t="s">
        <v>153</v>
      </c>
      <c r="EU223" t="s">
        <v>2820</v>
      </c>
      <c r="EV223" t="s">
        <v>2823</v>
      </c>
      <c r="EW223">
        <v>1337885490</v>
      </c>
      <c r="EX223" t="s">
        <v>2824</v>
      </c>
    </row>
    <row r="224" spans="1:154" x14ac:dyDescent="0.25">
      <c r="A224" s="3">
        <v>45777.712361111109</v>
      </c>
      <c r="B224" s="4" t="s">
        <v>153</v>
      </c>
      <c r="C224" s="4" t="s">
        <v>1363</v>
      </c>
      <c r="D224" s="4" t="s">
        <v>1364</v>
      </c>
      <c r="E224" s="4" t="s">
        <v>1365</v>
      </c>
      <c r="F224" s="4" t="s">
        <v>1366</v>
      </c>
      <c r="G224" s="4" t="s">
        <v>423</v>
      </c>
      <c r="H224" s="4" t="s">
        <v>793</v>
      </c>
      <c r="I224" s="4" t="s">
        <v>2825</v>
      </c>
      <c r="J224" s="4" t="s">
        <v>2826</v>
      </c>
      <c r="K224" s="5"/>
      <c r="L224" s="4" t="s">
        <v>153</v>
      </c>
      <c r="M224" s="4" t="s">
        <v>153</v>
      </c>
      <c r="N224" s="4" t="s">
        <v>153</v>
      </c>
      <c r="O224" s="4" t="s">
        <v>153</v>
      </c>
      <c r="P224" s="4" t="s">
        <v>153</v>
      </c>
      <c r="Q224" s="4" t="s">
        <v>153</v>
      </c>
      <c r="R224" s="4" t="s">
        <v>153</v>
      </c>
      <c r="S224" s="4" t="s">
        <v>153</v>
      </c>
      <c r="T224" s="4" t="s">
        <v>153</v>
      </c>
      <c r="U224" s="4" t="s">
        <v>153</v>
      </c>
      <c r="V224" s="4" t="s">
        <v>153</v>
      </c>
      <c r="W224" s="4" t="s">
        <v>153</v>
      </c>
      <c r="X224" s="4" t="s">
        <v>153</v>
      </c>
      <c r="Y224" s="4" t="s">
        <v>153</v>
      </c>
      <c r="Z224" s="4" t="s">
        <v>153</v>
      </c>
      <c r="AA224" s="4" t="s">
        <v>153</v>
      </c>
      <c r="AB224" s="4" t="s">
        <v>153</v>
      </c>
      <c r="AC224" s="4" t="s">
        <v>153</v>
      </c>
      <c r="AD224" s="4" t="s">
        <v>153</v>
      </c>
      <c r="AE224" s="4" t="s">
        <v>153</v>
      </c>
      <c r="AF224" s="4" t="s">
        <v>153</v>
      </c>
      <c r="AG224" s="4" t="s">
        <v>153</v>
      </c>
      <c r="AH224" s="4" t="s">
        <v>153</v>
      </c>
      <c r="AI224" s="5"/>
      <c r="AJ224" t="s">
        <v>153</v>
      </c>
      <c r="AK224" s="4"/>
      <c r="AL224" t="s">
        <v>153</v>
      </c>
      <c r="AM224" t="s">
        <v>153</v>
      </c>
      <c r="AO224" t="s">
        <v>153</v>
      </c>
      <c r="AP224" s="4"/>
      <c r="AQ224" t="s">
        <v>153</v>
      </c>
      <c r="AR224" s="5"/>
      <c r="AT224" s="4" t="s">
        <v>153</v>
      </c>
      <c r="AU224" s="4" t="s">
        <v>153</v>
      </c>
      <c r="AV224" s="4" t="s">
        <v>153</v>
      </c>
      <c r="AW224" t="s">
        <v>153</v>
      </c>
      <c r="AX224" t="s">
        <v>153</v>
      </c>
      <c r="AY224" t="s">
        <v>153</v>
      </c>
      <c r="AZ224" t="s">
        <v>153</v>
      </c>
      <c r="BA224" t="s">
        <v>153</v>
      </c>
      <c r="BB224" t="s">
        <v>153</v>
      </c>
      <c r="BC224" t="s">
        <v>153</v>
      </c>
      <c r="BD224" s="4" t="s">
        <v>153</v>
      </c>
      <c r="BE224" s="4" t="s">
        <v>153</v>
      </c>
      <c r="BF224" t="s">
        <v>153</v>
      </c>
      <c r="BG224" s="4" t="s">
        <v>153</v>
      </c>
      <c r="BH224" t="s">
        <v>153</v>
      </c>
      <c r="BI224" s="4" t="s">
        <v>2827</v>
      </c>
      <c r="BJ224" t="s">
        <v>153</v>
      </c>
      <c r="BK224" s="4" t="s">
        <v>2825</v>
      </c>
      <c r="BL224" t="s">
        <v>2828</v>
      </c>
      <c r="BM224" t="s">
        <v>2829</v>
      </c>
      <c r="BN224" s="4" t="s">
        <v>403</v>
      </c>
      <c r="BO224" s="4" t="s">
        <v>191</v>
      </c>
      <c r="BP224" s="4" t="s">
        <v>2830</v>
      </c>
      <c r="BQ224" s="4" t="s">
        <v>153</v>
      </c>
      <c r="BR224" s="4" t="s">
        <v>2831</v>
      </c>
      <c r="BS224" s="4" t="s">
        <v>153</v>
      </c>
      <c r="BT224" s="4" t="s">
        <v>2832</v>
      </c>
      <c r="BU224" s="4" t="s">
        <v>2114</v>
      </c>
      <c r="BV224" s="4">
        <v>42164</v>
      </c>
      <c r="BW224" s="4" t="s">
        <v>430</v>
      </c>
      <c r="BX224" s="4" t="s">
        <v>153</v>
      </c>
      <c r="BY224" s="4" t="s">
        <v>153</v>
      </c>
      <c r="BZ224" s="4" t="s">
        <v>153</v>
      </c>
      <c r="CA224" s="4" t="s">
        <v>153</v>
      </c>
      <c r="CB224" s="4"/>
      <c r="CC224" s="4" t="s">
        <v>430</v>
      </c>
      <c r="CD224" t="s">
        <v>153</v>
      </c>
      <c r="CE224" s="4" t="s">
        <v>153</v>
      </c>
      <c r="CF224" s="4" t="s">
        <v>153</v>
      </c>
      <c r="CG224" s="4" t="s">
        <v>153</v>
      </c>
      <c r="CH224" s="5"/>
      <c r="CI224" t="s">
        <v>153</v>
      </c>
      <c r="CJ224" s="4"/>
      <c r="CK224" t="s">
        <v>153</v>
      </c>
      <c r="CL224" t="s">
        <v>153</v>
      </c>
      <c r="CM224" t="s">
        <v>2833</v>
      </c>
      <c r="CN224" t="s">
        <v>153</v>
      </c>
      <c r="CO224" s="5"/>
      <c r="CP224" s="4" t="s">
        <v>153</v>
      </c>
      <c r="CQ224" s="4" t="s">
        <v>153</v>
      </c>
      <c r="CR224" t="s">
        <v>153</v>
      </c>
      <c r="CS224" t="s">
        <v>153</v>
      </c>
      <c r="CT224" t="s">
        <v>153</v>
      </c>
      <c r="CU224" t="s">
        <v>153</v>
      </c>
      <c r="CV224" t="s">
        <v>153</v>
      </c>
      <c r="CW224" t="s">
        <v>153</v>
      </c>
      <c r="CX224" t="s">
        <v>153</v>
      </c>
      <c r="CY224" t="s">
        <v>153</v>
      </c>
      <c r="CZ224" t="s">
        <v>153</v>
      </c>
      <c r="DA224" t="s">
        <v>153</v>
      </c>
      <c r="DB224" t="s">
        <v>153</v>
      </c>
      <c r="DC224" t="s">
        <v>153</v>
      </c>
      <c r="DD224" t="s">
        <v>153</v>
      </c>
      <c r="DE224" t="s">
        <v>153</v>
      </c>
      <c r="DF224" t="s">
        <v>153</v>
      </c>
      <c r="DG224" t="s">
        <v>153</v>
      </c>
      <c r="DI224" t="s">
        <v>153</v>
      </c>
      <c r="DJ224" t="s">
        <v>153</v>
      </c>
      <c r="DK224" t="s">
        <v>153</v>
      </c>
      <c r="DL224" t="s">
        <v>153</v>
      </c>
      <c r="DN224" t="s">
        <v>153</v>
      </c>
      <c r="DO224" t="s">
        <v>153</v>
      </c>
      <c r="DP224" t="s">
        <v>153</v>
      </c>
      <c r="DQ224" t="s">
        <v>153</v>
      </c>
      <c r="DR224" t="s">
        <v>153</v>
      </c>
      <c r="DS224" t="s">
        <v>153</v>
      </c>
      <c r="DT224" t="s">
        <v>153</v>
      </c>
      <c r="DU224" t="s">
        <v>153</v>
      </c>
      <c r="DV224" t="s">
        <v>153</v>
      </c>
      <c r="DW224" t="s">
        <v>153</v>
      </c>
      <c r="DX224" s="2"/>
      <c r="DY224" t="s">
        <v>153</v>
      </c>
      <c r="DZ224" t="s">
        <v>153</v>
      </c>
      <c r="EA224" t="s">
        <v>153</v>
      </c>
      <c r="EB224" t="s">
        <v>153</v>
      </c>
      <c r="EC224" t="s">
        <v>153</v>
      </c>
      <c r="ED224" t="s">
        <v>153</v>
      </c>
      <c r="EE224" t="s">
        <v>153</v>
      </c>
      <c r="EF224" t="s">
        <v>153</v>
      </c>
      <c r="EH224" t="s">
        <v>153</v>
      </c>
      <c r="EI224" t="s">
        <v>153</v>
      </c>
      <c r="EJ224" t="s">
        <v>153</v>
      </c>
      <c r="EK224" t="s">
        <v>153</v>
      </c>
      <c r="EM224" t="s">
        <v>153</v>
      </c>
      <c r="EN224" t="s">
        <v>153</v>
      </c>
      <c r="EP224" s="4" t="s">
        <v>153</v>
      </c>
      <c r="EQ224" s="4" t="s">
        <v>153</v>
      </c>
      <c r="ER224" s="4" t="s">
        <v>153</v>
      </c>
      <c r="ES224" s="4" t="s">
        <v>153</v>
      </c>
      <c r="ET224" t="s">
        <v>153</v>
      </c>
      <c r="EU224" t="s">
        <v>2820</v>
      </c>
      <c r="EV224" t="s">
        <v>2834</v>
      </c>
      <c r="EW224">
        <v>1339786110</v>
      </c>
      <c r="EX224" t="s">
        <v>1376</v>
      </c>
    </row>
    <row r="225" spans="1:154" x14ac:dyDescent="0.25">
      <c r="A225" s="3">
        <v>45783.637731481482</v>
      </c>
      <c r="B225" s="4" t="s">
        <v>153</v>
      </c>
      <c r="C225" s="4" t="s">
        <v>2835</v>
      </c>
      <c r="D225" s="4" t="s">
        <v>2836</v>
      </c>
      <c r="E225" s="4" t="s">
        <v>643</v>
      </c>
      <c r="F225" s="4" t="s">
        <v>760</v>
      </c>
      <c r="G225" s="4" t="s">
        <v>252</v>
      </c>
      <c r="H225" s="4" t="s">
        <v>645</v>
      </c>
      <c r="I225" s="4" t="s">
        <v>2837</v>
      </c>
      <c r="J225" s="4" t="s">
        <v>2838</v>
      </c>
      <c r="K225" s="5"/>
      <c r="L225" s="4" t="s">
        <v>153</v>
      </c>
      <c r="M225" s="4" t="s">
        <v>153</v>
      </c>
      <c r="N225" s="4" t="s">
        <v>153</v>
      </c>
      <c r="O225" s="4" t="s">
        <v>153</v>
      </c>
      <c r="P225" s="4" t="s">
        <v>153</v>
      </c>
      <c r="Q225" s="4" t="s">
        <v>153</v>
      </c>
      <c r="R225" s="4" t="s">
        <v>153</v>
      </c>
      <c r="S225" s="4" t="s">
        <v>153</v>
      </c>
      <c r="T225" s="4" t="s">
        <v>153</v>
      </c>
      <c r="U225" s="4" t="s">
        <v>153</v>
      </c>
      <c r="V225" s="4" t="s">
        <v>153</v>
      </c>
      <c r="W225" s="4" t="s">
        <v>153</v>
      </c>
      <c r="X225" s="4" t="s">
        <v>153</v>
      </c>
      <c r="Y225" s="4" t="s">
        <v>153</v>
      </c>
      <c r="Z225" s="4" t="s">
        <v>153</v>
      </c>
      <c r="AA225" s="4" t="s">
        <v>153</v>
      </c>
      <c r="AB225" s="4" t="s">
        <v>153</v>
      </c>
      <c r="AC225" s="4" t="s">
        <v>153</v>
      </c>
      <c r="AD225" s="4" t="s">
        <v>153</v>
      </c>
      <c r="AE225" s="4" t="s">
        <v>153</v>
      </c>
      <c r="AF225" s="4" t="s">
        <v>153</v>
      </c>
      <c r="AG225" s="4" t="s">
        <v>153</v>
      </c>
      <c r="AH225" s="4" t="s">
        <v>153</v>
      </c>
      <c r="AI225" s="5"/>
      <c r="AJ225" t="s">
        <v>153</v>
      </c>
      <c r="AK225" s="4"/>
      <c r="AL225" t="s">
        <v>153</v>
      </c>
      <c r="AM225" t="s">
        <v>153</v>
      </c>
      <c r="AO225" t="s">
        <v>153</v>
      </c>
      <c r="AP225" s="4"/>
      <c r="AQ225" t="s">
        <v>153</v>
      </c>
      <c r="AR225" s="5">
        <v>45774</v>
      </c>
      <c r="AS225">
        <v>0</v>
      </c>
      <c r="AT225" s="4" t="s">
        <v>153</v>
      </c>
      <c r="AU225" s="4" t="s">
        <v>153</v>
      </c>
      <c r="AV225" s="4" t="s">
        <v>256</v>
      </c>
      <c r="AW225" t="s">
        <v>153</v>
      </c>
      <c r="AX225" t="s">
        <v>153</v>
      </c>
      <c r="AY225" t="s">
        <v>2839</v>
      </c>
      <c r="AZ225" t="s">
        <v>153</v>
      </c>
      <c r="BA225" t="s">
        <v>153</v>
      </c>
      <c r="BB225" t="s">
        <v>153</v>
      </c>
      <c r="BC225" t="s">
        <v>153</v>
      </c>
      <c r="BD225" s="4" t="s">
        <v>2840</v>
      </c>
      <c r="BE225" s="4" t="s">
        <v>2841</v>
      </c>
      <c r="BF225" t="s">
        <v>242</v>
      </c>
      <c r="BG225" s="4" t="s">
        <v>2842</v>
      </c>
      <c r="BH225" t="s">
        <v>153</v>
      </c>
      <c r="BI225" s="4" t="s">
        <v>153</v>
      </c>
      <c r="BJ225" t="s">
        <v>153</v>
      </c>
      <c r="BK225" s="4" t="s">
        <v>153</v>
      </c>
      <c r="BL225" t="s">
        <v>153</v>
      </c>
      <c r="BM225" t="s">
        <v>153</v>
      </c>
      <c r="BN225" s="4" t="s">
        <v>153</v>
      </c>
      <c r="BO225" s="4" t="s">
        <v>153</v>
      </c>
      <c r="BP225" s="4" t="s">
        <v>153</v>
      </c>
      <c r="BQ225" s="4" t="s">
        <v>153</v>
      </c>
      <c r="BR225" s="4" t="s">
        <v>153</v>
      </c>
      <c r="BS225" s="4" t="s">
        <v>153</v>
      </c>
      <c r="BT225" s="4" t="s">
        <v>153</v>
      </c>
      <c r="BU225" s="4" t="s">
        <v>153</v>
      </c>
      <c r="BV225" s="4"/>
      <c r="BW225" s="4" t="s">
        <v>153</v>
      </c>
      <c r="BX225" s="4" t="s">
        <v>153</v>
      </c>
      <c r="BY225" s="4" t="s">
        <v>153</v>
      </c>
      <c r="BZ225" s="4" t="s">
        <v>153</v>
      </c>
      <c r="CA225" s="4" t="s">
        <v>153</v>
      </c>
      <c r="CB225" s="4"/>
      <c r="CC225" s="4" t="s">
        <v>153</v>
      </c>
      <c r="CD225" t="s">
        <v>153</v>
      </c>
      <c r="CE225" s="4" t="s">
        <v>153</v>
      </c>
      <c r="CF225" s="4" t="s">
        <v>153</v>
      </c>
      <c r="CG225" s="4" t="s">
        <v>153</v>
      </c>
      <c r="CH225" s="5"/>
      <c r="CI225" t="s">
        <v>153</v>
      </c>
      <c r="CJ225" s="4"/>
      <c r="CK225" t="s">
        <v>153</v>
      </c>
      <c r="CL225" t="s">
        <v>153</v>
      </c>
      <c r="CM225" t="s">
        <v>153</v>
      </c>
      <c r="CN225" t="s">
        <v>153</v>
      </c>
      <c r="CO225" s="5"/>
      <c r="CP225" s="4" t="s">
        <v>153</v>
      </c>
      <c r="CQ225" s="4" t="s">
        <v>153</v>
      </c>
      <c r="CR225" t="s">
        <v>153</v>
      </c>
      <c r="CS225" t="s">
        <v>153</v>
      </c>
      <c r="CT225" t="s">
        <v>153</v>
      </c>
      <c r="CU225" t="s">
        <v>153</v>
      </c>
      <c r="CV225" t="s">
        <v>153</v>
      </c>
      <c r="CW225" t="s">
        <v>153</v>
      </c>
      <c r="CX225" t="s">
        <v>153</v>
      </c>
      <c r="CY225" t="s">
        <v>153</v>
      </c>
      <c r="CZ225" t="s">
        <v>153</v>
      </c>
      <c r="DA225" t="s">
        <v>153</v>
      </c>
      <c r="DB225" t="s">
        <v>153</v>
      </c>
      <c r="DC225" t="s">
        <v>153</v>
      </c>
      <c r="DD225" t="s">
        <v>153</v>
      </c>
      <c r="DE225" t="s">
        <v>153</v>
      </c>
      <c r="DF225" t="s">
        <v>153</v>
      </c>
      <c r="DG225" t="s">
        <v>153</v>
      </c>
      <c r="DI225" t="s">
        <v>153</v>
      </c>
      <c r="DJ225" t="s">
        <v>153</v>
      </c>
      <c r="DK225" t="s">
        <v>153</v>
      </c>
      <c r="DL225" t="s">
        <v>153</v>
      </c>
      <c r="DN225" t="s">
        <v>153</v>
      </c>
      <c r="DO225" t="s">
        <v>153</v>
      </c>
      <c r="DP225" t="s">
        <v>153</v>
      </c>
      <c r="DQ225" t="s">
        <v>153</v>
      </c>
      <c r="DR225" t="s">
        <v>153</v>
      </c>
      <c r="DS225" t="s">
        <v>153</v>
      </c>
      <c r="DT225" t="s">
        <v>153</v>
      </c>
      <c r="DU225" t="s">
        <v>153</v>
      </c>
      <c r="DV225" t="s">
        <v>153</v>
      </c>
      <c r="DW225" t="s">
        <v>153</v>
      </c>
      <c r="DX225" s="2"/>
      <c r="DY225" t="s">
        <v>153</v>
      </c>
      <c r="DZ225" t="s">
        <v>153</v>
      </c>
      <c r="EA225" t="s">
        <v>153</v>
      </c>
      <c r="EB225" t="s">
        <v>153</v>
      </c>
      <c r="EC225" t="s">
        <v>153</v>
      </c>
      <c r="ED225" t="s">
        <v>153</v>
      </c>
      <c r="EE225" t="s">
        <v>153</v>
      </c>
      <c r="EF225" t="s">
        <v>153</v>
      </c>
      <c r="EH225" t="s">
        <v>153</v>
      </c>
      <c r="EI225" t="s">
        <v>153</v>
      </c>
      <c r="EJ225" t="s">
        <v>153</v>
      </c>
      <c r="EK225" t="s">
        <v>153</v>
      </c>
      <c r="EM225" t="s">
        <v>153</v>
      </c>
      <c r="EN225" t="s">
        <v>153</v>
      </c>
      <c r="EP225" s="4" t="s">
        <v>153</v>
      </c>
      <c r="EQ225" s="4" t="s">
        <v>153</v>
      </c>
      <c r="ER225" s="4" t="s">
        <v>176</v>
      </c>
      <c r="ES225" s="4" t="s">
        <v>153</v>
      </c>
      <c r="ET225" t="s">
        <v>2843</v>
      </c>
      <c r="EU225" t="s">
        <v>2820</v>
      </c>
      <c r="EV225" t="s">
        <v>657</v>
      </c>
      <c r="EW225">
        <v>1341719193</v>
      </c>
      <c r="EX225" t="s">
        <v>2844</v>
      </c>
    </row>
    <row r="226" spans="1:154" x14ac:dyDescent="0.25">
      <c r="A226" s="3">
        <v>45791.844375000001</v>
      </c>
      <c r="B226" s="4" t="s">
        <v>153</v>
      </c>
      <c r="C226" s="4" t="s">
        <v>822</v>
      </c>
      <c r="D226" s="4" t="s">
        <v>823</v>
      </c>
      <c r="E226" s="4" t="s">
        <v>824</v>
      </c>
      <c r="F226" s="4" t="s">
        <v>825</v>
      </c>
      <c r="G226" s="4" t="s">
        <v>252</v>
      </c>
      <c r="H226" s="4" t="s">
        <v>826</v>
      </c>
      <c r="I226" s="4" t="s">
        <v>2845</v>
      </c>
      <c r="J226" s="4" t="s">
        <v>2846</v>
      </c>
      <c r="K226" s="5"/>
      <c r="L226" s="4" t="s">
        <v>153</v>
      </c>
      <c r="M226" s="4" t="s">
        <v>153</v>
      </c>
      <c r="N226" s="4" t="s">
        <v>153</v>
      </c>
      <c r="O226" s="4" t="s">
        <v>153</v>
      </c>
      <c r="P226" s="4" t="s">
        <v>153</v>
      </c>
      <c r="Q226" s="4" t="s">
        <v>153</v>
      </c>
      <c r="R226" s="4" t="s">
        <v>153</v>
      </c>
      <c r="S226" s="4" t="s">
        <v>153</v>
      </c>
      <c r="T226" s="4" t="s">
        <v>153</v>
      </c>
      <c r="U226" s="4" t="s">
        <v>153</v>
      </c>
      <c r="V226" s="4" t="s">
        <v>153</v>
      </c>
      <c r="W226" s="4" t="s">
        <v>153</v>
      </c>
      <c r="X226" s="4" t="s">
        <v>153</v>
      </c>
      <c r="Y226" s="4" t="s">
        <v>153</v>
      </c>
      <c r="Z226" s="4" t="s">
        <v>153</v>
      </c>
      <c r="AA226" s="4" t="s">
        <v>153</v>
      </c>
      <c r="AB226" s="4" t="s">
        <v>153</v>
      </c>
      <c r="AC226" s="4" t="s">
        <v>153</v>
      </c>
      <c r="AD226" s="4" t="s">
        <v>153</v>
      </c>
      <c r="AE226" s="4" t="s">
        <v>153</v>
      </c>
      <c r="AF226" s="4" t="s">
        <v>153</v>
      </c>
      <c r="AG226" s="4" t="s">
        <v>153</v>
      </c>
      <c r="AH226" s="4" t="s">
        <v>153</v>
      </c>
      <c r="AI226" s="5"/>
      <c r="AJ226" t="s">
        <v>153</v>
      </c>
      <c r="AK226" s="4"/>
      <c r="AL226" t="s">
        <v>153</v>
      </c>
      <c r="AM226" t="s">
        <v>153</v>
      </c>
      <c r="AO226" t="s">
        <v>153</v>
      </c>
      <c r="AP226" s="4"/>
      <c r="AQ226" t="s">
        <v>153</v>
      </c>
      <c r="AR226" s="5">
        <v>45655</v>
      </c>
      <c r="AS226">
        <v>1</v>
      </c>
      <c r="AT226" s="4" t="s">
        <v>2847</v>
      </c>
      <c r="AU226" s="4" t="s">
        <v>2848</v>
      </c>
      <c r="AV226" s="4" t="s">
        <v>153</v>
      </c>
      <c r="AW226" t="s">
        <v>153</v>
      </c>
      <c r="AX226" t="s">
        <v>153</v>
      </c>
      <c r="AY226" t="s">
        <v>153</v>
      </c>
      <c r="AZ226" t="s">
        <v>653</v>
      </c>
      <c r="BA226" t="s">
        <v>153</v>
      </c>
      <c r="BB226" t="s">
        <v>153</v>
      </c>
      <c r="BC226" t="s">
        <v>153</v>
      </c>
      <c r="BD226" s="4" t="s">
        <v>2849</v>
      </c>
      <c r="BE226" s="4" t="s">
        <v>2850</v>
      </c>
      <c r="BF226" t="s">
        <v>242</v>
      </c>
      <c r="BG226" s="4" t="s">
        <v>2851</v>
      </c>
      <c r="BH226" t="s">
        <v>153</v>
      </c>
      <c r="BI226" s="4" t="s">
        <v>153</v>
      </c>
      <c r="BJ226" t="s">
        <v>153</v>
      </c>
      <c r="BK226" s="4" t="s">
        <v>153</v>
      </c>
      <c r="BL226" t="s">
        <v>153</v>
      </c>
      <c r="BM226" t="s">
        <v>153</v>
      </c>
      <c r="BN226" s="4" t="s">
        <v>153</v>
      </c>
      <c r="BO226" s="4" t="s">
        <v>153</v>
      </c>
      <c r="BP226" s="4" t="s">
        <v>153</v>
      </c>
      <c r="BQ226" s="4" t="s">
        <v>153</v>
      </c>
      <c r="BR226" s="4" t="s">
        <v>153</v>
      </c>
      <c r="BS226" s="4" t="s">
        <v>153</v>
      </c>
      <c r="BT226" s="4" t="s">
        <v>153</v>
      </c>
      <c r="BU226" s="4" t="s">
        <v>153</v>
      </c>
      <c r="BV226" s="4"/>
      <c r="BW226" s="4" t="s">
        <v>153</v>
      </c>
      <c r="BX226" s="4" t="s">
        <v>153</v>
      </c>
      <c r="BY226" s="4" t="s">
        <v>153</v>
      </c>
      <c r="BZ226" s="4" t="s">
        <v>153</v>
      </c>
      <c r="CA226" s="4" t="s">
        <v>153</v>
      </c>
      <c r="CB226" s="4"/>
      <c r="CC226" s="4" t="s">
        <v>153</v>
      </c>
      <c r="CD226" t="s">
        <v>153</v>
      </c>
      <c r="CE226" s="4" t="s">
        <v>153</v>
      </c>
      <c r="CF226" s="4" t="s">
        <v>153</v>
      </c>
      <c r="CG226" s="4" t="s">
        <v>153</v>
      </c>
      <c r="CH226" s="5"/>
      <c r="CI226" t="s">
        <v>153</v>
      </c>
      <c r="CJ226" s="4"/>
      <c r="CK226" t="s">
        <v>153</v>
      </c>
      <c r="CL226" t="s">
        <v>153</v>
      </c>
      <c r="CM226" t="s">
        <v>153</v>
      </c>
      <c r="CN226" t="s">
        <v>153</v>
      </c>
      <c r="CO226" s="5"/>
      <c r="CP226" s="4" t="s">
        <v>153</v>
      </c>
      <c r="CQ226" s="4" t="s">
        <v>153</v>
      </c>
      <c r="CR226" t="s">
        <v>153</v>
      </c>
      <c r="CS226" t="s">
        <v>153</v>
      </c>
      <c r="CT226" t="s">
        <v>153</v>
      </c>
      <c r="CU226" t="s">
        <v>153</v>
      </c>
      <c r="CV226" t="s">
        <v>153</v>
      </c>
      <c r="CW226" t="s">
        <v>153</v>
      </c>
      <c r="CX226" t="s">
        <v>153</v>
      </c>
      <c r="CY226" t="s">
        <v>153</v>
      </c>
      <c r="CZ226" t="s">
        <v>153</v>
      </c>
      <c r="DA226" t="s">
        <v>153</v>
      </c>
      <c r="DB226" t="s">
        <v>153</v>
      </c>
      <c r="DC226" t="s">
        <v>153</v>
      </c>
      <c r="DD226" t="s">
        <v>153</v>
      </c>
      <c r="DE226" t="s">
        <v>153</v>
      </c>
      <c r="DF226" t="s">
        <v>153</v>
      </c>
      <c r="DG226" t="s">
        <v>153</v>
      </c>
      <c r="DI226" t="s">
        <v>153</v>
      </c>
      <c r="DJ226" t="s">
        <v>153</v>
      </c>
      <c r="DK226" t="s">
        <v>153</v>
      </c>
      <c r="DL226" t="s">
        <v>153</v>
      </c>
      <c r="DN226" t="s">
        <v>153</v>
      </c>
      <c r="DO226" t="s">
        <v>153</v>
      </c>
      <c r="DP226" t="s">
        <v>153</v>
      </c>
      <c r="DQ226" t="s">
        <v>153</v>
      </c>
      <c r="DR226" t="s">
        <v>153</v>
      </c>
      <c r="DS226" t="s">
        <v>153</v>
      </c>
      <c r="DT226" t="s">
        <v>153</v>
      </c>
      <c r="DU226" t="s">
        <v>153</v>
      </c>
      <c r="DV226" t="s">
        <v>153</v>
      </c>
      <c r="DW226" t="s">
        <v>153</v>
      </c>
      <c r="DX226" s="2"/>
      <c r="DY226" t="s">
        <v>153</v>
      </c>
      <c r="DZ226" t="s">
        <v>153</v>
      </c>
      <c r="EA226" t="s">
        <v>153</v>
      </c>
      <c r="EB226" t="s">
        <v>153</v>
      </c>
      <c r="EC226" t="s">
        <v>153</v>
      </c>
      <c r="ED226" t="s">
        <v>153</v>
      </c>
      <c r="EE226" t="s">
        <v>153</v>
      </c>
      <c r="EF226" t="s">
        <v>153</v>
      </c>
      <c r="EH226" t="s">
        <v>153</v>
      </c>
      <c r="EI226" t="s">
        <v>153</v>
      </c>
      <c r="EJ226" t="s">
        <v>153</v>
      </c>
      <c r="EK226" t="s">
        <v>153</v>
      </c>
      <c r="EM226" t="s">
        <v>153</v>
      </c>
      <c r="EN226" t="s">
        <v>153</v>
      </c>
      <c r="EP226" s="4" t="s">
        <v>153</v>
      </c>
      <c r="EQ226" s="4" t="s">
        <v>153</v>
      </c>
      <c r="ER226" s="4" t="s">
        <v>191</v>
      </c>
      <c r="ES226" s="4" t="s">
        <v>153</v>
      </c>
      <c r="ET226" t="s">
        <v>2852</v>
      </c>
      <c r="EU226" t="s">
        <v>2853</v>
      </c>
      <c r="EV226" t="s">
        <v>845</v>
      </c>
      <c r="EW226">
        <v>1344346548</v>
      </c>
      <c r="EX226" t="s">
        <v>2777</v>
      </c>
    </row>
    <row r="227" spans="1:154" x14ac:dyDescent="0.25">
      <c r="A227" s="3">
        <v>45791.852858796294</v>
      </c>
      <c r="B227" s="4" t="s">
        <v>153</v>
      </c>
      <c r="C227" s="4" t="s">
        <v>822</v>
      </c>
      <c r="D227" s="4" t="s">
        <v>823</v>
      </c>
      <c r="E227" s="4" t="s">
        <v>824</v>
      </c>
      <c r="F227" s="4" t="s">
        <v>825</v>
      </c>
      <c r="G227" s="4" t="s">
        <v>252</v>
      </c>
      <c r="H227" s="4" t="s">
        <v>826</v>
      </c>
      <c r="I227" s="4" t="s">
        <v>2854</v>
      </c>
      <c r="J227" s="4" t="s">
        <v>2855</v>
      </c>
      <c r="K227" s="5"/>
      <c r="L227" s="4" t="s">
        <v>153</v>
      </c>
      <c r="M227" s="4" t="s">
        <v>153</v>
      </c>
      <c r="N227" s="4" t="s">
        <v>153</v>
      </c>
      <c r="O227" s="4" t="s">
        <v>153</v>
      </c>
      <c r="P227" s="4" t="s">
        <v>153</v>
      </c>
      <c r="Q227" s="4" t="s">
        <v>153</v>
      </c>
      <c r="R227" s="4" t="s">
        <v>153</v>
      </c>
      <c r="S227" s="4" t="s">
        <v>153</v>
      </c>
      <c r="T227" s="4" t="s">
        <v>153</v>
      </c>
      <c r="U227" s="4" t="s">
        <v>153</v>
      </c>
      <c r="V227" s="4" t="s">
        <v>153</v>
      </c>
      <c r="W227" s="4" t="s">
        <v>153</v>
      </c>
      <c r="X227" s="4" t="s">
        <v>153</v>
      </c>
      <c r="Y227" s="4" t="s">
        <v>153</v>
      </c>
      <c r="Z227" s="4" t="s">
        <v>153</v>
      </c>
      <c r="AA227" s="4" t="s">
        <v>153</v>
      </c>
      <c r="AB227" s="4" t="s">
        <v>153</v>
      </c>
      <c r="AC227" s="4" t="s">
        <v>153</v>
      </c>
      <c r="AD227" s="4" t="s">
        <v>153</v>
      </c>
      <c r="AE227" s="4" t="s">
        <v>153</v>
      </c>
      <c r="AF227" s="4" t="s">
        <v>153</v>
      </c>
      <c r="AG227" s="4" t="s">
        <v>153</v>
      </c>
      <c r="AH227" s="4" t="s">
        <v>153</v>
      </c>
      <c r="AI227" s="5"/>
      <c r="AJ227" t="s">
        <v>153</v>
      </c>
      <c r="AK227" s="4"/>
      <c r="AL227" t="s">
        <v>153</v>
      </c>
      <c r="AM227" t="s">
        <v>153</v>
      </c>
      <c r="AO227" t="s">
        <v>153</v>
      </c>
      <c r="AP227" s="4"/>
      <c r="AQ227" t="s">
        <v>153</v>
      </c>
      <c r="AR227" s="5">
        <v>45443</v>
      </c>
      <c r="AS227">
        <v>1</v>
      </c>
      <c r="AT227" s="4" t="s">
        <v>2856</v>
      </c>
      <c r="AU227" s="4" t="s">
        <v>2857</v>
      </c>
      <c r="AV227" s="4" t="s">
        <v>153</v>
      </c>
      <c r="AW227" t="s">
        <v>153</v>
      </c>
      <c r="AX227" t="s">
        <v>153</v>
      </c>
      <c r="AY227" t="s">
        <v>153</v>
      </c>
      <c r="AZ227" t="s">
        <v>2858</v>
      </c>
      <c r="BA227" t="s">
        <v>153</v>
      </c>
      <c r="BB227" t="s">
        <v>153</v>
      </c>
      <c r="BC227" t="s">
        <v>153</v>
      </c>
      <c r="BD227" s="4" t="s">
        <v>2859</v>
      </c>
      <c r="BE227" s="4" t="s">
        <v>2860</v>
      </c>
      <c r="BF227" t="s">
        <v>242</v>
      </c>
      <c r="BG227" s="4" t="s">
        <v>2861</v>
      </c>
      <c r="BH227" t="s">
        <v>153</v>
      </c>
      <c r="BI227" s="4" t="s">
        <v>153</v>
      </c>
      <c r="BJ227" t="s">
        <v>153</v>
      </c>
      <c r="BK227" s="4" t="s">
        <v>153</v>
      </c>
      <c r="BL227" t="s">
        <v>153</v>
      </c>
      <c r="BM227" t="s">
        <v>153</v>
      </c>
      <c r="BN227" s="4" t="s">
        <v>153</v>
      </c>
      <c r="BO227" s="4" t="s">
        <v>153</v>
      </c>
      <c r="BP227" s="4" t="s">
        <v>153</v>
      </c>
      <c r="BQ227" s="4" t="s">
        <v>153</v>
      </c>
      <c r="BR227" s="4" t="s">
        <v>153</v>
      </c>
      <c r="BS227" s="4" t="s">
        <v>153</v>
      </c>
      <c r="BT227" s="4" t="s">
        <v>153</v>
      </c>
      <c r="BU227" s="4" t="s">
        <v>153</v>
      </c>
      <c r="BV227" s="4"/>
      <c r="BW227" s="4" t="s">
        <v>153</v>
      </c>
      <c r="BX227" s="4" t="s">
        <v>153</v>
      </c>
      <c r="BY227" s="4" t="s">
        <v>153</v>
      </c>
      <c r="BZ227" s="4" t="s">
        <v>153</v>
      </c>
      <c r="CA227" s="4" t="s">
        <v>153</v>
      </c>
      <c r="CB227" s="4"/>
      <c r="CC227" s="4" t="s">
        <v>153</v>
      </c>
      <c r="CD227" t="s">
        <v>153</v>
      </c>
      <c r="CE227" s="4" t="s">
        <v>153</v>
      </c>
      <c r="CF227" s="4" t="s">
        <v>153</v>
      </c>
      <c r="CG227" s="4" t="s">
        <v>153</v>
      </c>
      <c r="CH227" s="5"/>
      <c r="CI227" t="s">
        <v>153</v>
      </c>
      <c r="CJ227" s="4"/>
      <c r="CK227" t="s">
        <v>153</v>
      </c>
      <c r="CL227" t="s">
        <v>153</v>
      </c>
      <c r="CM227" t="s">
        <v>153</v>
      </c>
      <c r="CN227" t="s">
        <v>153</v>
      </c>
      <c r="CO227" s="5"/>
      <c r="CP227" s="4" t="s">
        <v>153</v>
      </c>
      <c r="CQ227" s="4" t="s">
        <v>153</v>
      </c>
      <c r="CR227" t="s">
        <v>153</v>
      </c>
      <c r="CS227" t="s">
        <v>153</v>
      </c>
      <c r="CT227" t="s">
        <v>153</v>
      </c>
      <c r="CU227" t="s">
        <v>153</v>
      </c>
      <c r="CV227" t="s">
        <v>153</v>
      </c>
      <c r="CW227" t="s">
        <v>153</v>
      </c>
      <c r="CX227" t="s">
        <v>153</v>
      </c>
      <c r="CY227" t="s">
        <v>153</v>
      </c>
      <c r="CZ227" t="s">
        <v>153</v>
      </c>
      <c r="DA227" t="s">
        <v>153</v>
      </c>
      <c r="DB227" t="s">
        <v>153</v>
      </c>
      <c r="DC227" t="s">
        <v>153</v>
      </c>
      <c r="DD227" t="s">
        <v>153</v>
      </c>
      <c r="DE227" t="s">
        <v>153</v>
      </c>
      <c r="DF227" t="s">
        <v>153</v>
      </c>
      <c r="DG227" t="s">
        <v>153</v>
      </c>
      <c r="DI227" t="s">
        <v>153</v>
      </c>
      <c r="DJ227" t="s">
        <v>153</v>
      </c>
      <c r="DK227" t="s">
        <v>153</v>
      </c>
      <c r="DL227" t="s">
        <v>153</v>
      </c>
      <c r="DN227" t="s">
        <v>153</v>
      </c>
      <c r="DO227" t="s">
        <v>153</v>
      </c>
      <c r="DP227" t="s">
        <v>153</v>
      </c>
      <c r="DQ227" t="s">
        <v>153</v>
      </c>
      <c r="DR227" t="s">
        <v>153</v>
      </c>
      <c r="DS227" t="s">
        <v>153</v>
      </c>
      <c r="DT227" t="s">
        <v>153</v>
      </c>
      <c r="DU227" t="s">
        <v>153</v>
      </c>
      <c r="DV227" t="s">
        <v>153</v>
      </c>
      <c r="DW227" t="s">
        <v>153</v>
      </c>
      <c r="DX227" s="2"/>
      <c r="DY227" t="s">
        <v>153</v>
      </c>
      <c r="DZ227" t="s">
        <v>153</v>
      </c>
      <c r="EA227" t="s">
        <v>153</v>
      </c>
      <c r="EB227" t="s">
        <v>153</v>
      </c>
      <c r="EC227" t="s">
        <v>153</v>
      </c>
      <c r="ED227" t="s">
        <v>153</v>
      </c>
      <c r="EE227" t="s">
        <v>153</v>
      </c>
      <c r="EF227" t="s">
        <v>153</v>
      </c>
      <c r="EH227" t="s">
        <v>153</v>
      </c>
      <c r="EI227" t="s">
        <v>153</v>
      </c>
      <c r="EJ227" t="s">
        <v>153</v>
      </c>
      <c r="EK227" t="s">
        <v>153</v>
      </c>
      <c r="EM227" t="s">
        <v>153</v>
      </c>
      <c r="EN227" t="s">
        <v>153</v>
      </c>
      <c r="EP227" s="4" t="s">
        <v>153</v>
      </c>
      <c r="EQ227" s="4" t="s">
        <v>153</v>
      </c>
      <c r="ER227" s="4" t="s">
        <v>176</v>
      </c>
      <c r="ES227" s="4" t="s">
        <v>153</v>
      </c>
      <c r="ET227" t="s">
        <v>2862</v>
      </c>
      <c r="EU227" t="s">
        <v>2853</v>
      </c>
      <c r="EV227" t="s">
        <v>845</v>
      </c>
      <c r="EW227">
        <v>1344349490</v>
      </c>
      <c r="EX227" t="s">
        <v>2777</v>
      </c>
    </row>
    <row r="228" spans="1:154" x14ac:dyDescent="0.25">
      <c r="A228" s="3">
        <v>45819.808668981481</v>
      </c>
      <c r="B228" s="4" t="s">
        <v>153</v>
      </c>
      <c r="C228" s="4" t="s">
        <v>822</v>
      </c>
      <c r="D228" s="4" t="s">
        <v>823</v>
      </c>
      <c r="E228" s="4" t="s">
        <v>824</v>
      </c>
      <c r="F228" s="4" t="s">
        <v>2767</v>
      </c>
      <c r="G228" s="4" t="s">
        <v>252</v>
      </c>
      <c r="H228" s="4" t="s">
        <v>826</v>
      </c>
      <c r="I228" s="4" t="s">
        <v>2863</v>
      </c>
      <c r="J228" s="4" t="s">
        <v>2864</v>
      </c>
      <c r="K228" s="5"/>
      <c r="L228" s="4" t="s">
        <v>153</v>
      </c>
      <c r="M228" s="4" t="s">
        <v>153</v>
      </c>
      <c r="N228" s="4" t="s">
        <v>153</v>
      </c>
      <c r="O228" s="4" t="s">
        <v>153</v>
      </c>
      <c r="P228" s="4" t="s">
        <v>153</v>
      </c>
      <c r="Q228" s="4" t="s">
        <v>153</v>
      </c>
      <c r="R228" s="4" t="s">
        <v>153</v>
      </c>
      <c r="S228" s="4" t="s">
        <v>153</v>
      </c>
      <c r="T228" s="4" t="s">
        <v>153</v>
      </c>
      <c r="U228" s="4" t="s">
        <v>153</v>
      </c>
      <c r="V228" s="4" t="s">
        <v>153</v>
      </c>
      <c r="W228" s="4" t="s">
        <v>153</v>
      </c>
      <c r="X228" s="4" t="s">
        <v>153</v>
      </c>
      <c r="Y228" s="4" t="s">
        <v>153</v>
      </c>
      <c r="Z228" s="4" t="s">
        <v>153</v>
      </c>
      <c r="AA228" s="4" t="s">
        <v>153</v>
      </c>
      <c r="AB228" s="4" t="s">
        <v>153</v>
      </c>
      <c r="AC228" s="4" t="s">
        <v>153</v>
      </c>
      <c r="AD228" s="4" t="s">
        <v>153</v>
      </c>
      <c r="AE228" s="4" t="s">
        <v>153</v>
      </c>
      <c r="AF228" s="4" t="s">
        <v>153</v>
      </c>
      <c r="AG228" s="4" t="s">
        <v>153</v>
      </c>
      <c r="AH228" s="4" t="s">
        <v>153</v>
      </c>
      <c r="AI228" s="5"/>
      <c r="AJ228" t="s">
        <v>153</v>
      </c>
      <c r="AK228" s="4"/>
      <c r="AL228" t="s">
        <v>153</v>
      </c>
      <c r="AM228" t="s">
        <v>153</v>
      </c>
      <c r="AO228" t="s">
        <v>153</v>
      </c>
      <c r="AP228" s="4"/>
      <c r="AQ228" t="s">
        <v>153</v>
      </c>
      <c r="AR228" s="5">
        <v>45621</v>
      </c>
      <c r="AS228">
        <v>1</v>
      </c>
      <c r="AT228" s="4" t="s">
        <v>991</v>
      </c>
      <c r="AU228" s="4" t="s">
        <v>2865</v>
      </c>
      <c r="AV228" s="4" t="s">
        <v>153</v>
      </c>
      <c r="AW228" t="s">
        <v>153</v>
      </c>
      <c r="AX228" t="s">
        <v>153</v>
      </c>
      <c r="AY228" t="s">
        <v>153</v>
      </c>
      <c r="AZ228" t="s">
        <v>2866</v>
      </c>
      <c r="BA228" t="s">
        <v>153</v>
      </c>
      <c r="BB228" t="s">
        <v>153</v>
      </c>
      <c r="BC228" t="s">
        <v>153</v>
      </c>
      <c r="BD228" s="4" t="s">
        <v>2867</v>
      </c>
      <c r="BE228" s="4" t="s">
        <v>2868</v>
      </c>
      <c r="BF228" t="s">
        <v>242</v>
      </c>
      <c r="BG228" s="4" t="s">
        <v>2869</v>
      </c>
      <c r="BH228" t="s">
        <v>153</v>
      </c>
      <c r="BI228" s="4" t="s">
        <v>153</v>
      </c>
      <c r="BJ228" t="s">
        <v>153</v>
      </c>
      <c r="BK228" s="4" t="s">
        <v>153</v>
      </c>
      <c r="BL228" t="s">
        <v>153</v>
      </c>
      <c r="BM228" t="s">
        <v>153</v>
      </c>
      <c r="BN228" s="4" t="s">
        <v>153</v>
      </c>
      <c r="BO228" s="4" t="s">
        <v>153</v>
      </c>
      <c r="BP228" s="4" t="s">
        <v>153</v>
      </c>
      <c r="BQ228" s="4" t="s">
        <v>153</v>
      </c>
      <c r="BR228" s="4" t="s">
        <v>153</v>
      </c>
      <c r="BS228" s="4" t="s">
        <v>153</v>
      </c>
      <c r="BT228" s="4" t="s">
        <v>153</v>
      </c>
      <c r="BU228" s="4" t="s">
        <v>153</v>
      </c>
      <c r="BV228" s="4"/>
      <c r="BW228" s="4" t="s">
        <v>153</v>
      </c>
      <c r="BX228" s="4" t="s">
        <v>153</v>
      </c>
      <c r="BY228" s="4" t="s">
        <v>153</v>
      </c>
      <c r="BZ228" s="4" t="s">
        <v>153</v>
      </c>
      <c r="CA228" s="4" t="s">
        <v>153</v>
      </c>
      <c r="CB228" s="4"/>
      <c r="CC228" s="4" t="s">
        <v>153</v>
      </c>
      <c r="CD228" t="s">
        <v>153</v>
      </c>
      <c r="CE228" s="4" t="s">
        <v>153</v>
      </c>
      <c r="CF228" s="4" t="s">
        <v>153</v>
      </c>
      <c r="CG228" s="4" t="s">
        <v>153</v>
      </c>
      <c r="CH228" s="5"/>
      <c r="CI228" t="s">
        <v>153</v>
      </c>
      <c r="CJ228" s="4"/>
      <c r="CK228" t="s">
        <v>153</v>
      </c>
      <c r="CL228" t="s">
        <v>153</v>
      </c>
      <c r="CM228" t="s">
        <v>153</v>
      </c>
      <c r="CN228" t="s">
        <v>153</v>
      </c>
      <c r="CO228" s="5"/>
      <c r="CP228" s="4" t="s">
        <v>153</v>
      </c>
      <c r="CQ228" s="4" t="s">
        <v>153</v>
      </c>
      <c r="CR228" t="s">
        <v>153</v>
      </c>
      <c r="CS228" t="s">
        <v>153</v>
      </c>
      <c r="CT228" t="s">
        <v>153</v>
      </c>
      <c r="CU228" t="s">
        <v>153</v>
      </c>
      <c r="CV228" t="s">
        <v>153</v>
      </c>
      <c r="CW228" t="s">
        <v>153</v>
      </c>
      <c r="CX228" t="s">
        <v>153</v>
      </c>
      <c r="CY228" t="s">
        <v>153</v>
      </c>
      <c r="CZ228" t="s">
        <v>153</v>
      </c>
      <c r="DA228" t="s">
        <v>153</v>
      </c>
      <c r="DB228" t="s">
        <v>153</v>
      </c>
      <c r="DC228" t="s">
        <v>153</v>
      </c>
      <c r="DD228" t="s">
        <v>153</v>
      </c>
      <c r="DE228" t="s">
        <v>153</v>
      </c>
      <c r="DF228" t="s">
        <v>153</v>
      </c>
      <c r="DG228" t="s">
        <v>153</v>
      </c>
      <c r="DI228" t="s">
        <v>153</v>
      </c>
      <c r="DJ228" t="s">
        <v>153</v>
      </c>
      <c r="DK228" t="s">
        <v>153</v>
      </c>
      <c r="DL228" t="s">
        <v>153</v>
      </c>
      <c r="DN228" t="s">
        <v>153</v>
      </c>
      <c r="DO228" t="s">
        <v>153</v>
      </c>
      <c r="DP228" t="s">
        <v>153</v>
      </c>
      <c r="DQ228" t="s">
        <v>153</v>
      </c>
      <c r="DR228" t="s">
        <v>153</v>
      </c>
      <c r="DS228" t="s">
        <v>153</v>
      </c>
      <c r="DT228" t="s">
        <v>153</v>
      </c>
      <c r="DU228" t="s">
        <v>153</v>
      </c>
      <c r="DV228" t="s">
        <v>153</v>
      </c>
      <c r="DW228" t="s">
        <v>153</v>
      </c>
      <c r="DX228" s="2"/>
      <c r="DY228" t="s">
        <v>153</v>
      </c>
      <c r="DZ228" t="s">
        <v>153</v>
      </c>
      <c r="EA228" t="s">
        <v>153</v>
      </c>
      <c r="EB228" t="s">
        <v>153</v>
      </c>
      <c r="EC228" t="s">
        <v>153</v>
      </c>
      <c r="ED228" t="s">
        <v>153</v>
      </c>
      <c r="EE228" t="s">
        <v>153</v>
      </c>
      <c r="EF228" t="s">
        <v>153</v>
      </c>
      <c r="EH228" t="s">
        <v>153</v>
      </c>
      <c r="EI228" t="s">
        <v>153</v>
      </c>
      <c r="EJ228" t="s">
        <v>153</v>
      </c>
      <c r="EK228" t="s">
        <v>153</v>
      </c>
      <c r="EM228" t="s">
        <v>153</v>
      </c>
      <c r="EN228" t="s">
        <v>153</v>
      </c>
      <c r="EP228" s="4" t="s">
        <v>153</v>
      </c>
      <c r="EQ228" s="4" t="s">
        <v>153</v>
      </c>
      <c r="ER228" s="4" t="s">
        <v>176</v>
      </c>
      <c r="ES228" s="4" t="s">
        <v>153</v>
      </c>
      <c r="ET228" t="s">
        <v>2870</v>
      </c>
      <c r="EU228" t="s">
        <v>2871</v>
      </c>
      <c r="EV228" t="s">
        <v>845</v>
      </c>
      <c r="EW228">
        <v>1352587666</v>
      </c>
      <c r="EX228" t="s">
        <v>2777</v>
      </c>
    </row>
    <row r="229" spans="1:154" x14ac:dyDescent="0.25">
      <c r="A229" s="3">
        <v>45821.330011574071</v>
      </c>
      <c r="B229" s="4" t="s">
        <v>153</v>
      </c>
      <c r="C229" s="4" t="s">
        <v>502</v>
      </c>
      <c r="D229" s="4" t="s">
        <v>503</v>
      </c>
      <c r="E229" s="4" t="s">
        <v>504</v>
      </c>
      <c r="F229" s="4" t="s">
        <v>505</v>
      </c>
      <c r="G229" s="4" t="s">
        <v>185</v>
      </c>
      <c r="H229" s="4" t="s">
        <v>2214</v>
      </c>
      <c r="I229" s="4" t="s">
        <v>2872</v>
      </c>
      <c r="J229" s="4" t="s">
        <v>153</v>
      </c>
      <c r="K229" s="5"/>
      <c r="L229" s="4" t="s">
        <v>153</v>
      </c>
      <c r="M229" s="4" t="s">
        <v>2873</v>
      </c>
      <c r="N229" s="4" t="s">
        <v>2874</v>
      </c>
      <c r="O229" s="4" t="s">
        <v>2875</v>
      </c>
      <c r="P229" s="4" t="s">
        <v>2876</v>
      </c>
      <c r="Q229" s="4" t="s">
        <v>190</v>
      </c>
      <c r="R229" s="4" t="s">
        <v>308</v>
      </c>
      <c r="S229" s="4" t="s">
        <v>153</v>
      </c>
      <c r="T229" s="4" t="s">
        <v>2872</v>
      </c>
      <c r="U229" s="4" t="s">
        <v>2877</v>
      </c>
      <c r="V229" s="4" t="s">
        <v>153</v>
      </c>
      <c r="W229" s="4" t="s">
        <v>2878</v>
      </c>
      <c r="X229" s="4" t="s">
        <v>589</v>
      </c>
      <c r="Y229" s="4" t="s">
        <v>2879</v>
      </c>
      <c r="Z229" s="4" t="s">
        <v>237</v>
      </c>
      <c r="AA229" s="4" t="s">
        <v>2880</v>
      </c>
      <c r="AB229" s="4" t="s">
        <v>153</v>
      </c>
      <c r="AC229" s="4" t="s">
        <v>2878</v>
      </c>
      <c r="AD229" s="4" t="s">
        <v>589</v>
      </c>
      <c r="AE229" s="4" t="s">
        <v>2879</v>
      </c>
      <c r="AF229" s="4" t="s">
        <v>2881</v>
      </c>
      <c r="AG229" s="4" t="s">
        <v>2882</v>
      </c>
      <c r="AH229" s="4" t="s">
        <v>2883</v>
      </c>
      <c r="AI229" s="5">
        <v>45826</v>
      </c>
      <c r="AJ229" t="s">
        <v>591</v>
      </c>
      <c r="AK229" s="4"/>
      <c r="AL229" t="s">
        <v>2884</v>
      </c>
      <c r="AM229" t="s">
        <v>153</v>
      </c>
      <c r="AO229" t="s">
        <v>153</v>
      </c>
      <c r="AP229" s="4"/>
      <c r="AQ229" t="s">
        <v>153</v>
      </c>
      <c r="AR229" s="5"/>
      <c r="AT229" s="4" t="s">
        <v>153</v>
      </c>
      <c r="AU229" s="4" t="s">
        <v>153</v>
      </c>
      <c r="AV229" s="4" t="s">
        <v>153</v>
      </c>
      <c r="AW229" t="s">
        <v>153</v>
      </c>
      <c r="AX229" t="s">
        <v>153</v>
      </c>
      <c r="AY229" t="s">
        <v>153</v>
      </c>
      <c r="AZ229" t="s">
        <v>153</v>
      </c>
      <c r="BA229" t="s">
        <v>153</v>
      </c>
      <c r="BB229" t="s">
        <v>153</v>
      </c>
      <c r="BC229" t="s">
        <v>153</v>
      </c>
      <c r="BD229" s="4" t="s">
        <v>153</v>
      </c>
      <c r="BE229" s="4" t="s">
        <v>153</v>
      </c>
      <c r="BF229" t="s">
        <v>153</v>
      </c>
      <c r="BG229" s="4" t="s">
        <v>153</v>
      </c>
      <c r="BH229" t="s">
        <v>153</v>
      </c>
      <c r="BI229" s="4" t="s">
        <v>153</v>
      </c>
      <c r="BJ229" t="s">
        <v>153</v>
      </c>
      <c r="BK229" s="4" t="s">
        <v>153</v>
      </c>
      <c r="BL229" t="s">
        <v>153</v>
      </c>
      <c r="BM229" t="s">
        <v>153</v>
      </c>
      <c r="BN229" s="4" t="s">
        <v>153</v>
      </c>
      <c r="BO229" s="4" t="s">
        <v>153</v>
      </c>
      <c r="BP229" s="4" t="s">
        <v>153</v>
      </c>
      <c r="BQ229" s="4" t="s">
        <v>153</v>
      </c>
      <c r="BR229" s="4" t="s">
        <v>153</v>
      </c>
      <c r="BS229" s="4" t="s">
        <v>153</v>
      </c>
      <c r="BT229" s="4" t="s">
        <v>153</v>
      </c>
      <c r="BU229" s="4" t="s">
        <v>153</v>
      </c>
      <c r="BV229" s="4"/>
      <c r="BW229" s="4" t="s">
        <v>153</v>
      </c>
      <c r="BX229" s="4" t="s">
        <v>153</v>
      </c>
      <c r="BY229" s="4" t="s">
        <v>153</v>
      </c>
      <c r="BZ229" s="4" t="s">
        <v>153</v>
      </c>
      <c r="CA229" s="4" t="s">
        <v>153</v>
      </c>
      <c r="CB229" s="4"/>
      <c r="CC229" s="4" t="s">
        <v>153</v>
      </c>
      <c r="CD229" t="s">
        <v>153</v>
      </c>
      <c r="CE229" s="4" t="s">
        <v>153</v>
      </c>
      <c r="CF229" s="4" t="s">
        <v>153</v>
      </c>
      <c r="CG229" s="4" t="s">
        <v>153</v>
      </c>
      <c r="CH229" s="5"/>
      <c r="CI229" t="s">
        <v>153</v>
      </c>
      <c r="CJ229" s="4"/>
      <c r="CK229" t="s">
        <v>153</v>
      </c>
      <c r="CL229" t="s">
        <v>153</v>
      </c>
      <c r="CM229" t="s">
        <v>153</v>
      </c>
      <c r="CN229" t="s">
        <v>153</v>
      </c>
      <c r="CO229" s="5"/>
      <c r="CP229" s="4" t="s">
        <v>153</v>
      </c>
      <c r="CQ229" s="4" t="s">
        <v>153</v>
      </c>
      <c r="CR229" t="s">
        <v>153</v>
      </c>
      <c r="CS229" t="s">
        <v>153</v>
      </c>
      <c r="CT229" t="s">
        <v>153</v>
      </c>
      <c r="CU229" t="s">
        <v>153</v>
      </c>
      <c r="CV229" t="s">
        <v>153</v>
      </c>
      <c r="CW229" t="s">
        <v>153</v>
      </c>
      <c r="CX229" t="s">
        <v>153</v>
      </c>
      <c r="CY229" t="s">
        <v>153</v>
      </c>
      <c r="CZ229" t="s">
        <v>153</v>
      </c>
      <c r="DA229" t="s">
        <v>153</v>
      </c>
      <c r="DB229" t="s">
        <v>153</v>
      </c>
      <c r="DC229" t="s">
        <v>153</v>
      </c>
      <c r="DD229" t="s">
        <v>153</v>
      </c>
      <c r="DE229" t="s">
        <v>153</v>
      </c>
      <c r="DF229" t="s">
        <v>153</v>
      </c>
      <c r="DG229" t="s">
        <v>153</v>
      </c>
      <c r="DI229" t="s">
        <v>153</v>
      </c>
      <c r="DJ229" t="s">
        <v>153</v>
      </c>
      <c r="DK229" t="s">
        <v>153</v>
      </c>
      <c r="DL229" t="s">
        <v>153</v>
      </c>
      <c r="DN229" t="s">
        <v>153</v>
      </c>
      <c r="DO229" t="s">
        <v>153</v>
      </c>
      <c r="DP229" t="s">
        <v>153</v>
      </c>
      <c r="DQ229" t="s">
        <v>153</v>
      </c>
      <c r="DR229" t="s">
        <v>153</v>
      </c>
      <c r="DS229" t="s">
        <v>153</v>
      </c>
      <c r="DT229" t="s">
        <v>153</v>
      </c>
      <c r="DU229" t="s">
        <v>153</v>
      </c>
      <c r="DV229" t="s">
        <v>153</v>
      </c>
      <c r="DW229" t="s">
        <v>153</v>
      </c>
      <c r="DX229" s="2"/>
      <c r="DY229" t="s">
        <v>153</v>
      </c>
      <c r="DZ229" t="s">
        <v>153</v>
      </c>
      <c r="EA229" t="s">
        <v>153</v>
      </c>
      <c r="EB229" t="s">
        <v>153</v>
      </c>
      <c r="EC229" t="s">
        <v>153</v>
      </c>
      <c r="ED229" t="s">
        <v>153</v>
      </c>
      <c r="EE229" t="s">
        <v>153</v>
      </c>
      <c r="EF229" t="s">
        <v>153</v>
      </c>
      <c r="EH229" t="s">
        <v>153</v>
      </c>
      <c r="EI229" t="s">
        <v>153</v>
      </c>
      <c r="EJ229" t="s">
        <v>153</v>
      </c>
      <c r="EK229" t="s">
        <v>153</v>
      </c>
      <c r="EM229" t="s">
        <v>153</v>
      </c>
      <c r="EN229" t="s">
        <v>153</v>
      </c>
      <c r="EP229" s="4" t="s">
        <v>153</v>
      </c>
      <c r="EQ229" s="4" t="s">
        <v>153</v>
      </c>
      <c r="ER229" s="4" t="s">
        <v>191</v>
      </c>
      <c r="ES229" s="4" t="s">
        <v>153</v>
      </c>
      <c r="ET229" t="s">
        <v>2885</v>
      </c>
      <c r="EU229" t="s">
        <v>2886</v>
      </c>
      <c r="EV229" t="s">
        <v>2887</v>
      </c>
      <c r="EW229">
        <v>1353068768</v>
      </c>
      <c r="EX229" t="s">
        <v>2888</v>
      </c>
    </row>
    <row r="230" spans="1:154" x14ac:dyDescent="0.25">
      <c r="A230" s="3">
        <v>45824.684930555559</v>
      </c>
      <c r="B230" s="4" t="s">
        <v>153</v>
      </c>
      <c r="C230" s="4" t="s">
        <v>2686</v>
      </c>
      <c r="D230" s="4" t="s">
        <v>2687</v>
      </c>
      <c r="E230" s="4" t="s">
        <v>2688</v>
      </c>
      <c r="F230" s="4" t="s">
        <v>2889</v>
      </c>
      <c r="G230" s="4" t="s">
        <v>948</v>
      </c>
      <c r="H230" s="4" t="s">
        <v>226</v>
      </c>
      <c r="I230" s="4" t="s">
        <v>2890</v>
      </c>
      <c r="J230" s="4" t="s">
        <v>2891</v>
      </c>
      <c r="K230" s="5">
        <v>45809</v>
      </c>
      <c r="L230" s="4" t="s">
        <v>403</v>
      </c>
      <c r="M230" s="4" t="s">
        <v>2890</v>
      </c>
      <c r="N230" s="4" t="s">
        <v>153</v>
      </c>
      <c r="O230" s="4" t="s">
        <v>2892</v>
      </c>
      <c r="P230" s="4" t="s">
        <v>2893</v>
      </c>
      <c r="Q230" s="4" t="s">
        <v>153</v>
      </c>
      <c r="R230" s="4" t="s">
        <v>153</v>
      </c>
      <c r="S230" s="4" t="s">
        <v>153</v>
      </c>
      <c r="T230" s="4" t="s">
        <v>153</v>
      </c>
      <c r="U230" s="4" t="s">
        <v>2894</v>
      </c>
      <c r="V230" s="4" t="s">
        <v>153</v>
      </c>
      <c r="W230" s="4" t="s">
        <v>2895</v>
      </c>
      <c r="X230" s="4" t="s">
        <v>235</v>
      </c>
      <c r="Y230" s="4" t="s">
        <v>2896</v>
      </c>
      <c r="Z230" s="4" t="s">
        <v>237</v>
      </c>
      <c r="AA230" s="4" t="s">
        <v>2894</v>
      </c>
      <c r="AB230" s="4" t="s">
        <v>153</v>
      </c>
      <c r="AC230" s="4" t="s">
        <v>2895</v>
      </c>
      <c r="AD230" s="4" t="s">
        <v>235</v>
      </c>
      <c r="AE230" s="4" t="s">
        <v>2896</v>
      </c>
      <c r="AF230" s="4" t="s">
        <v>2897</v>
      </c>
      <c r="AG230" s="4" t="s">
        <v>2898</v>
      </c>
      <c r="AH230" s="4" t="s">
        <v>2899</v>
      </c>
      <c r="AI230" s="5"/>
      <c r="AJ230" t="s">
        <v>2900</v>
      </c>
      <c r="AK230" s="4"/>
      <c r="AL230" t="s">
        <v>153</v>
      </c>
      <c r="AM230" t="s">
        <v>2901</v>
      </c>
      <c r="AN230">
        <v>48</v>
      </c>
      <c r="AO230" t="s">
        <v>153</v>
      </c>
      <c r="AP230" s="4">
        <v>881689820</v>
      </c>
      <c r="AQ230" t="s">
        <v>153</v>
      </c>
      <c r="AR230" s="5"/>
      <c r="AT230" s="4" t="s">
        <v>153</v>
      </c>
      <c r="AU230" s="4" t="s">
        <v>153</v>
      </c>
      <c r="AV230" s="4" t="s">
        <v>153</v>
      </c>
      <c r="AW230" t="s">
        <v>153</v>
      </c>
      <c r="AX230" t="s">
        <v>153</v>
      </c>
      <c r="AY230" t="s">
        <v>153</v>
      </c>
      <c r="AZ230" t="s">
        <v>153</v>
      </c>
      <c r="BA230" t="s">
        <v>153</v>
      </c>
      <c r="BB230" t="s">
        <v>153</v>
      </c>
      <c r="BC230" t="s">
        <v>153</v>
      </c>
      <c r="BD230" s="4" t="s">
        <v>153</v>
      </c>
      <c r="BE230" s="4" t="s">
        <v>153</v>
      </c>
      <c r="BF230" t="s">
        <v>153</v>
      </c>
      <c r="BG230" s="4" t="s">
        <v>153</v>
      </c>
      <c r="BH230" t="s">
        <v>153</v>
      </c>
      <c r="BI230" s="4" t="s">
        <v>153</v>
      </c>
      <c r="BJ230" t="s">
        <v>153</v>
      </c>
      <c r="BK230" s="4" t="s">
        <v>153</v>
      </c>
      <c r="BL230" t="s">
        <v>153</v>
      </c>
      <c r="BM230" t="s">
        <v>153</v>
      </c>
      <c r="BN230" s="4" t="s">
        <v>153</v>
      </c>
      <c r="BO230" s="4" t="s">
        <v>153</v>
      </c>
      <c r="BP230" s="4" t="s">
        <v>153</v>
      </c>
      <c r="BQ230" s="4" t="s">
        <v>153</v>
      </c>
      <c r="BR230" s="4" t="s">
        <v>153</v>
      </c>
      <c r="BS230" s="4" t="s">
        <v>153</v>
      </c>
      <c r="BT230" s="4" t="s">
        <v>153</v>
      </c>
      <c r="BU230" s="4" t="s">
        <v>153</v>
      </c>
      <c r="BV230" s="4"/>
      <c r="BW230" s="4" t="s">
        <v>153</v>
      </c>
      <c r="BX230" s="4" t="s">
        <v>153</v>
      </c>
      <c r="BY230" s="4" t="s">
        <v>153</v>
      </c>
      <c r="BZ230" s="4" t="s">
        <v>153</v>
      </c>
      <c r="CA230" s="4" t="s">
        <v>153</v>
      </c>
      <c r="CB230" s="4"/>
      <c r="CC230" s="4" t="s">
        <v>153</v>
      </c>
      <c r="CD230" t="s">
        <v>153</v>
      </c>
      <c r="CE230" s="4" t="s">
        <v>153</v>
      </c>
      <c r="CF230" s="4" t="s">
        <v>153</v>
      </c>
      <c r="CG230" s="4" t="s">
        <v>153</v>
      </c>
      <c r="CH230" s="5"/>
      <c r="CI230" t="s">
        <v>153</v>
      </c>
      <c r="CJ230" s="4"/>
      <c r="CK230" t="s">
        <v>153</v>
      </c>
      <c r="CL230" t="s">
        <v>153</v>
      </c>
      <c r="CM230" t="s">
        <v>153</v>
      </c>
      <c r="CN230" t="s">
        <v>153</v>
      </c>
      <c r="CO230" s="5"/>
      <c r="CP230" s="4" t="s">
        <v>153</v>
      </c>
      <c r="CQ230" s="4" t="s">
        <v>153</v>
      </c>
      <c r="CR230" t="s">
        <v>153</v>
      </c>
      <c r="CS230" t="s">
        <v>153</v>
      </c>
      <c r="CT230" t="s">
        <v>153</v>
      </c>
      <c r="CU230" t="s">
        <v>153</v>
      </c>
      <c r="CV230" t="s">
        <v>153</v>
      </c>
      <c r="CW230" t="s">
        <v>153</v>
      </c>
      <c r="CX230" t="s">
        <v>153</v>
      </c>
      <c r="CY230" t="s">
        <v>153</v>
      </c>
      <c r="CZ230" t="s">
        <v>153</v>
      </c>
      <c r="DA230" t="s">
        <v>153</v>
      </c>
      <c r="DB230" t="s">
        <v>153</v>
      </c>
      <c r="DC230" t="s">
        <v>153</v>
      </c>
      <c r="DD230" t="s">
        <v>153</v>
      </c>
      <c r="DE230" t="s">
        <v>153</v>
      </c>
      <c r="DF230" t="s">
        <v>153</v>
      </c>
      <c r="DG230" t="s">
        <v>153</v>
      </c>
      <c r="DI230" t="s">
        <v>153</v>
      </c>
      <c r="DJ230" t="s">
        <v>153</v>
      </c>
      <c r="DK230" t="s">
        <v>153</v>
      </c>
      <c r="DL230" t="s">
        <v>153</v>
      </c>
      <c r="DN230" t="s">
        <v>153</v>
      </c>
      <c r="DO230" t="s">
        <v>153</v>
      </c>
      <c r="DP230" t="s">
        <v>153</v>
      </c>
      <c r="DQ230" t="s">
        <v>153</v>
      </c>
      <c r="DR230" t="s">
        <v>153</v>
      </c>
      <c r="DS230" t="s">
        <v>153</v>
      </c>
      <c r="DT230" t="s">
        <v>153</v>
      </c>
      <c r="DU230" t="s">
        <v>153</v>
      </c>
      <c r="DV230" t="s">
        <v>153</v>
      </c>
      <c r="DW230" t="s">
        <v>153</v>
      </c>
      <c r="DX230" s="2"/>
      <c r="DY230" t="s">
        <v>153</v>
      </c>
      <c r="DZ230" t="s">
        <v>153</v>
      </c>
      <c r="EA230" t="s">
        <v>153</v>
      </c>
      <c r="EB230" t="s">
        <v>153</v>
      </c>
      <c r="EC230" t="s">
        <v>153</v>
      </c>
      <c r="ED230" t="s">
        <v>153</v>
      </c>
      <c r="EE230" t="s">
        <v>153</v>
      </c>
      <c r="EF230" t="s">
        <v>153</v>
      </c>
      <c r="EH230" t="s">
        <v>153</v>
      </c>
      <c r="EI230" t="s">
        <v>153</v>
      </c>
      <c r="EJ230" t="s">
        <v>153</v>
      </c>
      <c r="EK230" t="s">
        <v>153</v>
      </c>
      <c r="EM230" t="s">
        <v>153</v>
      </c>
      <c r="EN230" t="s">
        <v>153</v>
      </c>
      <c r="EP230" s="4" t="s">
        <v>153</v>
      </c>
      <c r="EQ230" s="4" t="s">
        <v>153</v>
      </c>
      <c r="ER230" s="4" t="s">
        <v>176</v>
      </c>
      <c r="ES230" s="4" t="s">
        <v>153</v>
      </c>
      <c r="ET230" t="s">
        <v>2902</v>
      </c>
      <c r="EU230" t="s">
        <v>2886</v>
      </c>
      <c r="EV230" t="s">
        <v>2698</v>
      </c>
      <c r="EW230">
        <v>1353877666</v>
      </c>
      <c r="EX230" t="s">
        <v>2903</v>
      </c>
    </row>
    <row r="231" spans="1:154" x14ac:dyDescent="0.25">
      <c r="A231" s="3">
        <v>45828.476481481484</v>
      </c>
      <c r="B231" s="4" t="s">
        <v>153</v>
      </c>
      <c r="C231" s="4" t="s">
        <v>502</v>
      </c>
      <c r="D231" s="4" t="s">
        <v>503</v>
      </c>
      <c r="E231" s="4" t="s">
        <v>504</v>
      </c>
      <c r="F231" s="4" t="s">
        <v>505</v>
      </c>
      <c r="G231" s="4" t="s">
        <v>1392</v>
      </c>
      <c r="H231" s="4" t="s">
        <v>2214</v>
      </c>
      <c r="I231" s="4" t="s">
        <v>2904</v>
      </c>
      <c r="J231" s="4" t="s">
        <v>2905</v>
      </c>
      <c r="K231" s="5"/>
      <c r="L231" s="4" t="s">
        <v>153</v>
      </c>
      <c r="M231" s="4" t="s">
        <v>153</v>
      </c>
      <c r="N231" s="4" t="s">
        <v>153</v>
      </c>
      <c r="O231" s="4" t="s">
        <v>153</v>
      </c>
      <c r="P231" s="4" t="s">
        <v>153</v>
      </c>
      <c r="Q231" s="4" t="s">
        <v>153</v>
      </c>
      <c r="R231" s="4" t="s">
        <v>153</v>
      </c>
      <c r="S231" s="4" t="s">
        <v>153</v>
      </c>
      <c r="T231" s="4" t="s">
        <v>153</v>
      </c>
      <c r="U231" s="4" t="s">
        <v>153</v>
      </c>
      <c r="V231" s="4" t="s">
        <v>153</v>
      </c>
      <c r="W231" s="4" t="s">
        <v>153</v>
      </c>
      <c r="X231" s="4" t="s">
        <v>153</v>
      </c>
      <c r="Y231" s="4" t="s">
        <v>153</v>
      </c>
      <c r="Z231" s="4" t="s">
        <v>153</v>
      </c>
      <c r="AA231" s="4" t="s">
        <v>153</v>
      </c>
      <c r="AB231" s="4" t="s">
        <v>153</v>
      </c>
      <c r="AC231" s="4" t="s">
        <v>153</v>
      </c>
      <c r="AD231" s="4" t="s">
        <v>153</v>
      </c>
      <c r="AE231" s="4" t="s">
        <v>153</v>
      </c>
      <c r="AF231" s="4" t="s">
        <v>153</v>
      </c>
      <c r="AG231" s="4" t="s">
        <v>153</v>
      </c>
      <c r="AH231" s="4" t="s">
        <v>153</v>
      </c>
      <c r="AI231" s="5"/>
      <c r="AJ231" t="s">
        <v>153</v>
      </c>
      <c r="AK231" s="4"/>
      <c r="AL231" t="s">
        <v>153</v>
      </c>
      <c r="AM231" t="s">
        <v>153</v>
      </c>
      <c r="AO231" t="s">
        <v>153</v>
      </c>
      <c r="AP231" s="4"/>
      <c r="AQ231" t="s">
        <v>153</v>
      </c>
      <c r="AR231" s="5"/>
      <c r="AT231" s="4" t="s">
        <v>153</v>
      </c>
      <c r="AU231" s="4" t="s">
        <v>153</v>
      </c>
      <c r="AV231" s="4" t="s">
        <v>153</v>
      </c>
      <c r="AW231" t="s">
        <v>153</v>
      </c>
      <c r="AX231" t="s">
        <v>153</v>
      </c>
      <c r="AY231" t="s">
        <v>153</v>
      </c>
      <c r="AZ231" t="s">
        <v>153</v>
      </c>
      <c r="BA231" t="s">
        <v>153</v>
      </c>
      <c r="BB231" t="s">
        <v>153</v>
      </c>
      <c r="BC231" t="s">
        <v>153</v>
      </c>
      <c r="BD231" s="4" t="s">
        <v>153</v>
      </c>
      <c r="BE231" s="4" t="s">
        <v>153</v>
      </c>
      <c r="BF231" t="s">
        <v>153</v>
      </c>
      <c r="BG231" s="4" t="s">
        <v>153</v>
      </c>
      <c r="BH231" t="s">
        <v>153</v>
      </c>
      <c r="BI231" s="4" t="s">
        <v>153</v>
      </c>
      <c r="BJ231" t="s">
        <v>153</v>
      </c>
      <c r="BK231" s="4" t="s">
        <v>153</v>
      </c>
      <c r="BL231" t="s">
        <v>153</v>
      </c>
      <c r="BM231" t="s">
        <v>153</v>
      </c>
      <c r="BN231" s="4" t="s">
        <v>153</v>
      </c>
      <c r="BO231" s="4" t="s">
        <v>153</v>
      </c>
      <c r="BP231" s="4" t="s">
        <v>153</v>
      </c>
      <c r="BQ231" s="4" t="s">
        <v>153</v>
      </c>
      <c r="BR231" s="4" t="s">
        <v>153</v>
      </c>
      <c r="BS231" s="4" t="s">
        <v>153</v>
      </c>
      <c r="BT231" s="4" t="s">
        <v>153</v>
      </c>
      <c r="BU231" s="4" t="s">
        <v>153</v>
      </c>
      <c r="BV231" s="4"/>
      <c r="BW231" s="4" t="s">
        <v>153</v>
      </c>
      <c r="BX231" s="4" t="s">
        <v>153</v>
      </c>
      <c r="BY231" s="4" t="s">
        <v>153</v>
      </c>
      <c r="BZ231" s="4" t="s">
        <v>153</v>
      </c>
      <c r="CA231" s="4" t="s">
        <v>153</v>
      </c>
      <c r="CB231" s="4"/>
      <c r="CC231" s="4" t="s">
        <v>153</v>
      </c>
      <c r="CD231" t="s">
        <v>153</v>
      </c>
      <c r="CE231" s="4" t="s">
        <v>153</v>
      </c>
      <c r="CF231" s="4" t="s">
        <v>153</v>
      </c>
      <c r="CG231" s="4" t="s">
        <v>153</v>
      </c>
      <c r="CH231" s="5"/>
      <c r="CI231" t="s">
        <v>153</v>
      </c>
      <c r="CJ231" s="4"/>
      <c r="CK231" t="s">
        <v>153</v>
      </c>
      <c r="CL231" t="s">
        <v>153</v>
      </c>
      <c r="CM231" t="s">
        <v>153</v>
      </c>
      <c r="CN231" t="s">
        <v>153</v>
      </c>
      <c r="CO231" s="5"/>
      <c r="CP231" s="4" t="s">
        <v>153</v>
      </c>
      <c r="CQ231" s="4" t="s">
        <v>153</v>
      </c>
      <c r="CR231" t="s">
        <v>153</v>
      </c>
      <c r="CS231" t="s">
        <v>153</v>
      </c>
      <c r="CT231" t="s">
        <v>153</v>
      </c>
      <c r="CU231" t="s">
        <v>153</v>
      </c>
      <c r="CV231" t="s">
        <v>153</v>
      </c>
      <c r="CW231" t="s">
        <v>153</v>
      </c>
      <c r="CX231" t="s">
        <v>153</v>
      </c>
      <c r="CY231" t="s">
        <v>153</v>
      </c>
      <c r="CZ231" t="s">
        <v>153</v>
      </c>
      <c r="DA231" t="s">
        <v>153</v>
      </c>
      <c r="DB231" t="s">
        <v>153</v>
      </c>
      <c r="DC231" t="s">
        <v>153</v>
      </c>
      <c r="DD231" t="s">
        <v>153</v>
      </c>
      <c r="DE231" t="s">
        <v>153</v>
      </c>
      <c r="DF231" t="s">
        <v>153</v>
      </c>
      <c r="DG231" t="s">
        <v>153</v>
      </c>
      <c r="DI231" t="s">
        <v>153</v>
      </c>
      <c r="DJ231" t="s">
        <v>153</v>
      </c>
      <c r="DK231" t="s">
        <v>153</v>
      </c>
      <c r="DL231" t="s">
        <v>153</v>
      </c>
      <c r="DN231" t="s">
        <v>153</v>
      </c>
      <c r="DO231" t="s">
        <v>153</v>
      </c>
      <c r="DP231" t="s">
        <v>153</v>
      </c>
      <c r="DQ231" t="s">
        <v>153</v>
      </c>
      <c r="DR231" t="s">
        <v>153</v>
      </c>
      <c r="DS231" t="s">
        <v>153</v>
      </c>
      <c r="DT231" t="s">
        <v>153</v>
      </c>
      <c r="DU231" t="s">
        <v>153</v>
      </c>
      <c r="DV231" t="s">
        <v>2906</v>
      </c>
      <c r="DW231" t="s">
        <v>153</v>
      </c>
      <c r="DX231" s="2">
        <v>45828</v>
      </c>
      <c r="DY231" t="s">
        <v>2907</v>
      </c>
      <c r="DZ231" t="s">
        <v>242</v>
      </c>
      <c r="EA231" t="s">
        <v>169</v>
      </c>
      <c r="EB231" t="s">
        <v>613</v>
      </c>
      <c r="EC231" t="s">
        <v>2908</v>
      </c>
      <c r="ED231" t="s">
        <v>153</v>
      </c>
      <c r="EE231" t="s">
        <v>2909</v>
      </c>
      <c r="EF231" t="s">
        <v>589</v>
      </c>
      <c r="EG231">
        <v>65712</v>
      </c>
      <c r="EH231" t="s">
        <v>153</v>
      </c>
      <c r="EI231" t="s">
        <v>153</v>
      </c>
      <c r="EJ231" t="s">
        <v>153</v>
      </c>
      <c r="EK231" t="s">
        <v>153</v>
      </c>
      <c r="EM231" t="s">
        <v>2910</v>
      </c>
      <c r="EN231" t="s">
        <v>2911</v>
      </c>
      <c r="EP231" s="4" t="s">
        <v>153</v>
      </c>
      <c r="EQ231" s="4" t="s">
        <v>153</v>
      </c>
      <c r="ER231" s="4" t="s">
        <v>243</v>
      </c>
      <c r="ES231" s="4" t="s">
        <v>2912</v>
      </c>
      <c r="ET231" t="s">
        <v>2913</v>
      </c>
      <c r="EU231" t="s">
        <v>2886</v>
      </c>
      <c r="EV231" t="s">
        <v>2532</v>
      </c>
      <c r="EW231">
        <v>1355174208</v>
      </c>
      <c r="EX231" t="s">
        <v>2914</v>
      </c>
    </row>
    <row r="232" spans="1:154" x14ac:dyDescent="0.25">
      <c r="A232" s="3">
        <v>45854.475428240738</v>
      </c>
      <c r="B232" s="4" t="s">
        <v>153</v>
      </c>
      <c r="C232" s="4" t="s">
        <v>659</v>
      </c>
      <c r="D232" s="4" t="s">
        <v>660</v>
      </c>
      <c r="E232" s="4" t="s">
        <v>661</v>
      </c>
      <c r="F232" s="4" t="s">
        <v>662</v>
      </c>
      <c r="G232" s="4" t="s">
        <v>423</v>
      </c>
      <c r="H232" s="4" t="s">
        <v>323</v>
      </c>
      <c r="I232" s="4" t="s">
        <v>2915</v>
      </c>
      <c r="J232" s="4" t="s">
        <v>2916</v>
      </c>
      <c r="K232" s="5"/>
      <c r="L232" s="4" t="s">
        <v>153</v>
      </c>
      <c r="M232" s="4" t="s">
        <v>153</v>
      </c>
      <c r="N232" s="4" t="s">
        <v>153</v>
      </c>
      <c r="O232" s="4" t="s">
        <v>153</v>
      </c>
      <c r="P232" s="4" t="s">
        <v>153</v>
      </c>
      <c r="Q232" s="4" t="s">
        <v>153</v>
      </c>
      <c r="R232" s="4" t="s">
        <v>153</v>
      </c>
      <c r="S232" s="4" t="s">
        <v>153</v>
      </c>
      <c r="T232" s="4" t="s">
        <v>153</v>
      </c>
      <c r="U232" s="4" t="s">
        <v>153</v>
      </c>
      <c r="V232" s="4" t="s">
        <v>153</v>
      </c>
      <c r="W232" s="4" t="s">
        <v>153</v>
      </c>
      <c r="X232" s="4" t="s">
        <v>153</v>
      </c>
      <c r="Y232" s="4" t="s">
        <v>153</v>
      </c>
      <c r="Z232" s="4" t="s">
        <v>153</v>
      </c>
      <c r="AA232" s="4" t="s">
        <v>153</v>
      </c>
      <c r="AB232" s="4" t="s">
        <v>153</v>
      </c>
      <c r="AC232" s="4" t="s">
        <v>153</v>
      </c>
      <c r="AD232" s="4" t="s">
        <v>153</v>
      </c>
      <c r="AE232" s="4" t="s">
        <v>153</v>
      </c>
      <c r="AF232" s="4" t="s">
        <v>153</v>
      </c>
      <c r="AG232" s="4" t="s">
        <v>153</v>
      </c>
      <c r="AH232" s="4" t="s">
        <v>153</v>
      </c>
      <c r="AI232" s="5"/>
      <c r="AJ232" t="s">
        <v>153</v>
      </c>
      <c r="AK232" s="4"/>
      <c r="AL232" t="s">
        <v>153</v>
      </c>
      <c r="AM232" t="s">
        <v>153</v>
      </c>
      <c r="AO232" t="s">
        <v>153</v>
      </c>
      <c r="AP232" s="4"/>
      <c r="AQ232" t="s">
        <v>153</v>
      </c>
      <c r="AR232" s="5"/>
      <c r="AT232" s="4" t="s">
        <v>153</v>
      </c>
      <c r="AU232" s="4" t="s">
        <v>153</v>
      </c>
      <c r="AV232" s="4" t="s">
        <v>153</v>
      </c>
      <c r="AW232" t="s">
        <v>153</v>
      </c>
      <c r="AX232" t="s">
        <v>153</v>
      </c>
      <c r="AY232" t="s">
        <v>153</v>
      </c>
      <c r="AZ232" t="s">
        <v>153</v>
      </c>
      <c r="BA232" t="s">
        <v>153</v>
      </c>
      <c r="BB232" t="s">
        <v>153</v>
      </c>
      <c r="BC232" t="s">
        <v>153</v>
      </c>
      <c r="BD232" s="4" t="s">
        <v>153</v>
      </c>
      <c r="BE232" s="4" t="s">
        <v>153</v>
      </c>
      <c r="BF232" t="s">
        <v>153</v>
      </c>
      <c r="BG232" s="4" t="s">
        <v>153</v>
      </c>
      <c r="BH232" t="s">
        <v>153</v>
      </c>
      <c r="BI232" s="4" t="s">
        <v>2917</v>
      </c>
      <c r="BJ232" t="s">
        <v>2918</v>
      </c>
      <c r="BK232" s="4" t="s">
        <v>2917</v>
      </c>
      <c r="BL232" t="s">
        <v>2919</v>
      </c>
      <c r="BM232" t="s">
        <v>1485</v>
      </c>
      <c r="BN232" s="4" t="s">
        <v>190</v>
      </c>
      <c r="BO232" s="4" t="s">
        <v>191</v>
      </c>
      <c r="BP232" s="4" t="s">
        <v>2920</v>
      </c>
      <c r="BQ232" s="4" t="s">
        <v>153</v>
      </c>
      <c r="BR232" s="4" t="s">
        <v>2921</v>
      </c>
      <c r="BS232" s="4" t="s">
        <v>153</v>
      </c>
      <c r="BT232" s="4" t="s">
        <v>2922</v>
      </c>
      <c r="BU232" s="4" t="s">
        <v>735</v>
      </c>
      <c r="BV232" s="4">
        <v>7103</v>
      </c>
      <c r="BW232" s="4" t="s">
        <v>430</v>
      </c>
      <c r="BX232" s="4" t="s">
        <v>2923</v>
      </c>
      <c r="BY232" s="4" t="s">
        <v>153</v>
      </c>
      <c r="BZ232" s="4" t="s">
        <v>2922</v>
      </c>
      <c r="CA232" s="4" t="s">
        <v>735</v>
      </c>
      <c r="CB232" s="4">
        <v>7103</v>
      </c>
      <c r="CC232" s="4" t="s">
        <v>430</v>
      </c>
      <c r="CD232" t="s">
        <v>2083</v>
      </c>
      <c r="CE232" s="4" t="s">
        <v>2924</v>
      </c>
      <c r="CF232" s="4" t="s">
        <v>2925</v>
      </c>
      <c r="CG232" s="4" t="s">
        <v>153</v>
      </c>
      <c r="CH232" s="5">
        <v>45658</v>
      </c>
      <c r="CI232" t="s">
        <v>591</v>
      </c>
      <c r="CJ232" s="4">
        <v>20</v>
      </c>
      <c r="CK232" t="s">
        <v>433</v>
      </c>
      <c r="CL232" t="s">
        <v>2926</v>
      </c>
      <c r="CM232" t="s">
        <v>153</v>
      </c>
      <c r="CN232" t="s">
        <v>153</v>
      </c>
      <c r="CO232" s="5"/>
      <c r="CP232" s="4" t="s">
        <v>153</v>
      </c>
      <c r="CQ232" s="4" t="s">
        <v>153</v>
      </c>
      <c r="CR232" t="s">
        <v>153</v>
      </c>
      <c r="CS232" t="s">
        <v>153</v>
      </c>
      <c r="CT232" t="s">
        <v>153</v>
      </c>
      <c r="CU232" t="s">
        <v>153</v>
      </c>
      <c r="CV232" t="s">
        <v>153</v>
      </c>
      <c r="CW232" t="s">
        <v>153</v>
      </c>
      <c r="CX232" t="s">
        <v>153</v>
      </c>
      <c r="CY232" t="s">
        <v>153</v>
      </c>
      <c r="CZ232" t="s">
        <v>153</v>
      </c>
      <c r="DA232" t="s">
        <v>153</v>
      </c>
      <c r="DB232" t="s">
        <v>153</v>
      </c>
      <c r="DC232" t="s">
        <v>153</v>
      </c>
      <c r="DD232" t="s">
        <v>153</v>
      </c>
      <c r="DE232" t="s">
        <v>153</v>
      </c>
      <c r="DF232" t="s">
        <v>153</v>
      </c>
      <c r="DG232" t="s">
        <v>153</v>
      </c>
      <c r="DI232" t="s">
        <v>153</v>
      </c>
      <c r="DJ232" t="s">
        <v>153</v>
      </c>
      <c r="DK232" t="s">
        <v>153</v>
      </c>
      <c r="DL232" t="s">
        <v>153</v>
      </c>
      <c r="DN232" t="s">
        <v>153</v>
      </c>
      <c r="DO232" t="s">
        <v>153</v>
      </c>
      <c r="DP232" t="s">
        <v>153</v>
      </c>
      <c r="DQ232" t="s">
        <v>153</v>
      </c>
      <c r="DR232" t="s">
        <v>153</v>
      </c>
      <c r="DS232" t="s">
        <v>153</v>
      </c>
      <c r="DT232" t="s">
        <v>153</v>
      </c>
      <c r="DU232" t="s">
        <v>153</v>
      </c>
      <c r="DV232" t="s">
        <v>153</v>
      </c>
      <c r="DW232" t="s">
        <v>153</v>
      </c>
      <c r="DX232" s="2"/>
      <c r="DY232" t="s">
        <v>153</v>
      </c>
      <c r="DZ232" t="s">
        <v>153</v>
      </c>
      <c r="EA232" t="s">
        <v>153</v>
      </c>
      <c r="EB232" t="s">
        <v>153</v>
      </c>
      <c r="EC232" t="s">
        <v>153</v>
      </c>
      <c r="ED232" t="s">
        <v>153</v>
      </c>
      <c r="EE232" t="s">
        <v>153</v>
      </c>
      <c r="EF232" t="s">
        <v>153</v>
      </c>
      <c r="EH232" t="s">
        <v>153</v>
      </c>
      <c r="EI232" t="s">
        <v>153</v>
      </c>
      <c r="EJ232" t="s">
        <v>153</v>
      </c>
      <c r="EK232" t="s">
        <v>153</v>
      </c>
      <c r="EM232" t="s">
        <v>153</v>
      </c>
      <c r="EN232" t="s">
        <v>153</v>
      </c>
      <c r="EP232" s="4" t="s">
        <v>153</v>
      </c>
      <c r="EQ232" s="4" t="s">
        <v>153</v>
      </c>
      <c r="ER232" s="4" t="s">
        <v>191</v>
      </c>
      <c r="ES232" s="4" t="s">
        <v>153</v>
      </c>
      <c r="ET232" t="s">
        <v>2927</v>
      </c>
      <c r="EU232" t="s">
        <v>2928</v>
      </c>
      <c r="EV232" t="s">
        <v>2929</v>
      </c>
      <c r="EW232">
        <v>1362482268</v>
      </c>
      <c r="EX232" t="s">
        <v>2930</v>
      </c>
    </row>
    <row r="233" spans="1:154" x14ac:dyDescent="0.25">
      <c r="A233" s="3">
        <v>45857.774918981479</v>
      </c>
      <c r="B233" s="4" t="s">
        <v>153</v>
      </c>
      <c r="C233" s="4" t="s">
        <v>154</v>
      </c>
      <c r="D233" s="4" t="s">
        <v>155</v>
      </c>
      <c r="E233" s="4" t="s">
        <v>156</v>
      </c>
      <c r="F233" s="4" t="s">
        <v>157</v>
      </c>
      <c r="G233" s="4" t="s">
        <v>423</v>
      </c>
      <c r="H233" s="4" t="s">
        <v>159</v>
      </c>
      <c r="I233" s="4" t="s">
        <v>2931</v>
      </c>
      <c r="J233" s="4" t="s">
        <v>2932</v>
      </c>
      <c r="K233" s="5"/>
      <c r="L233" s="4" t="s">
        <v>153</v>
      </c>
      <c r="M233" s="4" t="s">
        <v>153</v>
      </c>
      <c r="N233" s="4" t="s">
        <v>153</v>
      </c>
      <c r="O233" s="4" t="s">
        <v>153</v>
      </c>
      <c r="P233" s="4" t="s">
        <v>153</v>
      </c>
      <c r="Q233" s="4" t="s">
        <v>153</v>
      </c>
      <c r="R233" s="4" t="s">
        <v>153</v>
      </c>
      <c r="S233" s="4" t="s">
        <v>153</v>
      </c>
      <c r="T233" s="4" t="s">
        <v>153</v>
      </c>
      <c r="U233" s="4" t="s">
        <v>153</v>
      </c>
      <c r="V233" s="4" t="s">
        <v>153</v>
      </c>
      <c r="W233" s="4" t="s">
        <v>153</v>
      </c>
      <c r="X233" s="4" t="s">
        <v>153</v>
      </c>
      <c r="Y233" s="4" t="s">
        <v>153</v>
      </c>
      <c r="Z233" s="4" t="s">
        <v>153</v>
      </c>
      <c r="AA233" s="4" t="s">
        <v>153</v>
      </c>
      <c r="AB233" s="4" t="s">
        <v>153</v>
      </c>
      <c r="AC233" s="4" t="s">
        <v>153</v>
      </c>
      <c r="AD233" s="4" t="s">
        <v>153</v>
      </c>
      <c r="AE233" s="4" t="s">
        <v>153</v>
      </c>
      <c r="AF233" s="4" t="s">
        <v>153</v>
      </c>
      <c r="AG233" s="4" t="s">
        <v>153</v>
      </c>
      <c r="AH233" s="4" t="s">
        <v>153</v>
      </c>
      <c r="AI233" s="5"/>
      <c r="AJ233" t="s">
        <v>153</v>
      </c>
      <c r="AK233" s="4"/>
      <c r="AL233" t="s">
        <v>153</v>
      </c>
      <c r="AM233" t="s">
        <v>153</v>
      </c>
      <c r="AO233" t="s">
        <v>153</v>
      </c>
      <c r="AP233" s="4"/>
      <c r="AQ233" t="s">
        <v>153</v>
      </c>
      <c r="AR233" s="5"/>
      <c r="AT233" s="4" t="s">
        <v>153</v>
      </c>
      <c r="AU233" s="4" t="s">
        <v>153</v>
      </c>
      <c r="AV233" s="4" t="s">
        <v>153</v>
      </c>
      <c r="AW233" t="s">
        <v>153</v>
      </c>
      <c r="AX233" t="s">
        <v>153</v>
      </c>
      <c r="AY233" t="s">
        <v>153</v>
      </c>
      <c r="AZ233" t="s">
        <v>153</v>
      </c>
      <c r="BA233" t="s">
        <v>153</v>
      </c>
      <c r="BB233" t="s">
        <v>153</v>
      </c>
      <c r="BC233" t="s">
        <v>153</v>
      </c>
      <c r="BD233" s="4" t="s">
        <v>153</v>
      </c>
      <c r="BE233" s="4" t="s">
        <v>153</v>
      </c>
      <c r="BF233" t="s">
        <v>153</v>
      </c>
      <c r="BG233" s="4" t="s">
        <v>153</v>
      </c>
      <c r="BH233" t="s">
        <v>153</v>
      </c>
      <c r="BI233" s="4" t="s">
        <v>153</v>
      </c>
      <c r="BJ233" t="s">
        <v>153</v>
      </c>
      <c r="BK233" s="4" t="s">
        <v>153</v>
      </c>
      <c r="BL233" t="s">
        <v>2933</v>
      </c>
      <c r="BM233" t="s">
        <v>2934</v>
      </c>
      <c r="BN233" s="4" t="s">
        <v>153</v>
      </c>
      <c r="BO233" s="4" t="s">
        <v>153</v>
      </c>
      <c r="BP233" s="4" t="s">
        <v>153</v>
      </c>
      <c r="BQ233" s="4" t="s">
        <v>153</v>
      </c>
      <c r="BR233" s="4" t="s">
        <v>153</v>
      </c>
      <c r="BS233" s="4" t="s">
        <v>153</v>
      </c>
      <c r="BT233" s="4" t="s">
        <v>153</v>
      </c>
      <c r="BU233" s="4" t="s">
        <v>153</v>
      </c>
      <c r="BV233" s="4"/>
      <c r="BW233" s="4" t="s">
        <v>430</v>
      </c>
      <c r="BX233" s="4" t="s">
        <v>153</v>
      </c>
      <c r="BY233" s="4" t="s">
        <v>153</v>
      </c>
      <c r="BZ233" s="4" t="s">
        <v>153</v>
      </c>
      <c r="CA233" s="4" t="s">
        <v>153</v>
      </c>
      <c r="CB233" s="4"/>
      <c r="CC233" s="4" t="s">
        <v>430</v>
      </c>
      <c r="CD233" t="s">
        <v>153</v>
      </c>
      <c r="CE233" s="4" t="s">
        <v>153</v>
      </c>
      <c r="CF233" s="4" t="s">
        <v>153</v>
      </c>
      <c r="CG233" s="4" t="s">
        <v>153</v>
      </c>
      <c r="CH233" s="5"/>
      <c r="CI233" t="s">
        <v>153</v>
      </c>
      <c r="CJ233" s="4"/>
      <c r="CK233" t="s">
        <v>153</v>
      </c>
      <c r="CL233" t="s">
        <v>153</v>
      </c>
      <c r="CM233" t="s">
        <v>153</v>
      </c>
      <c r="CN233" t="s">
        <v>153</v>
      </c>
      <c r="CO233" s="5"/>
      <c r="CP233" s="4" t="s">
        <v>153</v>
      </c>
      <c r="CQ233" s="4" t="s">
        <v>153</v>
      </c>
      <c r="CR233" t="s">
        <v>153</v>
      </c>
      <c r="CS233" t="s">
        <v>153</v>
      </c>
      <c r="CT233" t="s">
        <v>153</v>
      </c>
      <c r="CU233" t="s">
        <v>153</v>
      </c>
      <c r="CV233" t="s">
        <v>153</v>
      </c>
      <c r="CW233" t="s">
        <v>153</v>
      </c>
      <c r="CX233" t="s">
        <v>153</v>
      </c>
      <c r="CY233" t="s">
        <v>153</v>
      </c>
      <c r="CZ233" t="s">
        <v>153</v>
      </c>
      <c r="DA233" t="s">
        <v>153</v>
      </c>
      <c r="DB233" t="s">
        <v>153</v>
      </c>
      <c r="DC233" t="s">
        <v>153</v>
      </c>
      <c r="DD233" t="s">
        <v>153</v>
      </c>
      <c r="DE233" t="s">
        <v>153</v>
      </c>
      <c r="DF233" t="s">
        <v>153</v>
      </c>
      <c r="DG233" t="s">
        <v>153</v>
      </c>
      <c r="DI233" t="s">
        <v>153</v>
      </c>
      <c r="DJ233" t="s">
        <v>153</v>
      </c>
      <c r="DK233" t="s">
        <v>153</v>
      </c>
      <c r="DL233" t="s">
        <v>153</v>
      </c>
      <c r="DN233" t="s">
        <v>153</v>
      </c>
      <c r="DO233" t="s">
        <v>153</v>
      </c>
      <c r="DP233" t="s">
        <v>153</v>
      </c>
      <c r="DQ233" t="s">
        <v>153</v>
      </c>
      <c r="DR233" t="s">
        <v>153</v>
      </c>
      <c r="DS233" t="s">
        <v>153</v>
      </c>
      <c r="DT233" t="s">
        <v>153</v>
      </c>
      <c r="DU233" t="s">
        <v>153</v>
      </c>
      <c r="DV233" t="s">
        <v>153</v>
      </c>
      <c r="DW233" t="s">
        <v>153</v>
      </c>
      <c r="DX233" s="2"/>
      <c r="DY233" t="s">
        <v>153</v>
      </c>
      <c r="DZ233" t="s">
        <v>153</v>
      </c>
      <c r="EA233" t="s">
        <v>153</v>
      </c>
      <c r="EB233" t="s">
        <v>153</v>
      </c>
      <c r="EC233" t="s">
        <v>153</v>
      </c>
      <c r="ED233" t="s">
        <v>153</v>
      </c>
      <c r="EE233" t="s">
        <v>153</v>
      </c>
      <c r="EF233" t="s">
        <v>153</v>
      </c>
      <c r="EH233" t="s">
        <v>153</v>
      </c>
      <c r="EI233" t="s">
        <v>153</v>
      </c>
      <c r="EJ233" t="s">
        <v>153</v>
      </c>
      <c r="EK233" t="s">
        <v>153</v>
      </c>
      <c r="EM233" t="s">
        <v>153</v>
      </c>
      <c r="EN233" t="s">
        <v>153</v>
      </c>
      <c r="EP233" s="4" t="s">
        <v>153</v>
      </c>
      <c r="EQ233" s="4" t="s">
        <v>153</v>
      </c>
      <c r="ER233" s="4" t="s">
        <v>153</v>
      </c>
      <c r="ES233" s="4" t="s">
        <v>153</v>
      </c>
      <c r="ET233" t="s">
        <v>153</v>
      </c>
      <c r="EU233" t="s">
        <v>2928</v>
      </c>
      <c r="EV233" t="s">
        <v>179</v>
      </c>
      <c r="EW233">
        <v>1363540766</v>
      </c>
      <c r="EX233" t="s">
        <v>2741</v>
      </c>
    </row>
    <row r="234" spans="1:154" x14ac:dyDescent="0.25">
      <c r="A234" s="3">
        <v>45883.537812499999</v>
      </c>
      <c r="B234" s="4" t="s">
        <v>153</v>
      </c>
      <c r="C234" s="4" t="s">
        <v>2935</v>
      </c>
      <c r="D234" s="4" t="s">
        <v>1327</v>
      </c>
      <c r="E234" s="4" t="s">
        <v>2936</v>
      </c>
      <c r="F234" s="4" t="s">
        <v>2937</v>
      </c>
      <c r="G234" s="4" t="s">
        <v>423</v>
      </c>
      <c r="H234" s="4" t="s">
        <v>1119</v>
      </c>
      <c r="I234" s="4" t="s">
        <v>2938</v>
      </c>
      <c r="J234" s="4" t="s">
        <v>153</v>
      </c>
      <c r="K234" s="5"/>
      <c r="L234" s="4" t="s">
        <v>153</v>
      </c>
      <c r="M234" s="4" t="s">
        <v>153</v>
      </c>
      <c r="N234" s="4" t="s">
        <v>153</v>
      </c>
      <c r="O234" s="4" t="s">
        <v>153</v>
      </c>
      <c r="P234" s="4" t="s">
        <v>153</v>
      </c>
      <c r="Q234" s="4" t="s">
        <v>153</v>
      </c>
      <c r="R234" s="4" t="s">
        <v>153</v>
      </c>
      <c r="S234" s="4" t="s">
        <v>153</v>
      </c>
      <c r="T234" s="4" t="s">
        <v>153</v>
      </c>
      <c r="U234" s="4" t="s">
        <v>153</v>
      </c>
      <c r="V234" s="4" t="s">
        <v>153</v>
      </c>
      <c r="W234" s="4" t="s">
        <v>153</v>
      </c>
      <c r="X234" s="4" t="s">
        <v>153</v>
      </c>
      <c r="Y234" s="4" t="s">
        <v>153</v>
      </c>
      <c r="Z234" s="4" t="s">
        <v>153</v>
      </c>
      <c r="AA234" s="4" t="s">
        <v>153</v>
      </c>
      <c r="AB234" s="4" t="s">
        <v>153</v>
      </c>
      <c r="AC234" s="4" t="s">
        <v>153</v>
      </c>
      <c r="AD234" s="4" t="s">
        <v>153</v>
      </c>
      <c r="AE234" s="4" t="s">
        <v>153</v>
      </c>
      <c r="AF234" s="4" t="s">
        <v>153</v>
      </c>
      <c r="AG234" s="4" t="s">
        <v>153</v>
      </c>
      <c r="AH234" s="4" t="s">
        <v>153</v>
      </c>
      <c r="AI234" s="5"/>
      <c r="AJ234" t="s">
        <v>153</v>
      </c>
      <c r="AK234" s="4"/>
      <c r="AL234" t="s">
        <v>153</v>
      </c>
      <c r="AM234" t="s">
        <v>153</v>
      </c>
      <c r="AO234" t="s">
        <v>153</v>
      </c>
      <c r="AP234" s="4"/>
      <c r="AQ234" t="s">
        <v>153</v>
      </c>
      <c r="AR234" s="5"/>
      <c r="AT234" s="4" t="s">
        <v>153</v>
      </c>
      <c r="AU234" s="4" t="s">
        <v>153</v>
      </c>
      <c r="AV234" s="4" t="s">
        <v>153</v>
      </c>
      <c r="AW234" t="s">
        <v>153</v>
      </c>
      <c r="AX234" t="s">
        <v>153</v>
      </c>
      <c r="AY234" t="s">
        <v>153</v>
      </c>
      <c r="AZ234" t="s">
        <v>153</v>
      </c>
      <c r="BA234" t="s">
        <v>153</v>
      </c>
      <c r="BB234" t="s">
        <v>153</v>
      </c>
      <c r="BC234" t="s">
        <v>153</v>
      </c>
      <c r="BD234" s="4" t="s">
        <v>153</v>
      </c>
      <c r="BE234" s="4" t="s">
        <v>153</v>
      </c>
      <c r="BF234" t="s">
        <v>153</v>
      </c>
      <c r="BG234" s="4" t="s">
        <v>153</v>
      </c>
      <c r="BH234" t="s">
        <v>153</v>
      </c>
      <c r="BI234" s="4" t="s">
        <v>2938</v>
      </c>
      <c r="BJ234" t="s">
        <v>153</v>
      </c>
      <c r="BK234" s="4" t="s">
        <v>153</v>
      </c>
      <c r="BL234" t="s">
        <v>1326</v>
      </c>
      <c r="BM234" t="s">
        <v>1327</v>
      </c>
      <c r="BN234" s="4" t="s">
        <v>403</v>
      </c>
      <c r="BO234" s="4" t="s">
        <v>191</v>
      </c>
      <c r="BP234" s="4" t="s">
        <v>2939</v>
      </c>
      <c r="BQ234" s="4" t="s">
        <v>153</v>
      </c>
      <c r="BR234" s="4" t="s">
        <v>2940</v>
      </c>
      <c r="BS234" s="4" t="s">
        <v>2941</v>
      </c>
      <c r="BT234" s="4" t="s">
        <v>1332</v>
      </c>
      <c r="BU234" s="4" t="s">
        <v>331</v>
      </c>
      <c r="BV234" s="4">
        <v>16738</v>
      </c>
      <c r="BW234" s="4" t="s">
        <v>430</v>
      </c>
      <c r="BX234" s="4" t="s">
        <v>2940</v>
      </c>
      <c r="BY234" s="4" t="s">
        <v>2941</v>
      </c>
      <c r="BZ234" s="4" t="s">
        <v>1332</v>
      </c>
      <c r="CA234" s="4" t="s">
        <v>331</v>
      </c>
      <c r="CB234" s="4">
        <v>16738</v>
      </c>
      <c r="CC234" s="4" t="s">
        <v>430</v>
      </c>
      <c r="CD234" t="s">
        <v>2942</v>
      </c>
      <c r="CE234" s="4" t="s">
        <v>1334</v>
      </c>
      <c r="CF234" s="4" t="s">
        <v>1335</v>
      </c>
      <c r="CG234" s="4" t="s">
        <v>153</v>
      </c>
      <c r="CH234" s="5">
        <v>45641</v>
      </c>
      <c r="CI234" t="s">
        <v>2943</v>
      </c>
      <c r="CJ234" s="4">
        <v>5</v>
      </c>
      <c r="CK234" t="s">
        <v>433</v>
      </c>
      <c r="CL234" t="s">
        <v>153</v>
      </c>
      <c r="CM234" t="s">
        <v>153</v>
      </c>
      <c r="CN234" t="s">
        <v>153</v>
      </c>
      <c r="CO234" s="5"/>
      <c r="CP234" s="4" t="s">
        <v>153</v>
      </c>
      <c r="CQ234" s="4" t="s">
        <v>153</v>
      </c>
      <c r="CR234" t="s">
        <v>153</v>
      </c>
      <c r="CS234" t="s">
        <v>153</v>
      </c>
      <c r="CT234" t="s">
        <v>153</v>
      </c>
      <c r="CU234" t="s">
        <v>153</v>
      </c>
      <c r="CV234" t="s">
        <v>153</v>
      </c>
      <c r="CW234" t="s">
        <v>153</v>
      </c>
      <c r="CX234" t="s">
        <v>153</v>
      </c>
      <c r="CY234" t="s">
        <v>153</v>
      </c>
      <c r="CZ234" t="s">
        <v>153</v>
      </c>
      <c r="DA234" t="s">
        <v>153</v>
      </c>
      <c r="DB234" t="s">
        <v>153</v>
      </c>
      <c r="DC234" t="s">
        <v>153</v>
      </c>
      <c r="DD234" t="s">
        <v>153</v>
      </c>
      <c r="DE234" t="s">
        <v>153</v>
      </c>
      <c r="DF234" t="s">
        <v>153</v>
      </c>
      <c r="DG234" t="s">
        <v>153</v>
      </c>
      <c r="DI234" t="s">
        <v>153</v>
      </c>
      <c r="DJ234" t="s">
        <v>153</v>
      </c>
      <c r="DK234" t="s">
        <v>153</v>
      </c>
      <c r="DL234" t="s">
        <v>153</v>
      </c>
      <c r="DN234" t="s">
        <v>153</v>
      </c>
      <c r="DO234" t="s">
        <v>153</v>
      </c>
      <c r="DP234" t="s">
        <v>153</v>
      </c>
      <c r="DQ234" t="s">
        <v>153</v>
      </c>
      <c r="DR234" t="s">
        <v>153</v>
      </c>
      <c r="DS234" t="s">
        <v>153</v>
      </c>
      <c r="DT234" t="s">
        <v>153</v>
      </c>
      <c r="DU234" t="s">
        <v>153</v>
      </c>
      <c r="DV234" t="s">
        <v>153</v>
      </c>
      <c r="DW234" t="s">
        <v>153</v>
      </c>
      <c r="DX234" s="2"/>
      <c r="DY234" t="s">
        <v>153</v>
      </c>
      <c r="DZ234" t="s">
        <v>153</v>
      </c>
      <c r="EA234" t="s">
        <v>153</v>
      </c>
      <c r="EB234" t="s">
        <v>153</v>
      </c>
      <c r="EC234" t="s">
        <v>153</v>
      </c>
      <c r="ED234" t="s">
        <v>153</v>
      </c>
      <c r="EE234" t="s">
        <v>153</v>
      </c>
      <c r="EF234" t="s">
        <v>153</v>
      </c>
      <c r="EH234" t="s">
        <v>153</v>
      </c>
      <c r="EI234" t="s">
        <v>153</v>
      </c>
      <c r="EJ234" t="s">
        <v>153</v>
      </c>
      <c r="EK234" t="s">
        <v>153</v>
      </c>
      <c r="EM234" t="s">
        <v>153</v>
      </c>
      <c r="EN234" t="s">
        <v>153</v>
      </c>
      <c r="EP234" s="4" t="s">
        <v>153</v>
      </c>
      <c r="EQ234" s="4" t="s">
        <v>153</v>
      </c>
      <c r="ER234" s="4" t="s">
        <v>191</v>
      </c>
      <c r="ES234" s="4" t="s">
        <v>153</v>
      </c>
      <c r="ET234" t="s">
        <v>153</v>
      </c>
      <c r="EU234" t="s">
        <v>2944</v>
      </c>
      <c r="EV234" t="s">
        <v>2945</v>
      </c>
      <c r="EW234">
        <v>1371258164</v>
      </c>
      <c r="EX234" t="s">
        <v>2946</v>
      </c>
    </row>
    <row r="235" spans="1:154" x14ac:dyDescent="0.25">
      <c r="A235" s="3">
        <v>45897.447858796295</v>
      </c>
      <c r="B235" s="4" t="s">
        <v>153</v>
      </c>
      <c r="C235" s="4" t="s">
        <v>285</v>
      </c>
      <c r="D235" s="4" t="s">
        <v>286</v>
      </c>
      <c r="E235" s="4" t="s">
        <v>287</v>
      </c>
      <c r="F235" s="4" t="s">
        <v>288</v>
      </c>
      <c r="G235" s="4" t="s">
        <v>185</v>
      </c>
      <c r="H235" s="4" t="s">
        <v>289</v>
      </c>
      <c r="I235" s="4" t="s">
        <v>2947</v>
      </c>
      <c r="J235" s="4" t="s">
        <v>153</v>
      </c>
      <c r="K235" s="5"/>
      <c r="L235" s="4" t="s">
        <v>153</v>
      </c>
      <c r="M235" s="4" t="s">
        <v>2947</v>
      </c>
      <c r="N235" s="4" t="s">
        <v>2948</v>
      </c>
      <c r="O235" s="4" t="s">
        <v>2949</v>
      </c>
      <c r="P235" s="4" t="s">
        <v>2950</v>
      </c>
      <c r="Q235" s="4" t="s">
        <v>294</v>
      </c>
      <c r="R235" s="4" t="s">
        <v>191</v>
      </c>
      <c r="S235" s="4" t="s">
        <v>153</v>
      </c>
      <c r="T235" s="4" t="s">
        <v>153</v>
      </c>
      <c r="U235" s="4" t="s">
        <v>2951</v>
      </c>
      <c r="V235" s="4" t="s">
        <v>153</v>
      </c>
      <c r="W235" s="4" t="s">
        <v>2952</v>
      </c>
      <c r="X235" s="4" t="s">
        <v>195</v>
      </c>
      <c r="Y235" s="4" t="s">
        <v>2953</v>
      </c>
      <c r="Z235" s="4" t="s">
        <v>237</v>
      </c>
      <c r="AA235" s="4" t="s">
        <v>2954</v>
      </c>
      <c r="AB235" s="4" t="s">
        <v>153</v>
      </c>
      <c r="AC235" s="4" t="s">
        <v>2952</v>
      </c>
      <c r="AD235" s="4" t="s">
        <v>195</v>
      </c>
      <c r="AE235" s="4" t="s">
        <v>2955</v>
      </c>
      <c r="AF235" s="4" t="s">
        <v>2956</v>
      </c>
      <c r="AG235" s="4" t="s">
        <v>2957</v>
      </c>
      <c r="AH235" s="4" t="s">
        <v>153</v>
      </c>
      <c r="AI235" s="5">
        <v>45892</v>
      </c>
      <c r="AJ235" t="s">
        <v>240</v>
      </c>
      <c r="AK235" s="4">
        <v>5</v>
      </c>
      <c r="AL235" t="s">
        <v>153</v>
      </c>
      <c r="AM235" t="s">
        <v>153</v>
      </c>
      <c r="AO235" t="s">
        <v>153</v>
      </c>
      <c r="AP235" s="4"/>
      <c r="AQ235" t="s">
        <v>153</v>
      </c>
      <c r="AR235" s="5"/>
      <c r="AT235" s="4" t="s">
        <v>153</v>
      </c>
      <c r="AU235" s="4" t="s">
        <v>153</v>
      </c>
      <c r="AV235" s="4" t="s">
        <v>153</v>
      </c>
      <c r="AW235" t="s">
        <v>153</v>
      </c>
      <c r="AX235" t="s">
        <v>153</v>
      </c>
      <c r="AY235" t="s">
        <v>153</v>
      </c>
      <c r="AZ235" t="s">
        <v>153</v>
      </c>
      <c r="BA235" t="s">
        <v>153</v>
      </c>
      <c r="BB235" t="s">
        <v>153</v>
      </c>
      <c r="BC235" t="s">
        <v>153</v>
      </c>
      <c r="BD235" s="4" t="s">
        <v>153</v>
      </c>
      <c r="BE235" s="4" t="s">
        <v>153</v>
      </c>
      <c r="BF235" t="s">
        <v>153</v>
      </c>
      <c r="BG235" s="4" t="s">
        <v>153</v>
      </c>
      <c r="BH235" t="s">
        <v>153</v>
      </c>
      <c r="BI235" s="4" t="s">
        <v>153</v>
      </c>
      <c r="BJ235" t="s">
        <v>153</v>
      </c>
      <c r="BK235" s="4" t="s">
        <v>153</v>
      </c>
      <c r="BL235" t="s">
        <v>153</v>
      </c>
      <c r="BM235" t="s">
        <v>153</v>
      </c>
      <c r="BN235" s="4" t="s">
        <v>153</v>
      </c>
      <c r="BO235" s="4" t="s">
        <v>153</v>
      </c>
      <c r="BP235" s="4" t="s">
        <v>153</v>
      </c>
      <c r="BQ235" s="4" t="s">
        <v>153</v>
      </c>
      <c r="BR235" s="4" t="s">
        <v>153</v>
      </c>
      <c r="BS235" s="4" t="s">
        <v>153</v>
      </c>
      <c r="BT235" s="4" t="s">
        <v>153</v>
      </c>
      <c r="BU235" s="4" t="s">
        <v>153</v>
      </c>
      <c r="BV235" s="4"/>
      <c r="BW235" s="4" t="s">
        <v>153</v>
      </c>
      <c r="BX235" s="4" t="s">
        <v>153</v>
      </c>
      <c r="BY235" s="4" t="s">
        <v>153</v>
      </c>
      <c r="BZ235" s="4" t="s">
        <v>153</v>
      </c>
      <c r="CA235" s="4" t="s">
        <v>153</v>
      </c>
      <c r="CB235" s="4"/>
      <c r="CC235" s="4" t="s">
        <v>153</v>
      </c>
      <c r="CD235" t="s">
        <v>153</v>
      </c>
      <c r="CE235" s="4" t="s">
        <v>153</v>
      </c>
      <c r="CF235" s="4" t="s">
        <v>153</v>
      </c>
      <c r="CG235" s="4" t="s">
        <v>153</v>
      </c>
      <c r="CH235" s="5"/>
      <c r="CI235" t="s">
        <v>153</v>
      </c>
      <c r="CJ235" s="4"/>
      <c r="CK235" t="s">
        <v>153</v>
      </c>
      <c r="CL235" t="s">
        <v>153</v>
      </c>
      <c r="CM235" t="s">
        <v>153</v>
      </c>
      <c r="CN235" t="s">
        <v>153</v>
      </c>
      <c r="CO235" s="5"/>
      <c r="CP235" s="4" t="s">
        <v>153</v>
      </c>
      <c r="CQ235" s="4" t="s">
        <v>153</v>
      </c>
      <c r="CR235" t="s">
        <v>153</v>
      </c>
      <c r="CS235" t="s">
        <v>153</v>
      </c>
      <c r="CT235" t="s">
        <v>153</v>
      </c>
      <c r="CU235" t="s">
        <v>153</v>
      </c>
      <c r="CV235" t="s">
        <v>153</v>
      </c>
      <c r="CW235" t="s">
        <v>153</v>
      </c>
      <c r="CX235" t="s">
        <v>153</v>
      </c>
      <c r="CY235" t="s">
        <v>153</v>
      </c>
      <c r="CZ235" t="s">
        <v>153</v>
      </c>
      <c r="DA235" t="s">
        <v>153</v>
      </c>
      <c r="DB235" t="s">
        <v>153</v>
      </c>
      <c r="DC235" t="s">
        <v>153</v>
      </c>
      <c r="DD235" t="s">
        <v>153</v>
      </c>
      <c r="DE235" t="s">
        <v>153</v>
      </c>
      <c r="DF235" t="s">
        <v>153</v>
      </c>
      <c r="DG235" t="s">
        <v>153</v>
      </c>
      <c r="DI235" t="s">
        <v>153</v>
      </c>
      <c r="DJ235" t="s">
        <v>153</v>
      </c>
      <c r="DK235" t="s">
        <v>153</v>
      </c>
      <c r="DL235" t="s">
        <v>153</v>
      </c>
      <c r="DN235" t="s">
        <v>153</v>
      </c>
      <c r="DO235" t="s">
        <v>153</v>
      </c>
      <c r="DP235" t="s">
        <v>153</v>
      </c>
      <c r="DQ235" t="s">
        <v>153</v>
      </c>
      <c r="DR235" t="s">
        <v>153</v>
      </c>
      <c r="DS235" t="s">
        <v>153</v>
      </c>
      <c r="DT235" t="s">
        <v>153</v>
      </c>
      <c r="DU235" t="s">
        <v>153</v>
      </c>
      <c r="DV235" t="s">
        <v>153</v>
      </c>
      <c r="DW235" t="s">
        <v>153</v>
      </c>
      <c r="DX235" s="2"/>
      <c r="DY235" t="s">
        <v>153</v>
      </c>
      <c r="DZ235" t="s">
        <v>153</v>
      </c>
      <c r="EA235" t="s">
        <v>153</v>
      </c>
      <c r="EB235" t="s">
        <v>153</v>
      </c>
      <c r="EC235" t="s">
        <v>153</v>
      </c>
      <c r="ED235" t="s">
        <v>153</v>
      </c>
      <c r="EE235" t="s">
        <v>153</v>
      </c>
      <c r="EF235" t="s">
        <v>153</v>
      </c>
      <c r="EH235" t="s">
        <v>153</v>
      </c>
      <c r="EI235" t="s">
        <v>153</v>
      </c>
      <c r="EJ235" t="s">
        <v>153</v>
      </c>
      <c r="EK235" t="s">
        <v>153</v>
      </c>
      <c r="EM235" t="s">
        <v>153</v>
      </c>
      <c r="EN235" t="s">
        <v>153</v>
      </c>
      <c r="EP235" s="4" t="s">
        <v>242</v>
      </c>
      <c r="EQ235" s="4" t="s">
        <v>153</v>
      </c>
      <c r="ER235" s="4" t="s">
        <v>191</v>
      </c>
      <c r="ES235" s="4" t="s">
        <v>153</v>
      </c>
      <c r="ET235" t="s">
        <v>2958</v>
      </c>
      <c r="EU235" t="s">
        <v>2959</v>
      </c>
      <c r="EV235" t="s">
        <v>1899</v>
      </c>
      <c r="EW235">
        <v>1375502862</v>
      </c>
      <c r="EX235" t="s">
        <v>366</v>
      </c>
    </row>
    <row r="236" spans="1:154" x14ac:dyDescent="0.25">
      <c r="A236" s="3">
        <v>45903.56627314815</v>
      </c>
      <c r="B236" s="4" t="s">
        <v>153</v>
      </c>
      <c r="C236" s="4" t="s">
        <v>248</v>
      </c>
      <c r="D236" s="4" t="s">
        <v>249</v>
      </c>
      <c r="E236" s="4" t="s">
        <v>2960</v>
      </c>
      <c r="F236" s="4" t="s">
        <v>251</v>
      </c>
      <c r="G236" s="4" t="s">
        <v>185</v>
      </c>
      <c r="H236" s="4" t="s">
        <v>2672</v>
      </c>
      <c r="I236" s="4" t="s">
        <v>2961</v>
      </c>
      <c r="J236" s="4" t="s">
        <v>153</v>
      </c>
      <c r="K236" s="5"/>
      <c r="L236" s="4" t="s">
        <v>153</v>
      </c>
      <c r="M236" s="4" t="s">
        <v>2962</v>
      </c>
      <c r="N236" s="4" t="s">
        <v>2963</v>
      </c>
      <c r="O236" s="4" t="s">
        <v>2964</v>
      </c>
      <c r="P236" s="4" t="s">
        <v>2965</v>
      </c>
      <c r="Q236" s="4" t="s">
        <v>1486</v>
      </c>
      <c r="R236" s="4" t="s">
        <v>308</v>
      </c>
      <c r="S236" s="4" t="s">
        <v>153</v>
      </c>
      <c r="T236" s="4" t="s">
        <v>2966</v>
      </c>
      <c r="U236" s="4" t="s">
        <v>430</v>
      </c>
      <c r="V236" s="4" t="s">
        <v>153</v>
      </c>
      <c r="W236" s="4" t="s">
        <v>2967</v>
      </c>
      <c r="X236" s="4" t="s">
        <v>347</v>
      </c>
      <c r="Y236" s="4" t="s">
        <v>2968</v>
      </c>
      <c r="Z236" s="4" t="s">
        <v>153</v>
      </c>
      <c r="AA236" s="4" t="s">
        <v>2969</v>
      </c>
      <c r="AB236" s="4" t="s">
        <v>153</v>
      </c>
      <c r="AC236" s="4" t="s">
        <v>2967</v>
      </c>
      <c r="AD236" s="4" t="s">
        <v>347</v>
      </c>
      <c r="AE236" s="4" t="s">
        <v>2968</v>
      </c>
      <c r="AF236" s="4" t="s">
        <v>2970</v>
      </c>
      <c r="AG236" s="4" t="s">
        <v>2971</v>
      </c>
      <c r="AH236" s="4" t="s">
        <v>153</v>
      </c>
      <c r="AI236" s="5">
        <v>45445</v>
      </c>
      <c r="AJ236" t="s">
        <v>318</v>
      </c>
      <c r="AK236" s="4">
        <v>10</v>
      </c>
      <c r="AL236" t="s">
        <v>153</v>
      </c>
      <c r="AM236" t="s">
        <v>153</v>
      </c>
      <c r="AO236" t="s">
        <v>153</v>
      </c>
      <c r="AP236" s="4"/>
      <c r="AQ236" t="s">
        <v>153</v>
      </c>
      <c r="AR236" s="5"/>
      <c r="AT236" s="4" t="s">
        <v>153</v>
      </c>
      <c r="AU236" s="4" t="s">
        <v>153</v>
      </c>
      <c r="AV236" s="4" t="s">
        <v>153</v>
      </c>
      <c r="AW236" t="s">
        <v>153</v>
      </c>
      <c r="AX236" t="s">
        <v>153</v>
      </c>
      <c r="AY236" t="s">
        <v>153</v>
      </c>
      <c r="AZ236" t="s">
        <v>153</v>
      </c>
      <c r="BA236" t="s">
        <v>153</v>
      </c>
      <c r="BB236" t="s">
        <v>153</v>
      </c>
      <c r="BC236" t="s">
        <v>153</v>
      </c>
      <c r="BD236" s="4" t="s">
        <v>153</v>
      </c>
      <c r="BE236" s="4" t="s">
        <v>153</v>
      </c>
      <c r="BF236" t="s">
        <v>153</v>
      </c>
      <c r="BG236" s="4" t="s">
        <v>153</v>
      </c>
      <c r="BH236" t="s">
        <v>153</v>
      </c>
      <c r="BI236" s="4" t="s">
        <v>153</v>
      </c>
      <c r="BJ236" t="s">
        <v>153</v>
      </c>
      <c r="BK236" s="4" t="s">
        <v>153</v>
      </c>
      <c r="BL236" t="s">
        <v>153</v>
      </c>
      <c r="BM236" t="s">
        <v>153</v>
      </c>
      <c r="BN236" s="4" t="s">
        <v>153</v>
      </c>
      <c r="BO236" s="4" t="s">
        <v>153</v>
      </c>
      <c r="BP236" s="4" t="s">
        <v>153</v>
      </c>
      <c r="BQ236" s="4" t="s">
        <v>153</v>
      </c>
      <c r="BR236" s="4" t="s">
        <v>153</v>
      </c>
      <c r="BS236" s="4" t="s">
        <v>153</v>
      </c>
      <c r="BT236" s="4" t="s">
        <v>153</v>
      </c>
      <c r="BU236" s="4" t="s">
        <v>153</v>
      </c>
      <c r="BV236" s="4"/>
      <c r="BW236" s="4" t="s">
        <v>153</v>
      </c>
      <c r="BX236" s="4" t="s">
        <v>153</v>
      </c>
      <c r="BY236" s="4" t="s">
        <v>153</v>
      </c>
      <c r="BZ236" s="4" t="s">
        <v>153</v>
      </c>
      <c r="CA236" s="4" t="s">
        <v>153</v>
      </c>
      <c r="CB236" s="4"/>
      <c r="CC236" s="4" t="s">
        <v>153</v>
      </c>
      <c r="CD236" t="s">
        <v>153</v>
      </c>
      <c r="CE236" s="4" t="s">
        <v>153</v>
      </c>
      <c r="CF236" s="4" t="s">
        <v>153</v>
      </c>
      <c r="CG236" s="4" t="s">
        <v>153</v>
      </c>
      <c r="CH236" s="5"/>
      <c r="CI236" t="s">
        <v>153</v>
      </c>
      <c r="CJ236" s="4"/>
      <c r="CK236" t="s">
        <v>153</v>
      </c>
      <c r="CL236" t="s">
        <v>153</v>
      </c>
      <c r="CM236" t="s">
        <v>153</v>
      </c>
      <c r="CN236" t="s">
        <v>153</v>
      </c>
      <c r="CO236" s="5"/>
      <c r="CP236" s="4" t="s">
        <v>153</v>
      </c>
      <c r="CQ236" s="4" t="s">
        <v>153</v>
      </c>
      <c r="CR236" t="s">
        <v>153</v>
      </c>
      <c r="CS236" t="s">
        <v>153</v>
      </c>
      <c r="CT236" t="s">
        <v>153</v>
      </c>
      <c r="CU236" t="s">
        <v>153</v>
      </c>
      <c r="CV236" t="s">
        <v>153</v>
      </c>
      <c r="CW236" t="s">
        <v>153</v>
      </c>
      <c r="CX236" t="s">
        <v>153</v>
      </c>
      <c r="CY236" t="s">
        <v>153</v>
      </c>
      <c r="CZ236" t="s">
        <v>153</v>
      </c>
      <c r="DA236" t="s">
        <v>153</v>
      </c>
      <c r="DB236" t="s">
        <v>153</v>
      </c>
      <c r="DC236" t="s">
        <v>153</v>
      </c>
      <c r="DD236" t="s">
        <v>153</v>
      </c>
      <c r="DE236" t="s">
        <v>153</v>
      </c>
      <c r="DF236" t="s">
        <v>153</v>
      </c>
      <c r="DG236" t="s">
        <v>153</v>
      </c>
      <c r="DI236" t="s">
        <v>153</v>
      </c>
      <c r="DJ236" t="s">
        <v>153</v>
      </c>
      <c r="DK236" t="s">
        <v>153</v>
      </c>
      <c r="DL236" t="s">
        <v>153</v>
      </c>
      <c r="DN236" t="s">
        <v>153</v>
      </c>
      <c r="DO236" t="s">
        <v>153</v>
      </c>
      <c r="DP236" t="s">
        <v>153</v>
      </c>
      <c r="DQ236" t="s">
        <v>153</v>
      </c>
      <c r="DR236" t="s">
        <v>153</v>
      </c>
      <c r="DS236" t="s">
        <v>153</v>
      </c>
      <c r="DT236" t="s">
        <v>153</v>
      </c>
      <c r="DU236" t="s">
        <v>153</v>
      </c>
      <c r="DV236" t="s">
        <v>153</v>
      </c>
      <c r="DW236" t="s">
        <v>153</v>
      </c>
      <c r="DX236" s="2"/>
      <c r="DY236" t="s">
        <v>153</v>
      </c>
      <c r="DZ236" t="s">
        <v>153</v>
      </c>
      <c r="EA236" t="s">
        <v>153</v>
      </c>
      <c r="EB236" t="s">
        <v>153</v>
      </c>
      <c r="EC236" t="s">
        <v>153</v>
      </c>
      <c r="ED236" t="s">
        <v>153</v>
      </c>
      <c r="EE236" t="s">
        <v>153</v>
      </c>
      <c r="EF236" t="s">
        <v>153</v>
      </c>
      <c r="EH236" t="s">
        <v>153</v>
      </c>
      <c r="EI236" t="s">
        <v>153</v>
      </c>
      <c r="EJ236" t="s">
        <v>153</v>
      </c>
      <c r="EK236" t="s">
        <v>153</v>
      </c>
      <c r="EM236" t="s">
        <v>153</v>
      </c>
      <c r="EN236" t="s">
        <v>153</v>
      </c>
      <c r="EP236" s="4" t="s">
        <v>153</v>
      </c>
      <c r="EQ236" s="4" t="s">
        <v>153</v>
      </c>
      <c r="ER236" s="4" t="s">
        <v>243</v>
      </c>
      <c r="ES236" s="4" t="s">
        <v>244</v>
      </c>
      <c r="ET236" t="s">
        <v>153</v>
      </c>
      <c r="EU236" t="s">
        <v>2972</v>
      </c>
      <c r="EV236" t="s">
        <v>2973</v>
      </c>
      <c r="EW236">
        <v>1377226841</v>
      </c>
      <c r="EX236" t="s">
        <v>2685</v>
      </c>
    </row>
    <row r="237" spans="1:154" x14ac:dyDescent="0.25">
      <c r="A237" s="3">
        <v>45903.573553240742</v>
      </c>
      <c r="B237" s="4" t="s">
        <v>153</v>
      </c>
      <c r="C237" s="4" t="s">
        <v>248</v>
      </c>
      <c r="D237" s="4" t="s">
        <v>249</v>
      </c>
      <c r="E237" s="4" t="s">
        <v>2960</v>
      </c>
      <c r="F237" s="4" t="s">
        <v>251</v>
      </c>
      <c r="G237" s="4" t="s">
        <v>185</v>
      </c>
      <c r="H237" s="4" t="s">
        <v>2672</v>
      </c>
      <c r="I237" s="4" t="s">
        <v>2974</v>
      </c>
      <c r="J237" s="4" t="s">
        <v>153</v>
      </c>
      <c r="K237" s="5"/>
      <c r="L237" s="4" t="s">
        <v>153</v>
      </c>
      <c r="M237" s="4" t="s">
        <v>2974</v>
      </c>
      <c r="N237" s="4" t="s">
        <v>2975</v>
      </c>
      <c r="O237" s="4" t="s">
        <v>2964</v>
      </c>
      <c r="P237" s="4" t="s">
        <v>2965</v>
      </c>
      <c r="Q237" s="4" t="s">
        <v>1486</v>
      </c>
      <c r="R237" s="4" t="s">
        <v>308</v>
      </c>
      <c r="S237" s="4" t="s">
        <v>153</v>
      </c>
      <c r="T237" s="4" t="s">
        <v>2966</v>
      </c>
      <c r="U237" s="4" t="s">
        <v>2976</v>
      </c>
      <c r="V237" s="4" t="s">
        <v>153</v>
      </c>
      <c r="W237" s="4" t="s">
        <v>2977</v>
      </c>
      <c r="X237" s="4" t="s">
        <v>347</v>
      </c>
      <c r="Y237" s="4" t="s">
        <v>2978</v>
      </c>
      <c r="Z237" s="4" t="s">
        <v>197</v>
      </c>
      <c r="AA237" s="4" t="s">
        <v>2979</v>
      </c>
      <c r="AB237" s="4" t="s">
        <v>153</v>
      </c>
      <c r="AC237" s="4" t="s">
        <v>2980</v>
      </c>
      <c r="AD237" s="4" t="s">
        <v>347</v>
      </c>
      <c r="AE237" s="4" t="s">
        <v>2981</v>
      </c>
      <c r="AF237" s="4" t="s">
        <v>2982</v>
      </c>
      <c r="AG237" s="4" t="s">
        <v>2971</v>
      </c>
      <c r="AH237" s="4" t="s">
        <v>153</v>
      </c>
      <c r="AI237" s="5">
        <v>45445</v>
      </c>
      <c r="AJ237" t="s">
        <v>2983</v>
      </c>
      <c r="AK237" s="4">
        <v>10</v>
      </c>
      <c r="AL237" t="s">
        <v>153</v>
      </c>
      <c r="AM237" t="s">
        <v>153</v>
      </c>
      <c r="AO237" t="s">
        <v>153</v>
      </c>
      <c r="AP237" s="4"/>
      <c r="AQ237" t="s">
        <v>153</v>
      </c>
      <c r="AR237" s="5"/>
      <c r="AT237" s="4" t="s">
        <v>153</v>
      </c>
      <c r="AU237" s="4" t="s">
        <v>153</v>
      </c>
      <c r="AV237" s="4" t="s">
        <v>153</v>
      </c>
      <c r="AW237" t="s">
        <v>153</v>
      </c>
      <c r="AX237" t="s">
        <v>153</v>
      </c>
      <c r="AY237" t="s">
        <v>153</v>
      </c>
      <c r="AZ237" t="s">
        <v>153</v>
      </c>
      <c r="BA237" t="s">
        <v>153</v>
      </c>
      <c r="BB237" t="s">
        <v>153</v>
      </c>
      <c r="BC237" t="s">
        <v>153</v>
      </c>
      <c r="BD237" s="4" t="s">
        <v>153</v>
      </c>
      <c r="BE237" s="4" t="s">
        <v>153</v>
      </c>
      <c r="BF237" t="s">
        <v>153</v>
      </c>
      <c r="BG237" s="4" t="s">
        <v>153</v>
      </c>
      <c r="BH237" t="s">
        <v>153</v>
      </c>
      <c r="BI237" s="4" t="s">
        <v>153</v>
      </c>
      <c r="BJ237" t="s">
        <v>153</v>
      </c>
      <c r="BK237" s="4" t="s">
        <v>153</v>
      </c>
      <c r="BL237" t="s">
        <v>153</v>
      </c>
      <c r="BM237" t="s">
        <v>153</v>
      </c>
      <c r="BN237" s="4" t="s">
        <v>153</v>
      </c>
      <c r="BO237" s="4" t="s">
        <v>153</v>
      </c>
      <c r="BP237" s="4" t="s">
        <v>153</v>
      </c>
      <c r="BQ237" s="4" t="s">
        <v>153</v>
      </c>
      <c r="BR237" s="4" t="s">
        <v>153</v>
      </c>
      <c r="BS237" s="4" t="s">
        <v>153</v>
      </c>
      <c r="BT237" s="4" t="s">
        <v>153</v>
      </c>
      <c r="BU237" s="4" t="s">
        <v>153</v>
      </c>
      <c r="BV237" s="4"/>
      <c r="BW237" s="4" t="s">
        <v>153</v>
      </c>
      <c r="BX237" s="4" t="s">
        <v>153</v>
      </c>
      <c r="BY237" s="4" t="s">
        <v>153</v>
      </c>
      <c r="BZ237" s="4" t="s">
        <v>153</v>
      </c>
      <c r="CA237" s="4" t="s">
        <v>153</v>
      </c>
      <c r="CB237" s="4"/>
      <c r="CC237" s="4" t="s">
        <v>153</v>
      </c>
      <c r="CD237" t="s">
        <v>153</v>
      </c>
      <c r="CE237" s="4" t="s">
        <v>153</v>
      </c>
      <c r="CF237" s="4" t="s">
        <v>153</v>
      </c>
      <c r="CG237" s="4" t="s">
        <v>153</v>
      </c>
      <c r="CH237" s="5"/>
      <c r="CI237" t="s">
        <v>153</v>
      </c>
      <c r="CJ237" s="4"/>
      <c r="CK237" t="s">
        <v>153</v>
      </c>
      <c r="CL237" t="s">
        <v>153</v>
      </c>
      <c r="CM237" t="s">
        <v>153</v>
      </c>
      <c r="CN237" t="s">
        <v>153</v>
      </c>
      <c r="CO237" s="5"/>
      <c r="CP237" s="4" t="s">
        <v>153</v>
      </c>
      <c r="CQ237" s="4" t="s">
        <v>153</v>
      </c>
      <c r="CR237" t="s">
        <v>153</v>
      </c>
      <c r="CS237" t="s">
        <v>153</v>
      </c>
      <c r="CT237" t="s">
        <v>153</v>
      </c>
      <c r="CU237" t="s">
        <v>153</v>
      </c>
      <c r="CV237" t="s">
        <v>153</v>
      </c>
      <c r="CW237" t="s">
        <v>153</v>
      </c>
      <c r="CX237" t="s">
        <v>153</v>
      </c>
      <c r="CY237" t="s">
        <v>153</v>
      </c>
      <c r="CZ237" t="s">
        <v>153</v>
      </c>
      <c r="DA237" t="s">
        <v>153</v>
      </c>
      <c r="DB237" t="s">
        <v>153</v>
      </c>
      <c r="DC237" t="s">
        <v>153</v>
      </c>
      <c r="DD237" t="s">
        <v>153</v>
      </c>
      <c r="DE237" t="s">
        <v>153</v>
      </c>
      <c r="DF237" t="s">
        <v>153</v>
      </c>
      <c r="DG237" t="s">
        <v>153</v>
      </c>
      <c r="DI237" t="s">
        <v>153</v>
      </c>
      <c r="DJ237" t="s">
        <v>153</v>
      </c>
      <c r="DK237" t="s">
        <v>153</v>
      </c>
      <c r="DL237" t="s">
        <v>153</v>
      </c>
      <c r="DN237" t="s">
        <v>153</v>
      </c>
      <c r="DO237" t="s">
        <v>153</v>
      </c>
      <c r="DP237" t="s">
        <v>153</v>
      </c>
      <c r="DQ237" t="s">
        <v>153</v>
      </c>
      <c r="DR237" t="s">
        <v>153</v>
      </c>
      <c r="DS237" t="s">
        <v>153</v>
      </c>
      <c r="DT237" t="s">
        <v>153</v>
      </c>
      <c r="DU237" t="s">
        <v>153</v>
      </c>
      <c r="DV237" t="s">
        <v>153</v>
      </c>
      <c r="DW237" t="s">
        <v>153</v>
      </c>
      <c r="DX237" s="2"/>
      <c r="DY237" t="s">
        <v>153</v>
      </c>
      <c r="DZ237" t="s">
        <v>153</v>
      </c>
      <c r="EA237" t="s">
        <v>153</v>
      </c>
      <c r="EB237" t="s">
        <v>153</v>
      </c>
      <c r="EC237" t="s">
        <v>153</v>
      </c>
      <c r="ED237" t="s">
        <v>153</v>
      </c>
      <c r="EE237" t="s">
        <v>153</v>
      </c>
      <c r="EF237" t="s">
        <v>153</v>
      </c>
      <c r="EH237" t="s">
        <v>153</v>
      </c>
      <c r="EI237" t="s">
        <v>153</v>
      </c>
      <c r="EJ237" t="s">
        <v>153</v>
      </c>
      <c r="EK237" t="s">
        <v>153</v>
      </c>
      <c r="EM237" t="s">
        <v>153</v>
      </c>
      <c r="EN237" t="s">
        <v>153</v>
      </c>
      <c r="EP237" s="4" t="s">
        <v>153</v>
      </c>
      <c r="EQ237" s="4" t="s">
        <v>153</v>
      </c>
      <c r="ER237" s="4" t="s">
        <v>243</v>
      </c>
      <c r="ES237" s="4" t="s">
        <v>244</v>
      </c>
      <c r="ET237" t="s">
        <v>153</v>
      </c>
      <c r="EU237" t="s">
        <v>2972</v>
      </c>
      <c r="EV237" t="s">
        <v>2973</v>
      </c>
      <c r="EW237">
        <v>1377231476</v>
      </c>
      <c r="EX237" t="s">
        <v>2685</v>
      </c>
    </row>
    <row r="238" spans="1:154" x14ac:dyDescent="0.25">
      <c r="A238" s="3">
        <v>45903.584756944445</v>
      </c>
      <c r="B238" s="4" t="s">
        <v>153</v>
      </c>
      <c r="C238" s="4" t="s">
        <v>248</v>
      </c>
      <c r="D238" s="4" t="s">
        <v>249</v>
      </c>
      <c r="E238" s="4" t="s">
        <v>2960</v>
      </c>
      <c r="F238" s="4" t="s">
        <v>251</v>
      </c>
      <c r="G238" s="4" t="s">
        <v>185</v>
      </c>
      <c r="H238" s="4" t="s">
        <v>2672</v>
      </c>
      <c r="I238" s="4" t="s">
        <v>2961</v>
      </c>
      <c r="J238" s="4" t="s">
        <v>153</v>
      </c>
      <c r="K238" s="5"/>
      <c r="L238" s="4" t="s">
        <v>153</v>
      </c>
      <c r="M238" s="4" t="s">
        <v>2984</v>
      </c>
      <c r="N238" s="4" t="s">
        <v>1296</v>
      </c>
      <c r="O238" s="4" t="s">
        <v>2985</v>
      </c>
      <c r="P238" s="4" t="s">
        <v>2986</v>
      </c>
      <c r="Q238" s="4" t="s">
        <v>190</v>
      </c>
      <c r="R238" s="4" t="s">
        <v>666</v>
      </c>
      <c r="S238" s="4" t="s">
        <v>153</v>
      </c>
      <c r="T238" s="4" t="s">
        <v>2987</v>
      </c>
      <c r="U238" s="4" t="s">
        <v>2988</v>
      </c>
      <c r="V238" s="4" t="s">
        <v>153</v>
      </c>
      <c r="W238" s="4" t="s">
        <v>2989</v>
      </c>
      <c r="X238" s="4" t="s">
        <v>347</v>
      </c>
      <c r="Y238" s="4" t="s">
        <v>2990</v>
      </c>
      <c r="Z238" s="4" t="s">
        <v>197</v>
      </c>
      <c r="AA238" s="4" t="s">
        <v>2991</v>
      </c>
      <c r="AB238" s="4" t="s">
        <v>153</v>
      </c>
      <c r="AC238" s="4" t="s">
        <v>2989</v>
      </c>
      <c r="AD238" s="4" t="s">
        <v>347</v>
      </c>
      <c r="AE238" s="4" t="s">
        <v>2990</v>
      </c>
      <c r="AF238" s="4" t="s">
        <v>2992</v>
      </c>
      <c r="AG238" s="4" t="s">
        <v>2993</v>
      </c>
      <c r="AH238" s="4" t="s">
        <v>153</v>
      </c>
      <c r="AI238" s="5">
        <v>45445</v>
      </c>
      <c r="AJ238" t="s">
        <v>2683</v>
      </c>
      <c r="AK238" s="4">
        <v>5</v>
      </c>
      <c r="AL238" t="s">
        <v>153</v>
      </c>
      <c r="AM238" t="s">
        <v>153</v>
      </c>
      <c r="AO238" t="s">
        <v>153</v>
      </c>
      <c r="AP238" s="4"/>
      <c r="AQ238" t="s">
        <v>153</v>
      </c>
      <c r="AR238" s="5"/>
      <c r="AT238" s="4" t="s">
        <v>153</v>
      </c>
      <c r="AU238" s="4" t="s">
        <v>153</v>
      </c>
      <c r="AV238" s="4" t="s">
        <v>153</v>
      </c>
      <c r="AW238" t="s">
        <v>153</v>
      </c>
      <c r="AX238" t="s">
        <v>153</v>
      </c>
      <c r="AY238" t="s">
        <v>153</v>
      </c>
      <c r="AZ238" t="s">
        <v>153</v>
      </c>
      <c r="BA238" t="s">
        <v>153</v>
      </c>
      <c r="BB238" t="s">
        <v>153</v>
      </c>
      <c r="BC238" t="s">
        <v>153</v>
      </c>
      <c r="BD238" s="4" t="s">
        <v>153</v>
      </c>
      <c r="BE238" s="4" t="s">
        <v>153</v>
      </c>
      <c r="BF238" t="s">
        <v>153</v>
      </c>
      <c r="BG238" s="4" t="s">
        <v>153</v>
      </c>
      <c r="BH238" t="s">
        <v>153</v>
      </c>
      <c r="BI238" s="4" t="s">
        <v>153</v>
      </c>
      <c r="BJ238" t="s">
        <v>153</v>
      </c>
      <c r="BK238" s="4" t="s">
        <v>153</v>
      </c>
      <c r="BL238" t="s">
        <v>153</v>
      </c>
      <c r="BM238" t="s">
        <v>153</v>
      </c>
      <c r="BN238" s="4" t="s">
        <v>153</v>
      </c>
      <c r="BO238" s="4" t="s">
        <v>153</v>
      </c>
      <c r="BP238" s="4" t="s">
        <v>153</v>
      </c>
      <c r="BQ238" s="4" t="s">
        <v>153</v>
      </c>
      <c r="BR238" s="4" t="s">
        <v>153</v>
      </c>
      <c r="BS238" s="4" t="s">
        <v>153</v>
      </c>
      <c r="BT238" s="4" t="s">
        <v>153</v>
      </c>
      <c r="BU238" s="4" t="s">
        <v>153</v>
      </c>
      <c r="BV238" s="4"/>
      <c r="BW238" s="4" t="s">
        <v>153</v>
      </c>
      <c r="BX238" s="4" t="s">
        <v>153</v>
      </c>
      <c r="BY238" s="4" t="s">
        <v>153</v>
      </c>
      <c r="BZ238" s="4" t="s">
        <v>153</v>
      </c>
      <c r="CA238" s="4" t="s">
        <v>153</v>
      </c>
      <c r="CB238" s="4"/>
      <c r="CC238" s="4" t="s">
        <v>153</v>
      </c>
      <c r="CD238" t="s">
        <v>153</v>
      </c>
      <c r="CE238" s="4" t="s">
        <v>153</v>
      </c>
      <c r="CF238" s="4" t="s">
        <v>153</v>
      </c>
      <c r="CG238" s="4" t="s">
        <v>153</v>
      </c>
      <c r="CH238" s="5"/>
      <c r="CI238" t="s">
        <v>153</v>
      </c>
      <c r="CJ238" s="4"/>
      <c r="CK238" t="s">
        <v>153</v>
      </c>
      <c r="CL238" t="s">
        <v>153</v>
      </c>
      <c r="CM238" t="s">
        <v>153</v>
      </c>
      <c r="CN238" t="s">
        <v>153</v>
      </c>
      <c r="CO238" s="5"/>
      <c r="CP238" s="4" t="s">
        <v>153</v>
      </c>
      <c r="CQ238" s="4" t="s">
        <v>153</v>
      </c>
      <c r="CR238" t="s">
        <v>153</v>
      </c>
      <c r="CS238" t="s">
        <v>153</v>
      </c>
      <c r="CT238" t="s">
        <v>153</v>
      </c>
      <c r="CU238" t="s">
        <v>153</v>
      </c>
      <c r="CV238" t="s">
        <v>153</v>
      </c>
      <c r="CW238" t="s">
        <v>153</v>
      </c>
      <c r="CX238" t="s">
        <v>153</v>
      </c>
      <c r="CY238" t="s">
        <v>153</v>
      </c>
      <c r="CZ238" t="s">
        <v>153</v>
      </c>
      <c r="DA238" t="s">
        <v>153</v>
      </c>
      <c r="DB238" t="s">
        <v>153</v>
      </c>
      <c r="DC238" t="s">
        <v>153</v>
      </c>
      <c r="DD238" t="s">
        <v>153</v>
      </c>
      <c r="DE238" t="s">
        <v>153</v>
      </c>
      <c r="DF238" t="s">
        <v>153</v>
      </c>
      <c r="DG238" t="s">
        <v>153</v>
      </c>
      <c r="DI238" t="s">
        <v>153</v>
      </c>
      <c r="DJ238" t="s">
        <v>153</v>
      </c>
      <c r="DK238" t="s">
        <v>153</v>
      </c>
      <c r="DL238" t="s">
        <v>153</v>
      </c>
      <c r="DN238" t="s">
        <v>153</v>
      </c>
      <c r="DO238" t="s">
        <v>153</v>
      </c>
      <c r="DP238" t="s">
        <v>153</v>
      </c>
      <c r="DQ238" t="s">
        <v>153</v>
      </c>
      <c r="DR238" t="s">
        <v>153</v>
      </c>
      <c r="DS238" t="s">
        <v>153</v>
      </c>
      <c r="DT238" t="s">
        <v>153</v>
      </c>
      <c r="DU238" t="s">
        <v>153</v>
      </c>
      <c r="DV238" t="s">
        <v>153</v>
      </c>
      <c r="DW238" t="s">
        <v>153</v>
      </c>
      <c r="DX238" s="2"/>
      <c r="DY238" t="s">
        <v>153</v>
      </c>
      <c r="DZ238" t="s">
        <v>153</v>
      </c>
      <c r="EA238" t="s">
        <v>153</v>
      </c>
      <c r="EB238" t="s">
        <v>153</v>
      </c>
      <c r="EC238" t="s">
        <v>153</v>
      </c>
      <c r="ED238" t="s">
        <v>153</v>
      </c>
      <c r="EE238" t="s">
        <v>153</v>
      </c>
      <c r="EF238" t="s">
        <v>153</v>
      </c>
      <c r="EH238" t="s">
        <v>153</v>
      </c>
      <c r="EI238" t="s">
        <v>153</v>
      </c>
      <c r="EJ238" t="s">
        <v>153</v>
      </c>
      <c r="EK238" t="s">
        <v>153</v>
      </c>
      <c r="EM238" t="s">
        <v>153</v>
      </c>
      <c r="EN238" t="s">
        <v>153</v>
      </c>
      <c r="EP238" s="4" t="s">
        <v>153</v>
      </c>
      <c r="EQ238" s="4" t="s">
        <v>153</v>
      </c>
      <c r="ER238" s="4" t="s">
        <v>176</v>
      </c>
      <c r="ES238" s="4" t="s">
        <v>153</v>
      </c>
      <c r="ET238" t="s">
        <v>153</v>
      </c>
      <c r="EU238" t="s">
        <v>2972</v>
      </c>
      <c r="EV238" t="s">
        <v>2973</v>
      </c>
      <c r="EW238">
        <v>1377238271</v>
      </c>
      <c r="EX238" t="s">
        <v>2685</v>
      </c>
    </row>
    <row r="239" spans="1:154" x14ac:dyDescent="0.25">
      <c r="A239" s="3">
        <v>45905.495636574073</v>
      </c>
      <c r="B239" s="4" t="s">
        <v>153</v>
      </c>
      <c r="C239" s="4" t="s">
        <v>502</v>
      </c>
      <c r="D239" s="4" t="s">
        <v>503</v>
      </c>
      <c r="E239" s="4" t="s">
        <v>504</v>
      </c>
      <c r="F239" s="4" t="s">
        <v>505</v>
      </c>
      <c r="G239" s="4" t="s">
        <v>423</v>
      </c>
      <c r="H239" s="4" t="s">
        <v>2214</v>
      </c>
      <c r="I239" s="4" t="s">
        <v>2994</v>
      </c>
      <c r="J239" s="4" t="s">
        <v>2995</v>
      </c>
      <c r="K239" s="5"/>
      <c r="L239" s="4" t="s">
        <v>153</v>
      </c>
      <c r="M239" s="4" t="s">
        <v>153</v>
      </c>
      <c r="N239" s="4" t="s">
        <v>153</v>
      </c>
      <c r="O239" s="4" t="s">
        <v>153</v>
      </c>
      <c r="P239" s="4" t="s">
        <v>153</v>
      </c>
      <c r="Q239" s="4" t="s">
        <v>153</v>
      </c>
      <c r="R239" s="4" t="s">
        <v>153</v>
      </c>
      <c r="S239" s="4" t="s">
        <v>153</v>
      </c>
      <c r="T239" s="4" t="s">
        <v>153</v>
      </c>
      <c r="U239" s="4" t="s">
        <v>153</v>
      </c>
      <c r="V239" s="4" t="s">
        <v>153</v>
      </c>
      <c r="W239" s="4" t="s">
        <v>153</v>
      </c>
      <c r="X239" s="4" t="s">
        <v>153</v>
      </c>
      <c r="Y239" s="4" t="s">
        <v>153</v>
      </c>
      <c r="Z239" s="4" t="s">
        <v>153</v>
      </c>
      <c r="AA239" s="4" t="s">
        <v>153</v>
      </c>
      <c r="AB239" s="4" t="s">
        <v>153</v>
      </c>
      <c r="AC239" s="4" t="s">
        <v>153</v>
      </c>
      <c r="AD239" s="4" t="s">
        <v>153</v>
      </c>
      <c r="AE239" s="4" t="s">
        <v>153</v>
      </c>
      <c r="AF239" s="4" t="s">
        <v>153</v>
      </c>
      <c r="AG239" s="4" t="s">
        <v>153</v>
      </c>
      <c r="AH239" s="4" t="s">
        <v>153</v>
      </c>
      <c r="AI239" s="5"/>
      <c r="AJ239" t="s">
        <v>153</v>
      </c>
      <c r="AK239" s="4"/>
      <c r="AL239" t="s">
        <v>153</v>
      </c>
      <c r="AM239" t="s">
        <v>153</v>
      </c>
      <c r="AO239" t="s">
        <v>153</v>
      </c>
      <c r="AP239" s="4"/>
      <c r="AQ239" t="s">
        <v>153</v>
      </c>
      <c r="AR239" s="5"/>
      <c r="AT239" s="4" t="s">
        <v>153</v>
      </c>
      <c r="AU239" s="4" t="s">
        <v>153</v>
      </c>
      <c r="AV239" s="4" t="s">
        <v>153</v>
      </c>
      <c r="AW239" t="s">
        <v>153</v>
      </c>
      <c r="AX239" t="s">
        <v>153</v>
      </c>
      <c r="AY239" t="s">
        <v>153</v>
      </c>
      <c r="AZ239" t="s">
        <v>153</v>
      </c>
      <c r="BA239" t="s">
        <v>153</v>
      </c>
      <c r="BB239" t="s">
        <v>153</v>
      </c>
      <c r="BC239" t="s">
        <v>153</v>
      </c>
      <c r="BD239" s="4" t="s">
        <v>153</v>
      </c>
      <c r="BE239" s="4" t="s">
        <v>153</v>
      </c>
      <c r="BF239" t="s">
        <v>153</v>
      </c>
      <c r="BG239" s="4" t="s">
        <v>153</v>
      </c>
      <c r="BH239" t="s">
        <v>153</v>
      </c>
      <c r="BI239" s="4" t="s">
        <v>2994</v>
      </c>
      <c r="BJ239" t="s">
        <v>153</v>
      </c>
      <c r="BK239" s="4" t="s">
        <v>2996</v>
      </c>
      <c r="BL239" t="s">
        <v>2997</v>
      </c>
      <c r="BM239" t="s">
        <v>2998</v>
      </c>
      <c r="BN239" s="4" t="s">
        <v>190</v>
      </c>
      <c r="BO239" s="4" t="s">
        <v>191</v>
      </c>
      <c r="BP239" s="4" t="s">
        <v>153</v>
      </c>
      <c r="BQ239" s="4" t="s">
        <v>153</v>
      </c>
      <c r="BR239" s="4" t="s">
        <v>153</v>
      </c>
      <c r="BS239" s="4" t="s">
        <v>153</v>
      </c>
      <c r="BT239" s="4" t="s">
        <v>153</v>
      </c>
      <c r="BU239" s="4" t="s">
        <v>153</v>
      </c>
      <c r="BV239" s="4"/>
      <c r="BW239" s="4" t="s">
        <v>430</v>
      </c>
      <c r="BX239" s="4" t="s">
        <v>2999</v>
      </c>
      <c r="BY239" s="4" t="s">
        <v>153</v>
      </c>
      <c r="BZ239" s="4" t="s">
        <v>3000</v>
      </c>
      <c r="CA239" s="4" t="s">
        <v>589</v>
      </c>
      <c r="CB239" s="4">
        <v>73625</v>
      </c>
      <c r="CC239" s="4" t="s">
        <v>430</v>
      </c>
      <c r="CD239" t="s">
        <v>2083</v>
      </c>
      <c r="CE239" s="4" t="s">
        <v>153</v>
      </c>
      <c r="CF239" s="4" t="s">
        <v>153</v>
      </c>
      <c r="CG239" s="4" t="s">
        <v>153</v>
      </c>
      <c r="CH239" s="5"/>
      <c r="CI239" t="s">
        <v>3001</v>
      </c>
      <c r="CJ239" s="4">
        <v>0</v>
      </c>
      <c r="CK239" t="s">
        <v>960</v>
      </c>
      <c r="CL239" t="s">
        <v>3002</v>
      </c>
      <c r="CM239" t="s">
        <v>3003</v>
      </c>
      <c r="CN239" t="s">
        <v>153</v>
      </c>
      <c r="CO239" s="5"/>
      <c r="CP239" s="4" t="s">
        <v>153</v>
      </c>
      <c r="CQ239" s="4" t="s">
        <v>153</v>
      </c>
      <c r="CR239" t="s">
        <v>153</v>
      </c>
      <c r="CS239" t="s">
        <v>153</v>
      </c>
      <c r="CT239" t="s">
        <v>153</v>
      </c>
      <c r="CU239" t="s">
        <v>153</v>
      </c>
      <c r="CV239" t="s">
        <v>153</v>
      </c>
      <c r="CW239" t="s">
        <v>153</v>
      </c>
      <c r="CX239" t="s">
        <v>153</v>
      </c>
      <c r="CY239" t="s">
        <v>153</v>
      </c>
      <c r="CZ239" t="s">
        <v>153</v>
      </c>
      <c r="DA239" t="s">
        <v>153</v>
      </c>
      <c r="DB239" t="s">
        <v>153</v>
      </c>
      <c r="DC239" t="s">
        <v>153</v>
      </c>
      <c r="DD239" t="s">
        <v>153</v>
      </c>
      <c r="DE239" t="s">
        <v>153</v>
      </c>
      <c r="DF239" t="s">
        <v>153</v>
      </c>
      <c r="DG239" t="s">
        <v>153</v>
      </c>
      <c r="DI239" t="s">
        <v>153</v>
      </c>
      <c r="DJ239" t="s">
        <v>153</v>
      </c>
      <c r="DK239" t="s">
        <v>153</v>
      </c>
      <c r="DL239" t="s">
        <v>153</v>
      </c>
      <c r="DN239" t="s">
        <v>153</v>
      </c>
      <c r="DO239" t="s">
        <v>153</v>
      </c>
      <c r="DP239" t="s">
        <v>153</v>
      </c>
      <c r="DQ239" t="s">
        <v>153</v>
      </c>
      <c r="DR239" t="s">
        <v>153</v>
      </c>
      <c r="DS239" t="s">
        <v>153</v>
      </c>
      <c r="DT239" t="s">
        <v>153</v>
      </c>
      <c r="DU239" t="s">
        <v>153</v>
      </c>
      <c r="DV239" t="s">
        <v>153</v>
      </c>
      <c r="DW239" t="s">
        <v>153</v>
      </c>
      <c r="DX239" s="2"/>
      <c r="DY239" t="s">
        <v>153</v>
      </c>
      <c r="DZ239" t="s">
        <v>153</v>
      </c>
      <c r="EA239" t="s">
        <v>153</v>
      </c>
      <c r="EB239" t="s">
        <v>153</v>
      </c>
      <c r="EC239" t="s">
        <v>153</v>
      </c>
      <c r="ED239" t="s">
        <v>153</v>
      </c>
      <c r="EE239" t="s">
        <v>153</v>
      </c>
      <c r="EF239" t="s">
        <v>153</v>
      </c>
      <c r="EH239" t="s">
        <v>153</v>
      </c>
      <c r="EI239" t="s">
        <v>153</v>
      </c>
      <c r="EJ239" t="s">
        <v>153</v>
      </c>
      <c r="EK239" t="s">
        <v>153</v>
      </c>
      <c r="EM239" t="s">
        <v>153</v>
      </c>
      <c r="EN239" t="s">
        <v>153</v>
      </c>
      <c r="EP239" s="4" t="s">
        <v>153</v>
      </c>
      <c r="EQ239" s="4" t="s">
        <v>153</v>
      </c>
      <c r="ER239" s="4" t="s">
        <v>153</v>
      </c>
      <c r="ES239" s="4" t="s">
        <v>153</v>
      </c>
      <c r="ET239" t="s">
        <v>153</v>
      </c>
      <c r="EU239" t="s">
        <v>2959</v>
      </c>
      <c r="EV239" t="s">
        <v>2532</v>
      </c>
      <c r="EW239">
        <v>1377956719</v>
      </c>
      <c r="EX239" t="s">
        <v>2533</v>
      </c>
    </row>
    <row r="240" spans="1:154" x14ac:dyDescent="0.25">
      <c r="A240" s="3">
        <v>45905.510266203702</v>
      </c>
      <c r="B240" s="4" t="s">
        <v>153</v>
      </c>
      <c r="C240" s="4" t="s">
        <v>502</v>
      </c>
      <c r="D240" s="4" t="s">
        <v>503</v>
      </c>
      <c r="E240" s="4" t="s">
        <v>504</v>
      </c>
      <c r="F240" s="4" t="s">
        <v>505</v>
      </c>
      <c r="G240" s="4" t="s">
        <v>423</v>
      </c>
      <c r="H240" s="4" t="s">
        <v>2214</v>
      </c>
      <c r="I240" s="4" t="s">
        <v>3004</v>
      </c>
      <c r="J240" s="4" t="s">
        <v>3005</v>
      </c>
      <c r="K240" s="5"/>
      <c r="L240" s="4" t="s">
        <v>153</v>
      </c>
      <c r="M240" s="4" t="s">
        <v>153</v>
      </c>
      <c r="N240" s="4" t="s">
        <v>153</v>
      </c>
      <c r="O240" s="4" t="s">
        <v>153</v>
      </c>
      <c r="P240" s="4" t="s">
        <v>153</v>
      </c>
      <c r="Q240" s="4" t="s">
        <v>153</v>
      </c>
      <c r="R240" s="4" t="s">
        <v>153</v>
      </c>
      <c r="S240" s="4" t="s">
        <v>153</v>
      </c>
      <c r="T240" s="4" t="s">
        <v>153</v>
      </c>
      <c r="U240" s="4" t="s">
        <v>153</v>
      </c>
      <c r="V240" s="4" t="s">
        <v>153</v>
      </c>
      <c r="W240" s="4" t="s">
        <v>153</v>
      </c>
      <c r="X240" s="4" t="s">
        <v>153</v>
      </c>
      <c r="Y240" s="4" t="s">
        <v>153</v>
      </c>
      <c r="Z240" s="4" t="s">
        <v>153</v>
      </c>
      <c r="AA240" s="4" t="s">
        <v>153</v>
      </c>
      <c r="AB240" s="4" t="s">
        <v>153</v>
      </c>
      <c r="AC240" s="4" t="s">
        <v>153</v>
      </c>
      <c r="AD240" s="4" t="s">
        <v>153</v>
      </c>
      <c r="AE240" s="4" t="s">
        <v>153</v>
      </c>
      <c r="AF240" s="4" t="s">
        <v>153</v>
      </c>
      <c r="AG240" s="4" t="s">
        <v>153</v>
      </c>
      <c r="AH240" s="4" t="s">
        <v>153</v>
      </c>
      <c r="AI240" s="5"/>
      <c r="AJ240" t="s">
        <v>153</v>
      </c>
      <c r="AK240" s="4"/>
      <c r="AL240" t="s">
        <v>153</v>
      </c>
      <c r="AM240" t="s">
        <v>153</v>
      </c>
      <c r="AO240" t="s">
        <v>153</v>
      </c>
      <c r="AP240" s="4"/>
      <c r="AQ240" t="s">
        <v>153</v>
      </c>
      <c r="AR240" s="5"/>
      <c r="AT240" s="4" t="s">
        <v>153</v>
      </c>
      <c r="AU240" s="4" t="s">
        <v>153</v>
      </c>
      <c r="AV240" s="4" t="s">
        <v>153</v>
      </c>
      <c r="AW240" t="s">
        <v>153</v>
      </c>
      <c r="AX240" t="s">
        <v>153</v>
      </c>
      <c r="AY240" t="s">
        <v>153</v>
      </c>
      <c r="AZ240" t="s">
        <v>153</v>
      </c>
      <c r="BA240" t="s">
        <v>153</v>
      </c>
      <c r="BB240" t="s">
        <v>153</v>
      </c>
      <c r="BC240" t="s">
        <v>153</v>
      </c>
      <c r="BD240" s="4" t="s">
        <v>153</v>
      </c>
      <c r="BE240" s="4" t="s">
        <v>153</v>
      </c>
      <c r="BF240" t="s">
        <v>153</v>
      </c>
      <c r="BG240" s="4" t="s">
        <v>153</v>
      </c>
      <c r="BH240" t="s">
        <v>153</v>
      </c>
      <c r="BI240" s="4" t="s">
        <v>3006</v>
      </c>
      <c r="BJ240" t="s">
        <v>153</v>
      </c>
      <c r="BK240" s="4" t="s">
        <v>153</v>
      </c>
      <c r="BL240" t="s">
        <v>169</v>
      </c>
      <c r="BM240" t="s">
        <v>613</v>
      </c>
      <c r="BN240" s="4" t="s">
        <v>190</v>
      </c>
      <c r="BO240" s="4" t="s">
        <v>666</v>
      </c>
      <c r="BP240" s="4" t="s">
        <v>153</v>
      </c>
      <c r="BQ240" s="4" t="s">
        <v>153</v>
      </c>
      <c r="BR240" s="4" t="s">
        <v>153</v>
      </c>
      <c r="BS240" s="4" t="s">
        <v>153</v>
      </c>
      <c r="BT240" s="4" t="s">
        <v>153</v>
      </c>
      <c r="BU240" s="4" t="s">
        <v>153</v>
      </c>
      <c r="BV240" s="4"/>
      <c r="BW240" s="4" t="s">
        <v>430</v>
      </c>
      <c r="BX240" s="4" t="s">
        <v>3007</v>
      </c>
      <c r="BY240" s="4" t="s">
        <v>153</v>
      </c>
      <c r="BZ240" s="4" t="s">
        <v>3008</v>
      </c>
      <c r="CA240" s="4" t="s">
        <v>476</v>
      </c>
      <c r="CB240" s="4">
        <v>66937</v>
      </c>
      <c r="CC240" s="4" t="s">
        <v>430</v>
      </c>
      <c r="CD240" t="s">
        <v>2083</v>
      </c>
      <c r="CE240" s="4" t="s">
        <v>2911</v>
      </c>
      <c r="CF240" s="4" t="s">
        <v>2910</v>
      </c>
      <c r="CG240" s="4" t="s">
        <v>153</v>
      </c>
      <c r="CH240" s="5">
        <v>45900</v>
      </c>
      <c r="CI240" t="s">
        <v>445</v>
      </c>
      <c r="CJ240" s="4">
        <v>0</v>
      </c>
      <c r="CK240" t="s">
        <v>433</v>
      </c>
      <c r="CL240" t="s">
        <v>1121</v>
      </c>
      <c r="CM240" t="s">
        <v>3009</v>
      </c>
      <c r="CN240" t="s">
        <v>153</v>
      </c>
      <c r="CO240" s="5"/>
      <c r="CP240" s="4" t="s">
        <v>153</v>
      </c>
      <c r="CQ240" s="4" t="s">
        <v>153</v>
      </c>
      <c r="CR240" t="s">
        <v>153</v>
      </c>
      <c r="CS240" t="s">
        <v>153</v>
      </c>
      <c r="CT240" t="s">
        <v>153</v>
      </c>
      <c r="CU240" t="s">
        <v>153</v>
      </c>
      <c r="CV240" t="s">
        <v>153</v>
      </c>
      <c r="CW240" t="s">
        <v>153</v>
      </c>
      <c r="CX240" t="s">
        <v>153</v>
      </c>
      <c r="CY240" t="s">
        <v>153</v>
      </c>
      <c r="CZ240" t="s">
        <v>153</v>
      </c>
      <c r="DA240" t="s">
        <v>153</v>
      </c>
      <c r="DB240" t="s">
        <v>153</v>
      </c>
      <c r="DC240" t="s">
        <v>153</v>
      </c>
      <c r="DD240" t="s">
        <v>153</v>
      </c>
      <c r="DE240" t="s">
        <v>153</v>
      </c>
      <c r="DF240" t="s">
        <v>153</v>
      </c>
      <c r="DG240" t="s">
        <v>153</v>
      </c>
      <c r="DI240" t="s">
        <v>153</v>
      </c>
      <c r="DJ240" t="s">
        <v>153</v>
      </c>
      <c r="DK240" t="s">
        <v>153</v>
      </c>
      <c r="DL240" t="s">
        <v>153</v>
      </c>
      <c r="DN240" t="s">
        <v>153</v>
      </c>
      <c r="DO240" t="s">
        <v>153</v>
      </c>
      <c r="DP240" t="s">
        <v>153</v>
      </c>
      <c r="DQ240" t="s">
        <v>153</v>
      </c>
      <c r="DR240" t="s">
        <v>153</v>
      </c>
      <c r="DS240" t="s">
        <v>153</v>
      </c>
      <c r="DT240" t="s">
        <v>153</v>
      </c>
      <c r="DU240" t="s">
        <v>153</v>
      </c>
      <c r="DV240" t="s">
        <v>153</v>
      </c>
      <c r="DW240" t="s">
        <v>153</v>
      </c>
      <c r="DX240" s="2"/>
      <c r="DY240" t="s">
        <v>153</v>
      </c>
      <c r="DZ240" t="s">
        <v>153</v>
      </c>
      <c r="EA240" t="s">
        <v>153</v>
      </c>
      <c r="EB240" t="s">
        <v>153</v>
      </c>
      <c r="EC240" t="s">
        <v>153</v>
      </c>
      <c r="ED240" t="s">
        <v>153</v>
      </c>
      <c r="EE240" t="s">
        <v>153</v>
      </c>
      <c r="EF240" t="s">
        <v>153</v>
      </c>
      <c r="EH240" t="s">
        <v>153</v>
      </c>
      <c r="EI240" t="s">
        <v>153</v>
      </c>
      <c r="EJ240" t="s">
        <v>153</v>
      </c>
      <c r="EK240" t="s">
        <v>153</v>
      </c>
      <c r="EM240" t="s">
        <v>153</v>
      </c>
      <c r="EN240" t="s">
        <v>153</v>
      </c>
      <c r="EP240" s="4" t="s">
        <v>153</v>
      </c>
      <c r="EQ240" s="4" t="s">
        <v>153</v>
      </c>
      <c r="ER240" s="4" t="s">
        <v>243</v>
      </c>
      <c r="ES240" s="4" t="s">
        <v>153</v>
      </c>
      <c r="ET240" t="s">
        <v>3010</v>
      </c>
      <c r="EU240" t="s">
        <v>2959</v>
      </c>
      <c r="EV240" t="s">
        <v>2532</v>
      </c>
      <c r="EW240">
        <v>1377965525</v>
      </c>
      <c r="EX240" t="s">
        <v>2533</v>
      </c>
    </row>
    <row r="241" spans="1:154" x14ac:dyDescent="0.25">
      <c r="A241" s="3">
        <v>45905.518368055556</v>
      </c>
      <c r="B241" s="4" t="s">
        <v>153</v>
      </c>
      <c r="C241" s="4" t="s">
        <v>502</v>
      </c>
      <c r="D241" s="4" t="s">
        <v>503</v>
      </c>
      <c r="E241" s="4" t="s">
        <v>504</v>
      </c>
      <c r="F241" s="4" t="s">
        <v>505</v>
      </c>
      <c r="G241" s="4" t="s">
        <v>423</v>
      </c>
      <c r="H241" s="4" t="s">
        <v>2214</v>
      </c>
      <c r="I241" s="4" t="s">
        <v>3011</v>
      </c>
      <c r="J241" s="4" t="s">
        <v>3012</v>
      </c>
      <c r="K241" s="5"/>
      <c r="L241" s="4" t="s">
        <v>153</v>
      </c>
      <c r="M241" s="4" t="s">
        <v>153</v>
      </c>
      <c r="N241" s="4" t="s">
        <v>153</v>
      </c>
      <c r="O241" s="4" t="s">
        <v>153</v>
      </c>
      <c r="P241" s="4" t="s">
        <v>153</v>
      </c>
      <c r="Q241" s="4" t="s">
        <v>153</v>
      </c>
      <c r="R241" s="4" t="s">
        <v>153</v>
      </c>
      <c r="S241" s="4" t="s">
        <v>153</v>
      </c>
      <c r="T241" s="4" t="s">
        <v>153</v>
      </c>
      <c r="U241" s="4" t="s">
        <v>153</v>
      </c>
      <c r="V241" s="4" t="s">
        <v>153</v>
      </c>
      <c r="W241" s="4" t="s">
        <v>153</v>
      </c>
      <c r="X241" s="4" t="s">
        <v>153</v>
      </c>
      <c r="Y241" s="4" t="s">
        <v>153</v>
      </c>
      <c r="Z241" s="4" t="s">
        <v>153</v>
      </c>
      <c r="AA241" s="4" t="s">
        <v>153</v>
      </c>
      <c r="AB241" s="4" t="s">
        <v>153</v>
      </c>
      <c r="AC241" s="4" t="s">
        <v>153</v>
      </c>
      <c r="AD241" s="4" t="s">
        <v>153</v>
      </c>
      <c r="AE241" s="4" t="s">
        <v>153</v>
      </c>
      <c r="AF241" s="4" t="s">
        <v>153</v>
      </c>
      <c r="AG241" s="4" t="s">
        <v>153</v>
      </c>
      <c r="AH241" s="4" t="s">
        <v>153</v>
      </c>
      <c r="AI241" s="5"/>
      <c r="AJ241" t="s">
        <v>153</v>
      </c>
      <c r="AK241" s="4"/>
      <c r="AL241" t="s">
        <v>153</v>
      </c>
      <c r="AM241" t="s">
        <v>153</v>
      </c>
      <c r="AO241" t="s">
        <v>153</v>
      </c>
      <c r="AP241" s="4"/>
      <c r="AQ241" t="s">
        <v>153</v>
      </c>
      <c r="AR241" s="5"/>
      <c r="AT241" s="4" t="s">
        <v>153</v>
      </c>
      <c r="AU241" s="4" t="s">
        <v>153</v>
      </c>
      <c r="AV241" s="4" t="s">
        <v>153</v>
      </c>
      <c r="AW241" t="s">
        <v>153</v>
      </c>
      <c r="AX241" t="s">
        <v>153</v>
      </c>
      <c r="AY241" t="s">
        <v>153</v>
      </c>
      <c r="AZ241" t="s">
        <v>153</v>
      </c>
      <c r="BA241" t="s">
        <v>153</v>
      </c>
      <c r="BB241" t="s">
        <v>153</v>
      </c>
      <c r="BC241" t="s">
        <v>153</v>
      </c>
      <c r="BD241" s="4" t="s">
        <v>153</v>
      </c>
      <c r="BE241" s="4" t="s">
        <v>153</v>
      </c>
      <c r="BF241" t="s">
        <v>153</v>
      </c>
      <c r="BG241" s="4" t="s">
        <v>153</v>
      </c>
      <c r="BH241" t="s">
        <v>153</v>
      </c>
      <c r="BI241" s="4" t="s">
        <v>3011</v>
      </c>
      <c r="BJ241" t="s">
        <v>153</v>
      </c>
      <c r="BK241" s="4" t="s">
        <v>1296</v>
      </c>
      <c r="BL241" t="s">
        <v>3013</v>
      </c>
      <c r="BM241" t="s">
        <v>3014</v>
      </c>
      <c r="BN241" s="4" t="s">
        <v>403</v>
      </c>
      <c r="BO241" s="4" t="s">
        <v>153</v>
      </c>
      <c r="BP241" s="4" t="s">
        <v>153</v>
      </c>
      <c r="BQ241" s="4" t="s">
        <v>153</v>
      </c>
      <c r="BR241" s="4" t="s">
        <v>153</v>
      </c>
      <c r="BS241" s="4" t="s">
        <v>153</v>
      </c>
      <c r="BT241" s="4" t="s">
        <v>153</v>
      </c>
      <c r="BU241" s="4" t="s">
        <v>153</v>
      </c>
      <c r="BV241" s="4"/>
      <c r="BW241" s="4" t="s">
        <v>430</v>
      </c>
      <c r="BX241" s="4" t="s">
        <v>153</v>
      </c>
      <c r="BY241" s="4" t="s">
        <v>153</v>
      </c>
      <c r="BZ241" s="4" t="s">
        <v>153</v>
      </c>
      <c r="CA241" s="4" t="s">
        <v>153</v>
      </c>
      <c r="CB241" s="4"/>
      <c r="CC241" s="4" t="s">
        <v>430</v>
      </c>
      <c r="CD241" t="s">
        <v>3015</v>
      </c>
      <c r="CE241" s="4" t="s">
        <v>153</v>
      </c>
      <c r="CF241" s="4" t="s">
        <v>153</v>
      </c>
      <c r="CG241" s="4" t="s">
        <v>153</v>
      </c>
      <c r="CH241" s="5"/>
      <c r="CI241" t="s">
        <v>153</v>
      </c>
      <c r="CJ241" s="4"/>
      <c r="CK241" t="s">
        <v>153</v>
      </c>
      <c r="CL241" t="s">
        <v>3016</v>
      </c>
      <c r="CM241" t="s">
        <v>3017</v>
      </c>
      <c r="CN241" t="s">
        <v>153</v>
      </c>
      <c r="CO241" s="5"/>
      <c r="CP241" s="4" t="s">
        <v>153</v>
      </c>
      <c r="CQ241" s="4" t="s">
        <v>153</v>
      </c>
      <c r="CR241" t="s">
        <v>153</v>
      </c>
      <c r="CS241" t="s">
        <v>153</v>
      </c>
      <c r="CT241" t="s">
        <v>153</v>
      </c>
      <c r="CU241" t="s">
        <v>153</v>
      </c>
      <c r="CV241" t="s">
        <v>153</v>
      </c>
      <c r="CW241" t="s">
        <v>153</v>
      </c>
      <c r="CX241" t="s">
        <v>153</v>
      </c>
      <c r="CY241" t="s">
        <v>153</v>
      </c>
      <c r="CZ241" t="s">
        <v>153</v>
      </c>
      <c r="DA241" t="s">
        <v>153</v>
      </c>
      <c r="DB241" t="s">
        <v>153</v>
      </c>
      <c r="DC241" t="s">
        <v>153</v>
      </c>
      <c r="DD241" t="s">
        <v>153</v>
      </c>
      <c r="DE241" t="s">
        <v>153</v>
      </c>
      <c r="DF241" t="s">
        <v>153</v>
      </c>
      <c r="DG241" t="s">
        <v>153</v>
      </c>
      <c r="DI241" t="s">
        <v>153</v>
      </c>
      <c r="DJ241" t="s">
        <v>153</v>
      </c>
      <c r="DK241" t="s">
        <v>153</v>
      </c>
      <c r="DL241" t="s">
        <v>153</v>
      </c>
      <c r="DN241" t="s">
        <v>153</v>
      </c>
      <c r="DO241" t="s">
        <v>153</v>
      </c>
      <c r="DP241" t="s">
        <v>153</v>
      </c>
      <c r="DQ241" t="s">
        <v>153</v>
      </c>
      <c r="DR241" t="s">
        <v>153</v>
      </c>
      <c r="DS241" t="s">
        <v>153</v>
      </c>
      <c r="DT241" t="s">
        <v>153</v>
      </c>
      <c r="DU241" t="s">
        <v>153</v>
      </c>
      <c r="DV241" t="s">
        <v>153</v>
      </c>
      <c r="DW241" t="s">
        <v>153</v>
      </c>
      <c r="DX241" s="2"/>
      <c r="DY241" t="s">
        <v>153</v>
      </c>
      <c r="DZ241" t="s">
        <v>153</v>
      </c>
      <c r="EA241" t="s">
        <v>153</v>
      </c>
      <c r="EB241" t="s">
        <v>153</v>
      </c>
      <c r="EC241" t="s">
        <v>153</v>
      </c>
      <c r="ED241" t="s">
        <v>153</v>
      </c>
      <c r="EE241" t="s">
        <v>153</v>
      </c>
      <c r="EF241" t="s">
        <v>153</v>
      </c>
      <c r="EH241" t="s">
        <v>153</v>
      </c>
      <c r="EI241" t="s">
        <v>153</v>
      </c>
      <c r="EJ241" t="s">
        <v>153</v>
      </c>
      <c r="EK241" t="s">
        <v>153</v>
      </c>
      <c r="EM241" t="s">
        <v>153</v>
      </c>
      <c r="EN241" t="s">
        <v>153</v>
      </c>
      <c r="EP241" s="4" t="s">
        <v>153</v>
      </c>
      <c r="EQ241" s="4" t="s">
        <v>153</v>
      </c>
      <c r="ER241" s="4" t="s">
        <v>243</v>
      </c>
      <c r="ES241" s="4" t="s">
        <v>153</v>
      </c>
      <c r="ET241" t="s">
        <v>3018</v>
      </c>
      <c r="EU241" t="s">
        <v>2959</v>
      </c>
      <c r="EV241" t="s">
        <v>2532</v>
      </c>
      <c r="EW241">
        <v>1377970048</v>
      </c>
      <c r="EX241" t="s">
        <v>2533</v>
      </c>
    </row>
    <row r="242" spans="1:154" x14ac:dyDescent="0.25">
      <c r="A242" s="3">
        <v>45905.625335648147</v>
      </c>
      <c r="B242" s="4" t="s">
        <v>153</v>
      </c>
      <c r="C242" s="4" t="s">
        <v>248</v>
      </c>
      <c r="D242" s="4" t="s">
        <v>249</v>
      </c>
      <c r="E242" s="4" t="s">
        <v>2960</v>
      </c>
      <c r="F242" s="4" t="s">
        <v>251</v>
      </c>
      <c r="G242" s="4" t="s">
        <v>423</v>
      </c>
      <c r="H242" s="4" t="s">
        <v>2672</v>
      </c>
      <c r="I242" s="4" t="s">
        <v>3019</v>
      </c>
      <c r="J242" s="4" t="s">
        <v>153</v>
      </c>
      <c r="K242" s="5"/>
      <c r="L242" s="4" t="s">
        <v>153</v>
      </c>
      <c r="M242" s="4" t="s">
        <v>153</v>
      </c>
      <c r="N242" s="4" t="s">
        <v>153</v>
      </c>
      <c r="O242" s="4" t="s">
        <v>153</v>
      </c>
      <c r="P242" s="4" t="s">
        <v>153</v>
      </c>
      <c r="Q242" s="4" t="s">
        <v>153</v>
      </c>
      <c r="R242" s="4" t="s">
        <v>153</v>
      </c>
      <c r="S242" s="4" t="s">
        <v>153</v>
      </c>
      <c r="T242" s="4" t="s">
        <v>153</v>
      </c>
      <c r="U242" s="4" t="s">
        <v>153</v>
      </c>
      <c r="V242" s="4" t="s">
        <v>153</v>
      </c>
      <c r="W242" s="4" t="s">
        <v>153</v>
      </c>
      <c r="X242" s="4" t="s">
        <v>153</v>
      </c>
      <c r="Y242" s="4" t="s">
        <v>153</v>
      </c>
      <c r="Z242" s="4" t="s">
        <v>153</v>
      </c>
      <c r="AA242" s="4" t="s">
        <v>153</v>
      </c>
      <c r="AB242" s="4" t="s">
        <v>153</v>
      </c>
      <c r="AC242" s="4" t="s">
        <v>153</v>
      </c>
      <c r="AD242" s="4" t="s">
        <v>153</v>
      </c>
      <c r="AE242" s="4" t="s">
        <v>153</v>
      </c>
      <c r="AF242" s="4" t="s">
        <v>153</v>
      </c>
      <c r="AG242" s="4" t="s">
        <v>153</v>
      </c>
      <c r="AH242" s="4" t="s">
        <v>153</v>
      </c>
      <c r="AI242" s="5"/>
      <c r="AJ242" t="s">
        <v>153</v>
      </c>
      <c r="AK242" s="4"/>
      <c r="AL242" t="s">
        <v>153</v>
      </c>
      <c r="AM242" t="s">
        <v>153</v>
      </c>
      <c r="AO242" t="s">
        <v>153</v>
      </c>
      <c r="AP242" s="4"/>
      <c r="AQ242" t="s">
        <v>153</v>
      </c>
      <c r="AR242" s="5"/>
      <c r="AT242" s="4" t="s">
        <v>153</v>
      </c>
      <c r="AU242" s="4" t="s">
        <v>153</v>
      </c>
      <c r="AV242" s="4" t="s">
        <v>153</v>
      </c>
      <c r="AW242" t="s">
        <v>153</v>
      </c>
      <c r="AX242" t="s">
        <v>153</v>
      </c>
      <c r="AY242" t="s">
        <v>153</v>
      </c>
      <c r="AZ242" t="s">
        <v>153</v>
      </c>
      <c r="BA242" t="s">
        <v>153</v>
      </c>
      <c r="BB242" t="s">
        <v>153</v>
      </c>
      <c r="BC242" t="s">
        <v>153</v>
      </c>
      <c r="BD242" s="4" t="s">
        <v>153</v>
      </c>
      <c r="BE242" s="4" t="s">
        <v>153</v>
      </c>
      <c r="BF242" t="s">
        <v>153</v>
      </c>
      <c r="BG242" s="4" t="s">
        <v>153</v>
      </c>
      <c r="BH242" t="s">
        <v>153</v>
      </c>
      <c r="BI242" s="4" t="s">
        <v>3020</v>
      </c>
      <c r="BJ242" t="s">
        <v>3020</v>
      </c>
      <c r="BK242" s="4" t="s">
        <v>3020</v>
      </c>
      <c r="BL242" t="s">
        <v>1203</v>
      </c>
      <c r="BM242" t="s">
        <v>2965</v>
      </c>
      <c r="BN242" s="4" t="s">
        <v>190</v>
      </c>
      <c r="BO242" s="4" t="s">
        <v>308</v>
      </c>
      <c r="BP242" s="4" t="s">
        <v>153</v>
      </c>
      <c r="BQ242" s="4" t="s">
        <v>153</v>
      </c>
      <c r="BR242" s="4" t="s">
        <v>430</v>
      </c>
      <c r="BS242" s="4" t="s">
        <v>153</v>
      </c>
      <c r="BT242" s="4" t="s">
        <v>153</v>
      </c>
      <c r="BU242" s="4" t="s">
        <v>153</v>
      </c>
      <c r="BV242" s="4"/>
      <c r="BW242" s="4" t="s">
        <v>430</v>
      </c>
      <c r="BX242" s="4" t="s">
        <v>3021</v>
      </c>
      <c r="BY242" s="4" t="s">
        <v>153</v>
      </c>
      <c r="BZ242" s="4" t="s">
        <v>2980</v>
      </c>
      <c r="CA242" s="4" t="s">
        <v>347</v>
      </c>
      <c r="CB242" s="4">
        <v>93235</v>
      </c>
      <c r="CC242" s="4" t="s">
        <v>430</v>
      </c>
      <c r="CD242" t="s">
        <v>2433</v>
      </c>
      <c r="CE242" s="4" t="s">
        <v>2982</v>
      </c>
      <c r="CF242" s="4" t="s">
        <v>3022</v>
      </c>
      <c r="CG242" s="4" t="s">
        <v>153</v>
      </c>
      <c r="CH242" s="5">
        <v>45445</v>
      </c>
      <c r="CI242" t="s">
        <v>318</v>
      </c>
      <c r="CJ242" s="4">
        <v>10</v>
      </c>
      <c r="CK242" t="s">
        <v>960</v>
      </c>
      <c r="CL242" t="s">
        <v>153</v>
      </c>
      <c r="CM242" t="s">
        <v>3023</v>
      </c>
      <c r="CN242" t="s">
        <v>153</v>
      </c>
      <c r="CO242" s="5"/>
      <c r="CP242" s="4" t="s">
        <v>153</v>
      </c>
      <c r="CQ242" s="4" t="s">
        <v>153</v>
      </c>
      <c r="CR242" t="s">
        <v>153</v>
      </c>
      <c r="CS242" t="s">
        <v>153</v>
      </c>
      <c r="CT242" t="s">
        <v>153</v>
      </c>
      <c r="CU242" t="s">
        <v>153</v>
      </c>
      <c r="CV242" t="s">
        <v>153</v>
      </c>
      <c r="CW242" t="s">
        <v>153</v>
      </c>
      <c r="CX242" t="s">
        <v>153</v>
      </c>
      <c r="CY242" t="s">
        <v>153</v>
      </c>
      <c r="CZ242" t="s">
        <v>153</v>
      </c>
      <c r="DA242" t="s">
        <v>153</v>
      </c>
      <c r="DB242" t="s">
        <v>153</v>
      </c>
      <c r="DC242" t="s">
        <v>153</v>
      </c>
      <c r="DD242" t="s">
        <v>153</v>
      </c>
      <c r="DE242" t="s">
        <v>153</v>
      </c>
      <c r="DF242" t="s">
        <v>153</v>
      </c>
      <c r="DG242" t="s">
        <v>153</v>
      </c>
      <c r="DI242" t="s">
        <v>153</v>
      </c>
      <c r="DJ242" t="s">
        <v>153</v>
      </c>
      <c r="DK242" t="s">
        <v>153</v>
      </c>
      <c r="DL242" t="s">
        <v>153</v>
      </c>
      <c r="DN242" t="s">
        <v>153</v>
      </c>
      <c r="DO242" t="s">
        <v>153</v>
      </c>
      <c r="DP242" t="s">
        <v>153</v>
      </c>
      <c r="DQ242" t="s">
        <v>153</v>
      </c>
      <c r="DR242" t="s">
        <v>153</v>
      </c>
      <c r="DS242" t="s">
        <v>153</v>
      </c>
      <c r="DT242" t="s">
        <v>153</v>
      </c>
      <c r="DU242" t="s">
        <v>153</v>
      </c>
      <c r="DV242" t="s">
        <v>153</v>
      </c>
      <c r="DW242" t="s">
        <v>153</v>
      </c>
      <c r="DX242" s="2"/>
      <c r="DY242" t="s">
        <v>153</v>
      </c>
      <c r="DZ242" t="s">
        <v>153</v>
      </c>
      <c r="EA242" t="s">
        <v>153</v>
      </c>
      <c r="EB242" t="s">
        <v>153</v>
      </c>
      <c r="EC242" t="s">
        <v>153</v>
      </c>
      <c r="ED242" t="s">
        <v>153</v>
      </c>
      <c r="EE242" t="s">
        <v>153</v>
      </c>
      <c r="EF242" t="s">
        <v>153</v>
      </c>
      <c r="EH242" t="s">
        <v>153</v>
      </c>
      <c r="EI242" t="s">
        <v>153</v>
      </c>
      <c r="EJ242" t="s">
        <v>153</v>
      </c>
      <c r="EK242" t="s">
        <v>153</v>
      </c>
      <c r="EM242" t="s">
        <v>153</v>
      </c>
      <c r="EN242" t="s">
        <v>153</v>
      </c>
      <c r="EP242" s="4" t="s">
        <v>153</v>
      </c>
      <c r="EQ242" s="4" t="s">
        <v>153</v>
      </c>
      <c r="ER242" s="4" t="s">
        <v>176</v>
      </c>
      <c r="ES242" s="4" t="s">
        <v>153</v>
      </c>
      <c r="ET242" t="s">
        <v>3023</v>
      </c>
      <c r="EU242" t="s">
        <v>2972</v>
      </c>
      <c r="EV242" t="s">
        <v>3024</v>
      </c>
      <c r="EW242">
        <v>1378029531</v>
      </c>
      <c r="EX242" t="s">
        <v>3025</v>
      </c>
    </row>
    <row r="243" spans="1:154" x14ac:dyDescent="0.25">
      <c r="A243" s="3">
        <v>45905.635138888887</v>
      </c>
      <c r="B243" s="4" t="s">
        <v>153</v>
      </c>
      <c r="C243" s="4" t="s">
        <v>1482</v>
      </c>
      <c r="D243" s="4" t="s">
        <v>249</v>
      </c>
      <c r="E243" s="4" t="s">
        <v>250</v>
      </c>
      <c r="F243" s="4" t="s">
        <v>251</v>
      </c>
      <c r="G243" s="4" t="s">
        <v>185</v>
      </c>
      <c r="H243" s="4" t="s">
        <v>2672</v>
      </c>
      <c r="I243" s="4" t="s">
        <v>3026</v>
      </c>
      <c r="J243" s="4" t="s">
        <v>153</v>
      </c>
      <c r="K243" s="5"/>
      <c r="L243" s="4" t="s">
        <v>153</v>
      </c>
      <c r="M243" s="4" t="s">
        <v>3026</v>
      </c>
      <c r="N243" s="4" t="s">
        <v>1296</v>
      </c>
      <c r="O243" s="4" t="s">
        <v>3027</v>
      </c>
      <c r="P243" s="4" t="s">
        <v>3028</v>
      </c>
      <c r="Q243" s="4" t="s">
        <v>327</v>
      </c>
      <c r="R243" s="4" t="s">
        <v>666</v>
      </c>
      <c r="S243" s="4" t="s">
        <v>153</v>
      </c>
      <c r="T243" s="4" t="s">
        <v>153</v>
      </c>
      <c r="U243" s="4" t="s">
        <v>3029</v>
      </c>
      <c r="V243" s="4" t="s">
        <v>153</v>
      </c>
      <c r="W243" s="4" t="s">
        <v>375</v>
      </c>
      <c r="X243" s="4" t="s">
        <v>347</v>
      </c>
      <c r="Y243" s="4" t="s">
        <v>3030</v>
      </c>
      <c r="Z243" s="4" t="s">
        <v>197</v>
      </c>
      <c r="AA243" s="4" t="s">
        <v>3029</v>
      </c>
      <c r="AB243" s="4" t="s">
        <v>153</v>
      </c>
      <c r="AC243" s="4" t="s">
        <v>375</v>
      </c>
      <c r="AD243" s="4" t="s">
        <v>347</v>
      </c>
      <c r="AE243" s="4" t="s">
        <v>3030</v>
      </c>
      <c r="AF243" s="4" t="s">
        <v>3031</v>
      </c>
      <c r="AG243" s="4" t="s">
        <v>3032</v>
      </c>
      <c r="AH243" s="4" t="s">
        <v>153</v>
      </c>
      <c r="AI243" s="5">
        <v>45445</v>
      </c>
      <c r="AJ243" t="s">
        <v>2683</v>
      </c>
      <c r="AK243" s="4">
        <v>10</v>
      </c>
      <c r="AL243" t="s">
        <v>153</v>
      </c>
      <c r="AM243" t="s">
        <v>153</v>
      </c>
      <c r="AO243" t="s">
        <v>153</v>
      </c>
      <c r="AP243" s="4"/>
      <c r="AQ243" t="s">
        <v>153</v>
      </c>
      <c r="AR243" s="5"/>
      <c r="AT243" s="4" t="s">
        <v>153</v>
      </c>
      <c r="AU243" s="4" t="s">
        <v>153</v>
      </c>
      <c r="AV243" s="4" t="s">
        <v>153</v>
      </c>
      <c r="AW243" t="s">
        <v>153</v>
      </c>
      <c r="AX243" t="s">
        <v>153</v>
      </c>
      <c r="AY243" t="s">
        <v>153</v>
      </c>
      <c r="AZ243" t="s">
        <v>153</v>
      </c>
      <c r="BA243" t="s">
        <v>153</v>
      </c>
      <c r="BB243" t="s">
        <v>153</v>
      </c>
      <c r="BC243" t="s">
        <v>153</v>
      </c>
      <c r="BD243" s="4" t="s">
        <v>153</v>
      </c>
      <c r="BE243" s="4" t="s">
        <v>153</v>
      </c>
      <c r="BF243" t="s">
        <v>153</v>
      </c>
      <c r="BG243" s="4" t="s">
        <v>153</v>
      </c>
      <c r="BH243" t="s">
        <v>153</v>
      </c>
      <c r="BI243" s="4" t="s">
        <v>153</v>
      </c>
      <c r="BJ243" t="s">
        <v>153</v>
      </c>
      <c r="BK243" s="4" t="s">
        <v>153</v>
      </c>
      <c r="BL243" t="s">
        <v>153</v>
      </c>
      <c r="BM243" t="s">
        <v>153</v>
      </c>
      <c r="BN243" s="4" t="s">
        <v>153</v>
      </c>
      <c r="BO243" s="4" t="s">
        <v>153</v>
      </c>
      <c r="BP243" s="4" t="s">
        <v>153</v>
      </c>
      <c r="BQ243" s="4" t="s">
        <v>153</v>
      </c>
      <c r="BR243" s="4" t="s">
        <v>153</v>
      </c>
      <c r="BS243" s="4" t="s">
        <v>153</v>
      </c>
      <c r="BT243" s="4" t="s">
        <v>153</v>
      </c>
      <c r="BU243" s="4" t="s">
        <v>153</v>
      </c>
      <c r="BV243" s="4"/>
      <c r="BW243" s="4" t="s">
        <v>153</v>
      </c>
      <c r="BX243" s="4" t="s">
        <v>153</v>
      </c>
      <c r="BY243" s="4" t="s">
        <v>153</v>
      </c>
      <c r="BZ243" s="4" t="s">
        <v>153</v>
      </c>
      <c r="CA243" s="4" t="s">
        <v>153</v>
      </c>
      <c r="CB243" s="4"/>
      <c r="CC243" s="4" t="s">
        <v>153</v>
      </c>
      <c r="CD243" t="s">
        <v>153</v>
      </c>
      <c r="CE243" s="4" t="s">
        <v>153</v>
      </c>
      <c r="CF243" s="4" t="s">
        <v>153</v>
      </c>
      <c r="CG243" s="4" t="s">
        <v>153</v>
      </c>
      <c r="CH243" s="5"/>
      <c r="CI243" t="s">
        <v>153</v>
      </c>
      <c r="CJ243" s="4"/>
      <c r="CK243" t="s">
        <v>153</v>
      </c>
      <c r="CL243" t="s">
        <v>153</v>
      </c>
      <c r="CM243" t="s">
        <v>153</v>
      </c>
      <c r="CN243" t="s">
        <v>153</v>
      </c>
      <c r="CO243" s="5"/>
      <c r="CP243" s="4" t="s">
        <v>153</v>
      </c>
      <c r="CQ243" s="4" t="s">
        <v>153</v>
      </c>
      <c r="CR243" t="s">
        <v>153</v>
      </c>
      <c r="CS243" t="s">
        <v>153</v>
      </c>
      <c r="CT243" t="s">
        <v>153</v>
      </c>
      <c r="CU243" t="s">
        <v>153</v>
      </c>
      <c r="CV243" t="s">
        <v>153</v>
      </c>
      <c r="CW243" t="s">
        <v>153</v>
      </c>
      <c r="CX243" t="s">
        <v>153</v>
      </c>
      <c r="CY243" t="s">
        <v>153</v>
      </c>
      <c r="CZ243" t="s">
        <v>153</v>
      </c>
      <c r="DA243" t="s">
        <v>153</v>
      </c>
      <c r="DB243" t="s">
        <v>153</v>
      </c>
      <c r="DC243" t="s">
        <v>153</v>
      </c>
      <c r="DD243" t="s">
        <v>153</v>
      </c>
      <c r="DE243" t="s">
        <v>153</v>
      </c>
      <c r="DF243" t="s">
        <v>153</v>
      </c>
      <c r="DG243" t="s">
        <v>153</v>
      </c>
      <c r="DI243" t="s">
        <v>153</v>
      </c>
      <c r="DJ243" t="s">
        <v>153</v>
      </c>
      <c r="DK243" t="s">
        <v>153</v>
      </c>
      <c r="DL243" t="s">
        <v>153</v>
      </c>
      <c r="DN243" t="s">
        <v>153</v>
      </c>
      <c r="DO243" t="s">
        <v>153</v>
      </c>
      <c r="DP243" t="s">
        <v>153</v>
      </c>
      <c r="DQ243" t="s">
        <v>153</v>
      </c>
      <c r="DR243" t="s">
        <v>153</v>
      </c>
      <c r="DS243" t="s">
        <v>153</v>
      </c>
      <c r="DT243" t="s">
        <v>153</v>
      </c>
      <c r="DU243" t="s">
        <v>153</v>
      </c>
      <c r="DV243" t="s">
        <v>153</v>
      </c>
      <c r="DW243" t="s">
        <v>153</v>
      </c>
      <c r="DX243" s="2"/>
      <c r="DY243" t="s">
        <v>153</v>
      </c>
      <c r="DZ243" t="s">
        <v>153</v>
      </c>
      <c r="EA243" t="s">
        <v>153</v>
      </c>
      <c r="EB243" t="s">
        <v>153</v>
      </c>
      <c r="EC243" t="s">
        <v>153</v>
      </c>
      <c r="ED243" t="s">
        <v>153</v>
      </c>
      <c r="EE243" t="s">
        <v>153</v>
      </c>
      <c r="EF243" t="s">
        <v>153</v>
      </c>
      <c r="EH243" t="s">
        <v>153</v>
      </c>
      <c r="EI243" t="s">
        <v>153</v>
      </c>
      <c r="EJ243" t="s">
        <v>153</v>
      </c>
      <c r="EK243" t="s">
        <v>153</v>
      </c>
      <c r="EM243" t="s">
        <v>153</v>
      </c>
      <c r="EN243" t="s">
        <v>153</v>
      </c>
      <c r="EP243" s="4" t="s">
        <v>153</v>
      </c>
      <c r="EQ243" s="4" t="s">
        <v>153</v>
      </c>
      <c r="ER243" s="4" t="s">
        <v>176</v>
      </c>
      <c r="ES243" s="4" t="s">
        <v>153</v>
      </c>
      <c r="ET243" t="s">
        <v>153</v>
      </c>
      <c r="EU243" t="s">
        <v>2972</v>
      </c>
      <c r="EV243" t="s">
        <v>3024</v>
      </c>
      <c r="EW243">
        <v>1378034773</v>
      </c>
      <c r="EX243" t="s">
        <v>3025</v>
      </c>
    </row>
    <row r="244" spans="1:154" x14ac:dyDescent="0.25">
      <c r="A244" s="3">
        <v>45916.553368055553</v>
      </c>
      <c r="B244" s="4" t="s">
        <v>153</v>
      </c>
      <c r="C244" s="4" t="s">
        <v>3033</v>
      </c>
      <c r="D244" s="4" t="s">
        <v>3034</v>
      </c>
      <c r="E244" s="4" t="s">
        <v>3035</v>
      </c>
      <c r="F244" s="4" t="s">
        <v>3036</v>
      </c>
      <c r="G244" s="4" t="s">
        <v>252</v>
      </c>
      <c r="H244" s="4" t="s">
        <v>1011</v>
      </c>
      <c r="I244" s="4" t="s">
        <v>1453</v>
      </c>
      <c r="J244" s="4" t="s">
        <v>3037</v>
      </c>
      <c r="K244" s="5"/>
      <c r="L244" s="4" t="s">
        <v>153</v>
      </c>
      <c r="M244" s="4" t="s">
        <v>153</v>
      </c>
      <c r="N244" s="4" t="s">
        <v>153</v>
      </c>
      <c r="O244" s="4" t="s">
        <v>153</v>
      </c>
      <c r="P244" s="4" t="s">
        <v>153</v>
      </c>
      <c r="Q244" s="4" t="s">
        <v>153</v>
      </c>
      <c r="R244" s="4" t="s">
        <v>153</v>
      </c>
      <c r="S244" s="4" t="s">
        <v>153</v>
      </c>
      <c r="T244" s="4" t="s">
        <v>153</v>
      </c>
      <c r="U244" s="4" t="s">
        <v>153</v>
      </c>
      <c r="V244" s="4" t="s">
        <v>153</v>
      </c>
      <c r="W244" s="4" t="s">
        <v>153</v>
      </c>
      <c r="X244" s="4" t="s">
        <v>153</v>
      </c>
      <c r="Y244" s="4" t="s">
        <v>153</v>
      </c>
      <c r="Z244" s="4" t="s">
        <v>153</v>
      </c>
      <c r="AA244" s="4" t="s">
        <v>153</v>
      </c>
      <c r="AB244" s="4" t="s">
        <v>153</v>
      </c>
      <c r="AC244" s="4" t="s">
        <v>153</v>
      </c>
      <c r="AD244" s="4" t="s">
        <v>153</v>
      </c>
      <c r="AE244" s="4" t="s">
        <v>153</v>
      </c>
      <c r="AF244" s="4" t="s">
        <v>153</v>
      </c>
      <c r="AG244" s="4" t="s">
        <v>153</v>
      </c>
      <c r="AH244" s="4" t="s">
        <v>153</v>
      </c>
      <c r="AI244" s="5"/>
      <c r="AJ244" t="s">
        <v>153</v>
      </c>
      <c r="AK244" s="4"/>
      <c r="AL244" t="s">
        <v>153</v>
      </c>
      <c r="AM244" t="s">
        <v>153</v>
      </c>
      <c r="AO244" t="s">
        <v>153</v>
      </c>
      <c r="AP244" s="4"/>
      <c r="AQ244" t="s">
        <v>153</v>
      </c>
      <c r="AR244" s="5">
        <v>45838</v>
      </c>
      <c r="AS244">
        <v>1</v>
      </c>
      <c r="AT244" s="4" t="s">
        <v>1454</v>
      </c>
      <c r="AU244" s="4" t="s">
        <v>1455</v>
      </c>
      <c r="AV244" s="4" t="s">
        <v>256</v>
      </c>
      <c r="AW244" t="s">
        <v>153</v>
      </c>
      <c r="AX244" t="s">
        <v>153</v>
      </c>
      <c r="AY244" t="s">
        <v>153</v>
      </c>
      <c r="AZ244" t="s">
        <v>1098</v>
      </c>
      <c r="BA244" t="s">
        <v>153</v>
      </c>
      <c r="BB244" t="s">
        <v>153</v>
      </c>
      <c r="BC244" t="s">
        <v>153</v>
      </c>
      <c r="BD244" s="4" t="s">
        <v>3038</v>
      </c>
      <c r="BE244" s="4" t="s">
        <v>3039</v>
      </c>
      <c r="BF244" t="s">
        <v>242</v>
      </c>
      <c r="BG244" s="4" t="s">
        <v>637</v>
      </c>
      <c r="BH244" t="s">
        <v>153</v>
      </c>
      <c r="BI244" s="4" t="s">
        <v>153</v>
      </c>
      <c r="BJ244" t="s">
        <v>153</v>
      </c>
      <c r="BK244" s="4" t="s">
        <v>153</v>
      </c>
      <c r="BL244" t="s">
        <v>153</v>
      </c>
      <c r="BM244" t="s">
        <v>153</v>
      </c>
      <c r="BN244" s="4" t="s">
        <v>153</v>
      </c>
      <c r="BO244" s="4" t="s">
        <v>153</v>
      </c>
      <c r="BP244" s="4" t="s">
        <v>153</v>
      </c>
      <c r="BQ244" s="4" t="s">
        <v>153</v>
      </c>
      <c r="BR244" s="4" t="s">
        <v>153</v>
      </c>
      <c r="BS244" s="4" t="s">
        <v>153</v>
      </c>
      <c r="BT244" s="4" t="s">
        <v>153</v>
      </c>
      <c r="BU244" s="4" t="s">
        <v>153</v>
      </c>
      <c r="BV244" s="4"/>
      <c r="BW244" s="4" t="s">
        <v>153</v>
      </c>
      <c r="BX244" s="4" t="s">
        <v>153</v>
      </c>
      <c r="BY244" s="4" t="s">
        <v>153</v>
      </c>
      <c r="BZ244" s="4" t="s">
        <v>153</v>
      </c>
      <c r="CA244" s="4" t="s">
        <v>153</v>
      </c>
      <c r="CB244" s="4"/>
      <c r="CC244" s="4" t="s">
        <v>153</v>
      </c>
      <c r="CD244" t="s">
        <v>153</v>
      </c>
      <c r="CE244" s="4" t="s">
        <v>153</v>
      </c>
      <c r="CF244" s="4" t="s">
        <v>153</v>
      </c>
      <c r="CG244" s="4" t="s">
        <v>153</v>
      </c>
      <c r="CH244" s="5"/>
      <c r="CI244" t="s">
        <v>153</v>
      </c>
      <c r="CJ244" s="4"/>
      <c r="CK244" t="s">
        <v>153</v>
      </c>
      <c r="CL244" t="s">
        <v>153</v>
      </c>
      <c r="CM244" t="s">
        <v>153</v>
      </c>
      <c r="CN244" t="s">
        <v>153</v>
      </c>
      <c r="CO244" s="5"/>
      <c r="CP244" s="4" t="s">
        <v>153</v>
      </c>
      <c r="CQ244" s="4" t="s">
        <v>153</v>
      </c>
      <c r="CR244" t="s">
        <v>153</v>
      </c>
      <c r="CS244" t="s">
        <v>153</v>
      </c>
      <c r="CT244" t="s">
        <v>153</v>
      </c>
      <c r="CU244" t="s">
        <v>153</v>
      </c>
      <c r="CV244" t="s">
        <v>153</v>
      </c>
      <c r="CW244" t="s">
        <v>153</v>
      </c>
      <c r="CX244" t="s">
        <v>153</v>
      </c>
      <c r="CY244" t="s">
        <v>153</v>
      </c>
      <c r="CZ244" t="s">
        <v>153</v>
      </c>
      <c r="DA244" t="s">
        <v>153</v>
      </c>
      <c r="DB244" t="s">
        <v>153</v>
      </c>
      <c r="DC244" t="s">
        <v>153</v>
      </c>
      <c r="DD244" t="s">
        <v>153</v>
      </c>
      <c r="DE244" t="s">
        <v>153</v>
      </c>
      <c r="DF244" t="s">
        <v>153</v>
      </c>
      <c r="DG244" t="s">
        <v>153</v>
      </c>
      <c r="DI244" t="s">
        <v>153</v>
      </c>
      <c r="DJ244" t="s">
        <v>153</v>
      </c>
      <c r="DK244" t="s">
        <v>153</v>
      </c>
      <c r="DL244" t="s">
        <v>153</v>
      </c>
      <c r="DN244" t="s">
        <v>153</v>
      </c>
      <c r="DO244" t="s">
        <v>153</v>
      </c>
      <c r="DP244" t="s">
        <v>153</v>
      </c>
      <c r="DQ244" t="s">
        <v>153</v>
      </c>
      <c r="DR244" t="s">
        <v>153</v>
      </c>
      <c r="DS244" t="s">
        <v>153</v>
      </c>
      <c r="DT244" t="s">
        <v>153</v>
      </c>
      <c r="DU244" t="s">
        <v>153</v>
      </c>
      <c r="DV244" t="s">
        <v>153</v>
      </c>
      <c r="DW244" t="s">
        <v>153</v>
      </c>
      <c r="DX244" s="2"/>
      <c r="DY244" t="s">
        <v>153</v>
      </c>
      <c r="DZ244" t="s">
        <v>153</v>
      </c>
      <c r="EA244" t="s">
        <v>153</v>
      </c>
      <c r="EB244" t="s">
        <v>153</v>
      </c>
      <c r="EC244" t="s">
        <v>153</v>
      </c>
      <c r="ED244" t="s">
        <v>153</v>
      </c>
      <c r="EE244" t="s">
        <v>153</v>
      </c>
      <c r="EF244" t="s">
        <v>153</v>
      </c>
      <c r="EH244" t="s">
        <v>153</v>
      </c>
      <c r="EI244" t="s">
        <v>153</v>
      </c>
      <c r="EJ244" t="s">
        <v>153</v>
      </c>
      <c r="EK244" t="s">
        <v>153</v>
      </c>
      <c r="EM244" t="s">
        <v>153</v>
      </c>
      <c r="EN244" t="s">
        <v>153</v>
      </c>
      <c r="EP244" s="4" t="s">
        <v>153</v>
      </c>
      <c r="EQ244" s="4" t="s">
        <v>153</v>
      </c>
      <c r="ER244" s="4" t="s">
        <v>176</v>
      </c>
      <c r="ES244" s="4" t="s">
        <v>153</v>
      </c>
      <c r="ET244" t="s">
        <v>3040</v>
      </c>
      <c r="EU244" t="s">
        <v>3041</v>
      </c>
      <c r="EV244" t="s">
        <v>3042</v>
      </c>
      <c r="EW244">
        <v>1381215160</v>
      </c>
      <c r="EX244" t="s">
        <v>3043</v>
      </c>
    </row>
    <row r="245" spans="1:154" x14ac:dyDescent="0.25">
      <c r="A245" s="3">
        <v>45917.506608796299</v>
      </c>
      <c r="B245" s="4" t="s">
        <v>153</v>
      </c>
      <c r="C245" s="4" t="s">
        <v>502</v>
      </c>
      <c r="D245" s="4" t="s">
        <v>503</v>
      </c>
      <c r="E245" s="4" t="s">
        <v>504</v>
      </c>
      <c r="F245" s="4" t="s">
        <v>505</v>
      </c>
      <c r="G245" s="4" t="s">
        <v>423</v>
      </c>
      <c r="H245" s="4" t="s">
        <v>2214</v>
      </c>
      <c r="I245" s="4" t="s">
        <v>3044</v>
      </c>
      <c r="J245" s="4" t="s">
        <v>3005</v>
      </c>
      <c r="K245" s="5"/>
      <c r="L245" s="4" t="s">
        <v>153</v>
      </c>
      <c r="M245" s="4" t="s">
        <v>153</v>
      </c>
      <c r="N245" s="4" t="s">
        <v>153</v>
      </c>
      <c r="O245" s="4" t="s">
        <v>153</v>
      </c>
      <c r="P245" s="4" t="s">
        <v>153</v>
      </c>
      <c r="Q245" s="4" t="s">
        <v>153</v>
      </c>
      <c r="R245" s="4" t="s">
        <v>153</v>
      </c>
      <c r="S245" s="4" t="s">
        <v>153</v>
      </c>
      <c r="T245" s="4" t="s">
        <v>153</v>
      </c>
      <c r="U245" s="4" t="s">
        <v>153</v>
      </c>
      <c r="V245" s="4" t="s">
        <v>153</v>
      </c>
      <c r="W245" s="4" t="s">
        <v>153</v>
      </c>
      <c r="X245" s="4" t="s">
        <v>153</v>
      </c>
      <c r="Y245" s="4" t="s">
        <v>153</v>
      </c>
      <c r="Z245" s="4" t="s">
        <v>153</v>
      </c>
      <c r="AA245" s="4" t="s">
        <v>153</v>
      </c>
      <c r="AB245" s="4" t="s">
        <v>153</v>
      </c>
      <c r="AC245" s="4" t="s">
        <v>153</v>
      </c>
      <c r="AD245" s="4" t="s">
        <v>153</v>
      </c>
      <c r="AE245" s="4" t="s">
        <v>153</v>
      </c>
      <c r="AF245" s="4" t="s">
        <v>153</v>
      </c>
      <c r="AG245" s="4" t="s">
        <v>153</v>
      </c>
      <c r="AH245" s="4" t="s">
        <v>153</v>
      </c>
      <c r="AI245" s="5"/>
      <c r="AJ245" t="s">
        <v>153</v>
      </c>
      <c r="AK245" s="4"/>
      <c r="AL245" t="s">
        <v>153</v>
      </c>
      <c r="AM245" t="s">
        <v>153</v>
      </c>
      <c r="AO245" t="s">
        <v>153</v>
      </c>
      <c r="AP245" s="4"/>
      <c r="AQ245" t="s">
        <v>153</v>
      </c>
      <c r="AR245" s="5"/>
      <c r="AT245" s="4" t="s">
        <v>153</v>
      </c>
      <c r="AU245" s="4" t="s">
        <v>153</v>
      </c>
      <c r="AV245" s="4" t="s">
        <v>153</v>
      </c>
      <c r="AW245" t="s">
        <v>153</v>
      </c>
      <c r="AX245" t="s">
        <v>153</v>
      </c>
      <c r="AY245" t="s">
        <v>153</v>
      </c>
      <c r="AZ245" t="s">
        <v>153</v>
      </c>
      <c r="BA245" t="s">
        <v>153</v>
      </c>
      <c r="BB245" t="s">
        <v>153</v>
      </c>
      <c r="BC245" t="s">
        <v>153</v>
      </c>
      <c r="BD245" s="4" t="s">
        <v>153</v>
      </c>
      <c r="BE245" s="4" t="s">
        <v>153</v>
      </c>
      <c r="BF245" t="s">
        <v>153</v>
      </c>
      <c r="BG245" s="4" t="s">
        <v>153</v>
      </c>
      <c r="BH245" t="s">
        <v>153</v>
      </c>
      <c r="BI245" s="4" t="s">
        <v>3045</v>
      </c>
      <c r="BJ245" t="s">
        <v>153</v>
      </c>
      <c r="BK245" s="4" t="s">
        <v>153</v>
      </c>
      <c r="BL245" t="s">
        <v>3046</v>
      </c>
      <c r="BM245" t="s">
        <v>613</v>
      </c>
      <c r="BN245" s="4" t="s">
        <v>190</v>
      </c>
      <c r="BO245" s="4" t="s">
        <v>666</v>
      </c>
      <c r="BP245" s="4" t="s">
        <v>153</v>
      </c>
      <c r="BQ245" s="4" t="s">
        <v>153</v>
      </c>
      <c r="BR245" s="4" t="s">
        <v>3047</v>
      </c>
      <c r="BS245" s="4" t="s">
        <v>153</v>
      </c>
      <c r="BT245" s="4" t="s">
        <v>153</v>
      </c>
      <c r="BU245" s="4" t="s">
        <v>153</v>
      </c>
      <c r="BV245" s="4"/>
      <c r="BW245" s="4" t="s">
        <v>430</v>
      </c>
      <c r="BX245" s="4" t="s">
        <v>153</v>
      </c>
      <c r="BY245" s="4" t="s">
        <v>153</v>
      </c>
      <c r="BZ245" s="4" t="s">
        <v>3008</v>
      </c>
      <c r="CA245" s="4" t="s">
        <v>476</v>
      </c>
      <c r="CB245" s="4">
        <v>66937</v>
      </c>
      <c r="CC245" s="4" t="s">
        <v>430</v>
      </c>
      <c r="CD245" t="s">
        <v>3048</v>
      </c>
      <c r="CE245" s="4" t="s">
        <v>153</v>
      </c>
      <c r="CF245" s="4" t="s">
        <v>153</v>
      </c>
      <c r="CG245" s="4" t="s">
        <v>153</v>
      </c>
      <c r="CH245" s="5"/>
      <c r="CI245" t="s">
        <v>153</v>
      </c>
      <c r="CJ245" s="4"/>
      <c r="CK245" t="s">
        <v>153</v>
      </c>
      <c r="CL245" t="s">
        <v>153</v>
      </c>
      <c r="CM245" t="s">
        <v>3049</v>
      </c>
      <c r="CN245" t="s">
        <v>153</v>
      </c>
      <c r="CO245" s="5"/>
      <c r="CP245" s="4" t="s">
        <v>153</v>
      </c>
      <c r="CQ245" s="4" t="s">
        <v>153</v>
      </c>
      <c r="CR245" t="s">
        <v>153</v>
      </c>
      <c r="CS245" t="s">
        <v>153</v>
      </c>
      <c r="CT245" t="s">
        <v>153</v>
      </c>
      <c r="CU245" t="s">
        <v>153</v>
      </c>
      <c r="CV245" t="s">
        <v>153</v>
      </c>
      <c r="CW245" t="s">
        <v>153</v>
      </c>
      <c r="CX245" t="s">
        <v>153</v>
      </c>
      <c r="CY245" t="s">
        <v>153</v>
      </c>
      <c r="CZ245" t="s">
        <v>153</v>
      </c>
      <c r="DA245" t="s">
        <v>153</v>
      </c>
      <c r="DB245" t="s">
        <v>153</v>
      </c>
      <c r="DC245" t="s">
        <v>153</v>
      </c>
      <c r="DD245" t="s">
        <v>153</v>
      </c>
      <c r="DE245" t="s">
        <v>153</v>
      </c>
      <c r="DF245" t="s">
        <v>153</v>
      </c>
      <c r="DG245" t="s">
        <v>153</v>
      </c>
      <c r="DI245" t="s">
        <v>153</v>
      </c>
      <c r="DJ245" t="s">
        <v>153</v>
      </c>
      <c r="DK245" t="s">
        <v>153</v>
      </c>
      <c r="DL245" t="s">
        <v>153</v>
      </c>
      <c r="DN245" t="s">
        <v>153</v>
      </c>
      <c r="DO245" t="s">
        <v>153</v>
      </c>
      <c r="DP245" t="s">
        <v>153</v>
      </c>
      <c r="DQ245" t="s">
        <v>153</v>
      </c>
      <c r="DR245" t="s">
        <v>153</v>
      </c>
      <c r="DS245" t="s">
        <v>153</v>
      </c>
      <c r="DT245" t="s">
        <v>153</v>
      </c>
      <c r="DU245" t="s">
        <v>153</v>
      </c>
      <c r="DV245" t="s">
        <v>153</v>
      </c>
      <c r="DW245" t="s">
        <v>153</v>
      </c>
      <c r="DX245" s="2"/>
      <c r="DY245" t="s">
        <v>153</v>
      </c>
      <c r="DZ245" t="s">
        <v>153</v>
      </c>
      <c r="EA245" t="s">
        <v>153</v>
      </c>
      <c r="EB245" t="s">
        <v>153</v>
      </c>
      <c r="EC245" t="s">
        <v>153</v>
      </c>
      <c r="ED245" t="s">
        <v>153</v>
      </c>
      <c r="EE245" t="s">
        <v>153</v>
      </c>
      <c r="EF245" t="s">
        <v>153</v>
      </c>
      <c r="EH245" t="s">
        <v>153</v>
      </c>
      <c r="EI245" t="s">
        <v>153</v>
      </c>
      <c r="EJ245" t="s">
        <v>153</v>
      </c>
      <c r="EK245" t="s">
        <v>153</v>
      </c>
      <c r="EM245" t="s">
        <v>153</v>
      </c>
      <c r="EN245" t="s">
        <v>153</v>
      </c>
      <c r="EP245" s="4" t="s">
        <v>153</v>
      </c>
      <c r="EQ245" s="4" t="s">
        <v>153</v>
      </c>
      <c r="ER245" s="4" t="s">
        <v>243</v>
      </c>
      <c r="ES245" s="4" t="s">
        <v>244</v>
      </c>
      <c r="ET245" t="s">
        <v>3050</v>
      </c>
      <c r="EU245" t="s">
        <v>3051</v>
      </c>
      <c r="EV245" t="s">
        <v>2532</v>
      </c>
      <c r="EW245">
        <v>1381546370</v>
      </c>
      <c r="EX245" t="s">
        <v>3052</v>
      </c>
    </row>
    <row r="246" spans="1:154" x14ac:dyDescent="0.25">
      <c r="A246" s="3">
        <v>45917.511481481481</v>
      </c>
      <c r="B246" s="4" t="s">
        <v>153</v>
      </c>
      <c r="C246" s="4" t="s">
        <v>502</v>
      </c>
      <c r="D246" s="4" t="s">
        <v>503</v>
      </c>
      <c r="E246" s="4" t="s">
        <v>504</v>
      </c>
      <c r="F246" s="4" t="s">
        <v>505</v>
      </c>
      <c r="G246" s="4" t="s">
        <v>252</v>
      </c>
      <c r="H246" s="4" t="s">
        <v>2214</v>
      </c>
      <c r="I246" s="4" t="s">
        <v>3053</v>
      </c>
      <c r="J246" s="4" t="s">
        <v>3054</v>
      </c>
      <c r="K246" s="5"/>
      <c r="L246" s="4" t="s">
        <v>153</v>
      </c>
      <c r="M246" s="4" t="s">
        <v>153</v>
      </c>
      <c r="N246" s="4" t="s">
        <v>153</v>
      </c>
      <c r="O246" s="4" t="s">
        <v>153</v>
      </c>
      <c r="P246" s="4" t="s">
        <v>153</v>
      </c>
      <c r="Q246" s="4" t="s">
        <v>153</v>
      </c>
      <c r="R246" s="4" t="s">
        <v>153</v>
      </c>
      <c r="S246" s="4" t="s">
        <v>153</v>
      </c>
      <c r="T246" s="4" t="s">
        <v>153</v>
      </c>
      <c r="U246" s="4" t="s">
        <v>153</v>
      </c>
      <c r="V246" s="4" t="s">
        <v>153</v>
      </c>
      <c r="W246" s="4" t="s">
        <v>153</v>
      </c>
      <c r="X246" s="4" t="s">
        <v>153</v>
      </c>
      <c r="Y246" s="4" t="s">
        <v>153</v>
      </c>
      <c r="Z246" s="4" t="s">
        <v>153</v>
      </c>
      <c r="AA246" s="4" t="s">
        <v>153</v>
      </c>
      <c r="AB246" s="4" t="s">
        <v>153</v>
      </c>
      <c r="AC246" s="4" t="s">
        <v>153</v>
      </c>
      <c r="AD246" s="4" t="s">
        <v>153</v>
      </c>
      <c r="AE246" s="4" t="s">
        <v>153</v>
      </c>
      <c r="AF246" s="4" t="s">
        <v>153</v>
      </c>
      <c r="AG246" s="4" t="s">
        <v>153</v>
      </c>
      <c r="AH246" s="4" t="s">
        <v>153</v>
      </c>
      <c r="AI246" s="5"/>
      <c r="AJ246" t="s">
        <v>153</v>
      </c>
      <c r="AK246" s="4"/>
      <c r="AL246" t="s">
        <v>153</v>
      </c>
      <c r="AM246" t="s">
        <v>153</v>
      </c>
      <c r="AO246" t="s">
        <v>153</v>
      </c>
      <c r="AP246" s="4"/>
      <c r="AQ246" t="s">
        <v>153</v>
      </c>
      <c r="AR246" s="5">
        <v>45900</v>
      </c>
      <c r="AS246">
        <v>2</v>
      </c>
      <c r="AT246" s="4" t="s">
        <v>2997</v>
      </c>
      <c r="AU246" s="4" t="s">
        <v>2998</v>
      </c>
      <c r="AV246" s="4" t="s">
        <v>921</v>
      </c>
      <c r="AW246" t="s">
        <v>153</v>
      </c>
      <c r="AX246" t="s">
        <v>153</v>
      </c>
      <c r="AY246" t="s">
        <v>153</v>
      </c>
      <c r="AZ246" t="s">
        <v>1044</v>
      </c>
      <c r="BA246" t="s">
        <v>3055</v>
      </c>
      <c r="BB246" t="s">
        <v>3056</v>
      </c>
      <c r="BC246" t="s">
        <v>3057</v>
      </c>
      <c r="BD246" s="4" t="s">
        <v>3058</v>
      </c>
      <c r="BE246" s="4" t="s">
        <v>3059</v>
      </c>
      <c r="BF246" t="s">
        <v>242</v>
      </c>
      <c r="BG246" s="4" t="s">
        <v>2804</v>
      </c>
      <c r="BH246" t="s">
        <v>153</v>
      </c>
      <c r="BI246" s="4" t="s">
        <v>153</v>
      </c>
      <c r="BJ246" t="s">
        <v>153</v>
      </c>
      <c r="BK246" s="4" t="s">
        <v>153</v>
      </c>
      <c r="BL246" t="s">
        <v>153</v>
      </c>
      <c r="BM246" t="s">
        <v>153</v>
      </c>
      <c r="BN246" s="4" t="s">
        <v>153</v>
      </c>
      <c r="BO246" s="4" t="s">
        <v>153</v>
      </c>
      <c r="BP246" s="4" t="s">
        <v>153</v>
      </c>
      <c r="BQ246" s="4" t="s">
        <v>153</v>
      </c>
      <c r="BR246" s="4" t="s">
        <v>153</v>
      </c>
      <c r="BS246" s="4" t="s">
        <v>153</v>
      </c>
      <c r="BT246" s="4" t="s">
        <v>153</v>
      </c>
      <c r="BU246" s="4" t="s">
        <v>153</v>
      </c>
      <c r="BV246" s="4"/>
      <c r="BW246" s="4" t="s">
        <v>153</v>
      </c>
      <c r="BX246" s="4" t="s">
        <v>153</v>
      </c>
      <c r="BY246" s="4" t="s">
        <v>153</v>
      </c>
      <c r="BZ246" s="4" t="s">
        <v>153</v>
      </c>
      <c r="CA246" s="4" t="s">
        <v>153</v>
      </c>
      <c r="CB246" s="4"/>
      <c r="CC246" s="4" t="s">
        <v>153</v>
      </c>
      <c r="CD246" t="s">
        <v>153</v>
      </c>
      <c r="CE246" s="4" t="s">
        <v>153</v>
      </c>
      <c r="CF246" s="4" t="s">
        <v>153</v>
      </c>
      <c r="CG246" s="4" t="s">
        <v>153</v>
      </c>
      <c r="CH246" s="5"/>
      <c r="CI246" t="s">
        <v>153</v>
      </c>
      <c r="CJ246" s="4"/>
      <c r="CK246" t="s">
        <v>153</v>
      </c>
      <c r="CL246" t="s">
        <v>153</v>
      </c>
      <c r="CM246" t="s">
        <v>153</v>
      </c>
      <c r="CN246" t="s">
        <v>153</v>
      </c>
      <c r="CO246" s="5"/>
      <c r="CP246" s="4" t="s">
        <v>153</v>
      </c>
      <c r="CQ246" s="4" t="s">
        <v>153</v>
      </c>
      <c r="CR246" t="s">
        <v>153</v>
      </c>
      <c r="CS246" t="s">
        <v>153</v>
      </c>
      <c r="CT246" t="s">
        <v>153</v>
      </c>
      <c r="CU246" t="s">
        <v>153</v>
      </c>
      <c r="CV246" t="s">
        <v>153</v>
      </c>
      <c r="CW246" t="s">
        <v>153</v>
      </c>
      <c r="CX246" t="s">
        <v>153</v>
      </c>
      <c r="CY246" t="s">
        <v>153</v>
      </c>
      <c r="CZ246" t="s">
        <v>153</v>
      </c>
      <c r="DA246" t="s">
        <v>153</v>
      </c>
      <c r="DB246" t="s">
        <v>153</v>
      </c>
      <c r="DC246" t="s">
        <v>153</v>
      </c>
      <c r="DD246" t="s">
        <v>153</v>
      </c>
      <c r="DE246" t="s">
        <v>153</v>
      </c>
      <c r="DF246" t="s">
        <v>153</v>
      </c>
      <c r="DG246" t="s">
        <v>153</v>
      </c>
      <c r="DI246" t="s">
        <v>153</v>
      </c>
      <c r="DJ246" t="s">
        <v>153</v>
      </c>
      <c r="DK246" t="s">
        <v>153</v>
      </c>
      <c r="DL246" t="s">
        <v>153</v>
      </c>
      <c r="DN246" t="s">
        <v>153</v>
      </c>
      <c r="DO246" t="s">
        <v>153</v>
      </c>
      <c r="DP246" t="s">
        <v>153</v>
      </c>
      <c r="DQ246" t="s">
        <v>153</v>
      </c>
      <c r="DR246" t="s">
        <v>153</v>
      </c>
      <c r="DS246" t="s">
        <v>153</v>
      </c>
      <c r="DT246" t="s">
        <v>153</v>
      </c>
      <c r="DU246" t="s">
        <v>153</v>
      </c>
      <c r="DV246" t="s">
        <v>153</v>
      </c>
      <c r="DW246" t="s">
        <v>153</v>
      </c>
      <c r="DX246" s="2"/>
      <c r="DY246" t="s">
        <v>153</v>
      </c>
      <c r="DZ246" t="s">
        <v>153</v>
      </c>
      <c r="EA246" t="s">
        <v>153</v>
      </c>
      <c r="EB246" t="s">
        <v>153</v>
      </c>
      <c r="EC246" t="s">
        <v>153</v>
      </c>
      <c r="ED246" t="s">
        <v>153</v>
      </c>
      <c r="EE246" t="s">
        <v>153</v>
      </c>
      <c r="EF246" t="s">
        <v>153</v>
      </c>
      <c r="EH246" t="s">
        <v>153</v>
      </c>
      <c r="EI246" t="s">
        <v>153</v>
      </c>
      <c r="EJ246" t="s">
        <v>153</v>
      </c>
      <c r="EK246" t="s">
        <v>153</v>
      </c>
      <c r="EM246" t="s">
        <v>153</v>
      </c>
      <c r="EN246" t="s">
        <v>153</v>
      </c>
      <c r="EP246" s="4" t="s">
        <v>153</v>
      </c>
      <c r="EQ246" s="4" t="s">
        <v>153</v>
      </c>
      <c r="ER246" s="4" t="s">
        <v>243</v>
      </c>
      <c r="ES246" s="4" t="s">
        <v>244</v>
      </c>
      <c r="ET246" t="s">
        <v>3060</v>
      </c>
      <c r="EU246" t="s">
        <v>3051</v>
      </c>
      <c r="EV246" t="s">
        <v>2532</v>
      </c>
      <c r="EW246">
        <v>1381549380</v>
      </c>
      <c r="EX246" t="s">
        <v>3052</v>
      </c>
    </row>
    <row r="247" spans="1:154" x14ac:dyDescent="0.25">
      <c r="A247" s="3">
        <v>45917.741932870369</v>
      </c>
      <c r="B247" s="4" t="s">
        <v>153</v>
      </c>
      <c r="C247" s="4" t="s">
        <v>822</v>
      </c>
      <c r="D247" s="4" t="s">
        <v>823</v>
      </c>
      <c r="E247" s="4" t="s">
        <v>824</v>
      </c>
      <c r="F247" s="4" t="s">
        <v>825</v>
      </c>
      <c r="G247" s="4" t="s">
        <v>252</v>
      </c>
      <c r="H247" s="4" t="s">
        <v>826</v>
      </c>
      <c r="I247" s="4" t="s">
        <v>3061</v>
      </c>
      <c r="J247" s="4" t="s">
        <v>3062</v>
      </c>
      <c r="K247" s="5"/>
      <c r="L247" s="4" t="s">
        <v>153</v>
      </c>
      <c r="M247" s="4" t="s">
        <v>153</v>
      </c>
      <c r="N247" s="4" t="s">
        <v>153</v>
      </c>
      <c r="O247" s="4" t="s">
        <v>153</v>
      </c>
      <c r="P247" s="4" t="s">
        <v>153</v>
      </c>
      <c r="Q247" s="4" t="s">
        <v>153</v>
      </c>
      <c r="R247" s="4" t="s">
        <v>153</v>
      </c>
      <c r="S247" s="4" t="s">
        <v>153</v>
      </c>
      <c r="T247" s="4" t="s">
        <v>153</v>
      </c>
      <c r="U247" s="4" t="s">
        <v>153</v>
      </c>
      <c r="V247" s="4" t="s">
        <v>153</v>
      </c>
      <c r="W247" s="4" t="s">
        <v>153</v>
      </c>
      <c r="X247" s="4" t="s">
        <v>153</v>
      </c>
      <c r="Y247" s="4" t="s">
        <v>153</v>
      </c>
      <c r="Z247" s="4" t="s">
        <v>153</v>
      </c>
      <c r="AA247" s="4" t="s">
        <v>153</v>
      </c>
      <c r="AB247" s="4" t="s">
        <v>153</v>
      </c>
      <c r="AC247" s="4" t="s">
        <v>153</v>
      </c>
      <c r="AD247" s="4" t="s">
        <v>153</v>
      </c>
      <c r="AE247" s="4" t="s">
        <v>153</v>
      </c>
      <c r="AF247" s="4" t="s">
        <v>153</v>
      </c>
      <c r="AG247" s="4" t="s">
        <v>153</v>
      </c>
      <c r="AH247" s="4" t="s">
        <v>153</v>
      </c>
      <c r="AI247" s="5"/>
      <c r="AJ247" t="s">
        <v>153</v>
      </c>
      <c r="AK247" s="4"/>
      <c r="AL247" t="s">
        <v>153</v>
      </c>
      <c r="AM247" t="s">
        <v>153</v>
      </c>
      <c r="AO247" t="s">
        <v>153</v>
      </c>
      <c r="AP247" s="4"/>
      <c r="AQ247" t="s">
        <v>153</v>
      </c>
      <c r="AR247" s="5">
        <v>45870</v>
      </c>
      <c r="AS247">
        <v>1</v>
      </c>
      <c r="AT247" s="4" t="s">
        <v>2373</v>
      </c>
      <c r="AU247" s="4" t="s">
        <v>2374</v>
      </c>
      <c r="AV247" s="4" t="s">
        <v>153</v>
      </c>
      <c r="AW247" t="s">
        <v>153</v>
      </c>
      <c r="AX247" t="s">
        <v>153</v>
      </c>
      <c r="AY247" t="s">
        <v>153</v>
      </c>
      <c r="AZ247" t="s">
        <v>3063</v>
      </c>
      <c r="BA247" t="s">
        <v>153</v>
      </c>
      <c r="BB247" t="s">
        <v>153</v>
      </c>
      <c r="BC247" t="s">
        <v>153</v>
      </c>
      <c r="BD247" s="4" t="s">
        <v>3064</v>
      </c>
      <c r="BE247" s="4" t="s">
        <v>3065</v>
      </c>
      <c r="BF247" t="s">
        <v>242</v>
      </c>
      <c r="BG247" s="4" t="s">
        <v>3066</v>
      </c>
      <c r="BH247" t="s">
        <v>153</v>
      </c>
      <c r="BI247" s="4" t="s">
        <v>153</v>
      </c>
      <c r="BJ247" t="s">
        <v>153</v>
      </c>
      <c r="BK247" s="4" t="s">
        <v>153</v>
      </c>
      <c r="BL247" t="s">
        <v>153</v>
      </c>
      <c r="BM247" t="s">
        <v>153</v>
      </c>
      <c r="BN247" s="4" t="s">
        <v>153</v>
      </c>
      <c r="BO247" s="4" t="s">
        <v>153</v>
      </c>
      <c r="BP247" s="4" t="s">
        <v>153</v>
      </c>
      <c r="BQ247" s="4" t="s">
        <v>153</v>
      </c>
      <c r="BR247" s="4" t="s">
        <v>153</v>
      </c>
      <c r="BS247" s="4" t="s">
        <v>153</v>
      </c>
      <c r="BT247" s="4" t="s">
        <v>153</v>
      </c>
      <c r="BU247" s="4" t="s">
        <v>153</v>
      </c>
      <c r="BV247" s="4"/>
      <c r="BW247" s="4" t="s">
        <v>153</v>
      </c>
      <c r="BX247" s="4" t="s">
        <v>153</v>
      </c>
      <c r="BY247" s="4" t="s">
        <v>153</v>
      </c>
      <c r="BZ247" s="4" t="s">
        <v>153</v>
      </c>
      <c r="CA247" s="4" t="s">
        <v>153</v>
      </c>
      <c r="CB247" s="4"/>
      <c r="CC247" s="4" t="s">
        <v>153</v>
      </c>
      <c r="CD247" t="s">
        <v>153</v>
      </c>
      <c r="CE247" s="4" t="s">
        <v>153</v>
      </c>
      <c r="CF247" s="4" t="s">
        <v>153</v>
      </c>
      <c r="CG247" s="4" t="s">
        <v>153</v>
      </c>
      <c r="CH247" s="5"/>
      <c r="CI247" t="s">
        <v>153</v>
      </c>
      <c r="CJ247" s="4"/>
      <c r="CK247" t="s">
        <v>153</v>
      </c>
      <c r="CL247" t="s">
        <v>153</v>
      </c>
      <c r="CM247" t="s">
        <v>153</v>
      </c>
      <c r="CN247" t="s">
        <v>153</v>
      </c>
      <c r="CO247" s="5"/>
      <c r="CP247" s="4" t="s">
        <v>153</v>
      </c>
      <c r="CQ247" s="4" t="s">
        <v>153</v>
      </c>
      <c r="CR247" t="s">
        <v>153</v>
      </c>
      <c r="CS247" t="s">
        <v>153</v>
      </c>
      <c r="CT247" t="s">
        <v>153</v>
      </c>
      <c r="CU247" t="s">
        <v>153</v>
      </c>
      <c r="CV247" t="s">
        <v>153</v>
      </c>
      <c r="CW247" t="s">
        <v>153</v>
      </c>
      <c r="CX247" t="s">
        <v>153</v>
      </c>
      <c r="CY247" t="s">
        <v>153</v>
      </c>
      <c r="CZ247" t="s">
        <v>153</v>
      </c>
      <c r="DA247" t="s">
        <v>153</v>
      </c>
      <c r="DB247" t="s">
        <v>153</v>
      </c>
      <c r="DC247" t="s">
        <v>153</v>
      </c>
      <c r="DD247" t="s">
        <v>153</v>
      </c>
      <c r="DE247" t="s">
        <v>153</v>
      </c>
      <c r="DF247" t="s">
        <v>153</v>
      </c>
      <c r="DG247" t="s">
        <v>153</v>
      </c>
      <c r="DI247" t="s">
        <v>153</v>
      </c>
      <c r="DJ247" t="s">
        <v>153</v>
      </c>
      <c r="DK247" t="s">
        <v>153</v>
      </c>
      <c r="DL247" t="s">
        <v>153</v>
      </c>
      <c r="DN247" t="s">
        <v>153</v>
      </c>
      <c r="DO247" t="s">
        <v>153</v>
      </c>
      <c r="DP247" t="s">
        <v>153</v>
      </c>
      <c r="DQ247" t="s">
        <v>153</v>
      </c>
      <c r="DR247" t="s">
        <v>153</v>
      </c>
      <c r="DS247" t="s">
        <v>153</v>
      </c>
      <c r="DT247" t="s">
        <v>153</v>
      </c>
      <c r="DU247" t="s">
        <v>153</v>
      </c>
      <c r="DV247" t="s">
        <v>153</v>
      </c>
      <c r="DW247" t="s">
        <v>153</v>
      </c>
      <c r="DX247" s="2"/>
      <c r="DY247" t="s">
        <v>153</v>
      </c>
      <c r="DZ247" t="s">
        <v>153</v>
      </c>
      <c r="EA247" t="s">
        <v>153</v>
      </c>
      <c r="EB247" t="s">
        <v>153</v>
      </c>
      <c r="EC247" t="s">
        <v>153</v>
      </c>
      <c r="ED247" t="s">
        <v>153</v>
      </c>
      <c r="EE247" t="s">
        <v>153</v>
      </c>
      <c r="EF247" t="s">
        <v>153</v>
      </c>
      <c r="EH247" t="s">
        <v>153</v>
      </c>
      <c r="EI247" t="s">
        <v>153</v>
      </c>
      <c r="EJ247" t="s">
        <v>153</v>
      </c>
      <c r="EK247" t="s">
        <v>153</v>
      </c>
      <c r="EM247" t="s">
        <v>153</v>
      </c>
      <c r="EN247" t="s">
        <v>153</v>
      </c>
      <c r="EP247" s="4" t="s">
        <v>153</v>
      </c>
      <c r="EQ247" s="4" t="s">
        <v>153</v>
      </c>
      <c r="ER247" s="4" t="s">
        <v>243</v>
      </c>
      <c r="ES247" s="4" t="s">
        <v>153</v>
      </c>
      <c r="ET247" t="s">
        <v>3067</v>
      </c>
      <c r="EU247" t="s">
        <v>3068</v>
      </c>
      <c r="EV247" t="s">
        <v>845</v>
      </c>
      <c r="EW247">
        <v>1381682859</v>
      </c>
      <c r="EX247" t="s">
        <v>3069</v>
      </c>
    </row>
    <row r="248" spans="1:154" x14ac:dyDescent="0.25">
      <c r="A248" s="3">
        <v>45917.759594907409</v>
      </c>
      <c r="B248" s="4" t="s">
        <v>153</v>
      </c>
      <c r="C248" s="4" t="s">
        <v>822</v>
      </c>
      <c r="D248" s="4" t="s">
        <v>823</v>
      </c>
      <c r="E248" s="4" t="s">
        <v>824</v>
      </c>
      <c r="F248" s="4" t="s">
        <v>825</v>
      </c>
      <c r="G248" s="4" t="s">
        <v>252</v>
      </c>
      <c r="H248" s="4" t="s">
        <v>826</v>
      </c>
      <c r="I248" s="4" t="s">
        <v>3070</v>
      </c>
      <c r="J248" s="4" t="s">
        <v>3071</v>
      </c>
      <c r="K248" s="5"/>
      <c r="L248" s="4" t="s">
        <v>153</v>
      </c>
      <c r="M248" s="4" t="s">
        <v>153</v>
      </c>
      <c r="N248" s="4" t="s">
        <v>153</v>
      </c>
      <c r="O248" s="4" t="s">
        <v>153</v>
      </c>
      <c r="P248" s="4" t="s">
        <v>153</v>
      </c>
      <c r="Q248" s="4" t="s">
        <v>153</v>
      </c>
      <c r="R248" s="4" t="s">
        <v>153</v>
      </c>
      <c r="S248" s="4" t="s">
        <v>153</v>
      </c>
      <c r="T248" s="4" t="s">
        <v>153</v>
      </c>
      <c r="U248" s="4" t="s">
        <v>153</v>
      </c>
      <c r="V248" s="4" t="s">
        <v>153</v>
      </c>
      <c r="W248" s="4" t="s">
        <v>153</v>
      </c>
      <c r="X248" s="4" t="s">
        <v>153</v>
      </c>
      <c r="Y248" s="4" t="s">
        <v>153</v>
      </c>
      <c r="Z248" s="4" t="s">
        <v>153</v>
      </c>
      <c r="AA248" s="4" t="s">
        <v>153</v>
      </c>
      <c r="AB248" s="4" t="s">
        <v>153</v>
      </c>
      <c r="AC248" s="4" t="s">
        <v>153</v>
      </c>
      <c r="AD248" s="4" t="s">
        <v>153</v>
      </c>
      <c r="AE248" s="4" t="s">
        <v>153</v>
      </c>
      <c r="AF248" s="4" t="s">
        <v>153</v>
      </c>
      <c r="AG248" s="4" t="s">
        <v>153</v>
      </c>
      <c r="AH248" s="4" t="s">
        <v>153</v>
      </c>
      <c r="AI248" s="5"/>
      <c r="AJ248" t="s">
        <v>153</v>
      </c>
      <c r="AK248" s="4"/>
      <c r="AL248" t="s">
        <v>153</v>
      </c>
      <c r="AM248" t="s">
        <v>153</v>
      </c>
      <c r="AO248" t="s">
        <v>153</v>
      </c>
      <c r="AP248" s="4"/>
      <c r="AQ248" t="s">
        <v>153</v>
      </c>
      <c r="AR248" s="5">
        <v>45908</v>
      </c>
      <c r="AS248">
        <v>2</v>
      </c>
      <c r="AT248" s="4" t="s">
        <v>1471</v>
      </c>
      <c r="AU248" s="4" t="s">
        <v>3072</v>
      </c>
      <c r="AV248" s="4" t="s">
        <v>153</v>
      </c>
      <c r="AW248" t="s">
        <v>153</v>
      </c>
      <c r="AX248" t="s">
        <v>153</v>
      </c>
      <c r="AY248" t="s">
        <v>153</v>
      </c>
      <c r="AZ248" t="s">
        <v>3073</v>
      </c>
      <c r="BA248" t="s">
        <v>153</v>
      </c>
      <c r="BB248" t="s">
        <v>153</v>
      </c>
      <c r="BC248" t="s">
        <v>3074</v>
      </c>
      <c r="BD248" s="4" t="s">
        <v>3075</v>
      </c>
      <c r="BE248" s="4" t="s">
        <v>3076</v>
      </c>
      <c r="BF248" t="s">
        <v>242</v>
      </c>
      <c r="BG248" s="4" t="s">
        <v>3077</v>
      </c>
      <c r="BH248" t="s">
        <v>153</v>
      </c>
      <c r="BI248" s="4" t="s">
        <v>153</v>
      </c>
      <c r="BJ248" t="s">
        <v>153</v>
      </c>
      <c r="BK248" s="4" t="s">
        <v>153</v>
      </c>
      <c r="BL248" t="s">
        <v>153</v>
      </c>
      <c r="BM248" t="s">
        <v>153</v>
      </c>
      <c r="BN248" s="4" t="s">
        <v>153</v>
      </c>
      <c r="BO248" s="4" t="s">
        <v>153</v>
      </c>
      <c r="BP248" s="4" t="s">
        <v>153</v>
      </c>
      <c r="BQ248" s="4" t="s">
        <v>153</v>
      </c>
      <c r="BR248" s="4" t="s">
        <v>153</v>
      </c>
      <c r="BS248" s="4" t="s">
        <v>153</v>
      </c>
      <c r="BT248" s="4" t="s">
        <v>153</v>
      </c>
      <c r="BU248" s="4" t="s">
        <v>153</v>
      </c>
      <c r="BV248" s="4"/>
      <c r="BW248" s="4" t="s">
        <v>153</v>
      </c>
      <c r="BX248" s="4" t="s">
        <v>153</v>
      </c>
      <c r="BY248" s="4" t="s">
        <v>153</v>
      </c>
      <c r="BZ248" s="4" t="s">
        <v>153</v>
      </c>
      <c r="CA248" s="4" t="s">
        <v>153</v>
      </c>
      <c r="CB248" s="4"/>
      <c r="CC248" s="4" t="s">
        <v>153</v>
      </c>
      <c r="CD248" t="s">
        <v>153</v>
      </c>
      <c r="CE248" s="4" t="s">
        <v>153</v>
      </c>
      <c r="CF248" s="4" t="s">
        <v>153</v>
      </c>
      <c r="CG248" s="4" t="s">
        <v>153</v>
      </c>
      <c r="CH248" s="5"/>
      <c r="CI248" t="s">
        <v>153</v>
      </c>
      <c r="CJ248" s="4"/>
      <c r="CK248" t="s">
        <v>153</v>
      </c>
      <c r="CL248" t="s">
        <v>153</v>
      </c>
      <c r="CM248" t="s">
        <v>153</v>
      </c>
      <c r="CN248" t="s">
        <v>153</v>
      </c>
      <c r="CO248" s="5"/>
      <c r="CP248" s="4" t="s">
        <v>153</v>
      </c>
      <c r="CQ248" s="4" t="s">
        <v>153</v>
      </c>
      <c r="CR248" t="s">
        <v>153</v>
      </c>
      <c r="CS248" t="s">
        <v>153</v>
      </c>
      <c r="CT248" t="s">
        <v>153</v>
      </c>
      <c r="CU248" t="s">
        <v>153</v>
      </c>
      <c r="CV248" t="s">
        <v>153</v>
      </c>
      <c r="CW248" t="s">
        <v>153</v>
      </c>
      <c r="CX248" t="s">
        <v>153</v>
      </c>
      <c r="CY248" t="s">
        <v>153</v>
      </c>
      <c r="CZ248" t="s">
        <v>153</v>
      </c>
      <c r="DA248" t="s">
        <v>153</v>
      </c>
      <c r="DB248" t="s">
        <v>153</v>
      </c>
      <c r="DC248" t="s">
        <v>153</v>
      </c>
      <c r="DD248" t="s">
        <v>153</v>
      </c>
      <c r="DE248" t="s">
        <v>153</v>
      </c>
      <c r="DF248" t="s">
        <v>153</v>
      </c>
      <c r="DG248" t="s">
        <v>153</v>
      </c>
      <c r="DI248" t="s">
        <v>153</v>
      </c>
      <c r="DJ248" t="s">
        <v>153</v>
      </c>
      <c r="DK248" t="s">
        <v>153</v>
      </c>
      <c r="DL248" t="s">
        <v>153</v>
      </c>
      <c r="DN248" t="s">
        <v>153</v>
      </c>
      <c r="DO248" t="s">
        <v>153</v>
      </c>
      <c r="DP248" t="s">
        <v>153</v>
      </c>
      <c r="DQ248" t="s">
        <v>153</v>
      </c>
      <c r="DR248" t="s">
        <v>153</v>
      </c>
      <c r="DS248" t="s">
        <v>153</v>
      </c>
      <c r="DT248" t="s">
        <v>153</v>
      </c>
      <c r="DU248" t="s">
        <v>153</v>
      </c>
      <c r="DV248" t="s">
        <v>153</v>
      </c>
      <c r="DW248" t="s">
        <v>153</v>
      </c>
      <c r="DX248" s="2"/>
      <c r="DY248" t="s">
        <v>153</v>
      </c>
      <c r="DZ248" t="s">
        <v>153</v>
      </c>
      <c r="EA248" t="s">
        <v>153</v>
      </c>
      <c r="EB248" t="s">
        <v>153</v>
      </c>
      <c r="EC248" t="s">
        <v>153</v>
      </c>
      <c r="ED248" t="s">
        <v>153</v>
      </c>
      <c r="EE248" t="s">
        <v>153</v>
      </c>
      <c r="EF248" t="s">
        <v>153</v>
      </c>
      <c r="EH248" t="s">
        <v>153</v>
      </c>
      <c r="EI248" t="s">
        <v>153</v>
      </c>
      <c r="EJ248" t="s">
        <v>153</v>
      </c>
      <c r="EK248" t="s">
        <v>153</v>
      </c>
      <c r="EM248" t="s">
        <v>153</v>
      </c>
      <c r="EN248" t="s">
        <v>153</v>
      </c>
      <c r="EP248" s="4" t="s">
        <v>153</v>
      </c>
      <c r="EQ248" s="4" t="s">
        <v>153</v>
      </c>
      <c r="ER248" s="4" t="s">
        <v>176</v>
      </c>
      <c r="ES248" s="4" t="s">
        <v>153</v>
      </c>
      <c r="ET248" t="s">
        <v>3078</v>
      </c>
      <c r="EU248" t="s">
        <v>3068</v>
      </c>
      <c r="EV248" t="s">
        <v>845</v>
      </c>
      <c r="EW248">
        <v>1381690188</v>
      </c>
      <c r="EX248" t="s">
        <v>3069</v>
      </c>
    </row>
    <row r="249" spans="1:154" x14ac:dyDescent="0.25">
      <c r="A249" s="3">
        <v>45923.619027777779</v>
      </c>
      <c r="B249" s="4" t="s">
        <v>153</v>
      </c>
      <c r="C249" s="4" t="s">
        <v>2686</v>
      </c>
      <c r="D249" s="4" t="s">
        <v>2687</v>
      </c>
      <c r="E249" s="4" t="s">
        <v>2688</v>
      </c>
      <c r="F249" s="4" t="s">
        <v>2689</v>
      </c>
      <c r="G249" s="4" t="s">
        <v>423</v>
      </c>
      <c r="H249" s="4" t="s">
        <v>226</v>
      </c>
      <c r="I249" s="4" t="s">
        <v>3079</v>
      </c>
      <c r="J249" s="4" t="s">
        <v>3080</v>
      </c>
      <c r="K249" s="5"/>
      <c r="L249" s="4" t="s">
        <v>153</v>
      </c>
      <c r="M249" s="4" t="s">
        <v>153</v>
      </c>
      <c r="N249" s="4" t="s">
        <v>153</v>
      </c>
      <c r="O249" s="4" t="s">
        <v>153</v>
      </c>
      <c r="P249" s="4" t="s">
        <v>153</v>
      </c>
      <c r="Q249" s="4" t="s">
        <v>153</v>
      </c>
      <c r="R249" s="4" t="s">
        <v>153</v>
      </c>
      <c r="S249" s="4" t="s">
        <v>153</v>
      </c>
      <c r="T249" s="4" t="s">
        <v>153</v>
      </c>
      <c r="U249" s="4" t="s">
        <v>153</v>
      </c>
      <c r="V249" s="4" t="s">
        <v>153</v>
      </c>
      <c r="W249" s="4" t="s">
        <v>153</v>
      </c>
      <c r="X249" s="4" t="s">
        <v>153</v>
      </c>
      <c r="Y249" s="4" t="s">
        <v>153</v>
      </c>
      <c r="Z249" s="4" t="s">
        <v>153</v>
      </c>
      <c r="AA249" s="4" t="s">
        <v>153</v>
      </c>
      <c r="AB249" s="4" t="s">
        <v>153</v>
      </c>
      <c r="AC249" s="4" t="s">
        <v>153</v>
      </c>
      <c r="AD249" s="4" t="s">
        <v>153</v>
      </c>
      <c r="AE249" s="4" t="s">
        <v>153</v>
      </c>
      <c r="AF249" s="4" t="s">
        <v>153</v>
      </c>
      <c r="AG249" s="4" t="s">
        <v>153</v>
      </c>
      <c r="AH249" s="4" t="s">
        <v>153</v>
      </c>
      <c r="AI249" s="5"/>
      <c r="AJ249" t="s">
        <v>153</v>
      </c>
      <c r="AK249" s="4"/>
      <c r="AL249" t="s">
        <v>153</v>
      </c>
      <c r="AM249" t="s">
        <v>153</v>
      </c>
      <c r="AO249" t="s">
        <v>153</v>
      </c>
      <c r="AP249" s="4"/>
      <c r="AQ249" t="s">
        <v>153</v>
      </c>
      <c r="AR249" s="5"/>
      <c r="AT249" s="4" t="s">
        <v>153</v>
      </c>
      <c r="AU249" s="4" t="s">
        <v>153</v>
      </c>
      <c r="AV249" s="4" t="s">
        <v>153</v>
      </c>
      <c r="AW249" t="s">
        <v>153</v>
      </c>
      <c r="AX249" t="s">
        <v>153</v>
      </c>
      <c r="AY249" t="s">
        <v>153</v>
      </c>
      <c r="AZ249" t="s">
        <v>153</v>
      </c>
      <c r="BA249" t="s">
        <v>153</v>
      </c>
      <c r="BB249" t="s">
        <v>153</v>
      </c>
      <c r="BC249" t="s">
        <v>153</v>
      </c>
      <c r="BD249" s="4" t="s">
        <v>153</v>
      </c>
      <c r="BE249" s="4" t="s">
        <v>153</v>
      </c>
      <c r="BF249" t="s">
        <v>153</v>
      </c>
      <c r="BG249" s="4" t="s">
        <v>153</v>
      </c>
      <c r="BH249" t="s">
        <v>153</v>
      </c>
      <c r="BI249" s="4" t="s">
        <v>3081</v>
      </c>
      <c r="BJ249" t="s">
        <v>153</v>
      </c>
      <c r="BK249" s="4" t="s">
        <v>153</v>
      </c>
      <c r="BL249" t="s">
        <v>3082</v>
      </c>
      <c r="BM249" t="s">
        <v>3083</v>
      </c>
      <c r="BN249" s="4" t="s">
        <v>403</v>
      </c>
      <c r="BO249" s="4" t="s">
        <v>153</v>
      </c>
      <c r="BP249" s="4" t="s">
        <v>153</v>
      </c>
      <c r="BQ249" s="4" t="s">
        <v>153</v>
      </c>
      <c r="BR249" s="4" t="s">
        <v>3084</v>
      </c>
      <c r="BS249" s="4" t="s">
        <v>153</v>
      </c>
      <c r="BT249" s="4" t="s">
        <v>3085</v>
      </c>
      <c r="BU249" s="4" t="s">
        <v>235</v>
      </c>
      <c r="BV249" s="4">
        <v>79605</v>
      </c>
      <c r="BW249" s="4" t="s">
        <v>430</v>
      </c>
      <c r="BX249" s="4" t="s">
        <v>3084</v>
      </c>
      <c r="BY249" s="4" t="s">
        <v>153</v>
      </c>
      <c r="BZ249" s="4" t="s">
        <v>3085</v>
      </c>
      <c r="CA249" s="4" t="s">
        <v>235</v>
      </c>
      <c r="CB249" s="4">
        <v>79605</v>
      </c>
      <c r="CC249" s="4" t="s">
        <v>430</v>
      </c>
      <c r="CD249" t="s">
        <v>153</v>
      </c>
      <c r="CE249" s="4" t="s">
        <v>153</v>
      </c>
      <c r="CF249" s="4" t="s">
        <v>153</v>
      </c>
      <c r="CG249" s="4" t="s">
        <v>153</v>
      </c>
      <c r="CH249" s="5"/>
      <c r="CI249" t="s">
        <v>3086</v>
      </c>
      <c r="CJ249" s="4"/>
      <c r="CK249" t="s">
        <v>153</v>
      </c>
      <c r="CL249" t="s">
        <v>153</v>
      </c>
      <c r="CM249" t="s">
        <v>3087</v>
      </c>
      <c r="CN249" t="s">
        <v>153</v>
      </c>
      <c r="CO249" s="5"/>
      <c r="CP249" s="4" t="s">
        <v>153</v>
      </c>
      <c r="CQ249" s="4" t="s">
        <v>153</v>
      </c>
      <c r="CR249" t="s">
        <v>153</v>
      </c>
      <c r="CS249" t="s">
        <v>153</v>
      </c>
      <c r="CT249" t="s">
        <v>153</v>
      </c>
      <c r="CU249" t="s">
        <v>153</v>
      </c>
      <c r="CV249" t="s">
        <v>153</v>
      </c>
      <c r="CW249" t="s">
        <v>153</v>
      </c>
      <c r="CX249" t="s">
        <v>153</v>
      </c>
      <c r="CY249" t="s">
        <v>153</v>
      </c>
      <c r="CZ249" t="s">
        <v>153</v>
      </c>
      <c r="DA249" t="s">
        <v>153</v>
      </c>
      <c r="DB249" t="s">
        <v>153</v>
      </c>
      <c r="DC249" t="s">
        <v>153</v>
      </c>
      <c r="DD249" t="s">
        <v>153</v>
      </c>
      <c r="DE249" t="s">
        <v>153</v>
      </c>
      <c r="DF249" t="s">
        <v>153</v>
      </c>
      <c r="DG249" t="s">
        <v>153</v>
      </c>
      <c r="DI249" t="s">
        <v>153</v>
      </c>
      <c r="DJ249" t="s">
        <v>153</v>
      </c>
      <c r="DK249" t="s">
        <v>153</v>
      </c>
      <c r="DL249" t="s">
        <v>153</v>
      </c>
      <c r="DN249" t="s">
        <v>153</v>
      </c>
      <c r="DO249" t="s">
        <v>153</v>
      </c>
      <c r="DP249" t="s">
        <v>153</v>
      </c>
      <c r="DQ249" t="s">
        <v>153</v>
      </c>
      <c r="DR249" t="s">
        <v>153</v>
      </c>
      <c r="DS249" t="s">
        <v>153</v>
      </c>
      <c r="DT249" t="s">
        <v>153</v>
      </c>
      <c r="DU249" t="s">
        <v>153</v>
      </c>
      <c r="DV249" t="s">
        <v>153</v>
      </c>
      <c r="DW249" t="s">
        <v>153</v>
      </c>
      <c r="DX249" s="2"/>
      <c r="DY249" t="s">
        <v>153</v>
      </c>
      <c r="DZ249" t="s">
        <v>153</v>
      </c>
      <c r="EA249" t="s">
        <v>153</v>
      </c>
      <c r="EB249" t="s">
        <v>153</v>
      </c>
      <c r="EC249" t="s">
        <v>153</v>
      </c>
      <c r="ED249" t="s">
        <v>153</v>
      </c>
      <c r="EE249" t="s">
        <v>153</v>
      </c>
      <c r="EF249" t="s">
        <v>153</v>
      </c>
      <c r="EH249" t="s">
        <v>153</v>
      </c>
      <c r="EI249" t="s">
        <v>153</v>
      </c>
      <c r="EJ249" t="s">
        <v>153</v>
      </c>
      <c r="EK249" t="s">
        <v>153</v>
      </c>
      <c r="EM249" t="s">
        <v>153</v>
      </c>
      <c r="EN249" t="s">
        <v>153</v>
      </c>
      <c r="EP249" s="4" t="s">
        <v>153</v>
      </c>
      <c r="EQ249" s="4" t="s">
        <v>153</v>
      </c>
      <c r="ER249" s="4" t="s">
        <v>153</v>
      </c>
      <c r="ES249" s="4" t="s">
        <v>153</v>
      </c>
      <c r="ET249" t="s">
        <v>3088</v>
      </c>
      <c r="EU249" t="s">
        <v>3089</v>
      </c>
      <c r="EV249" t="s">
        <v>2698</v>
      </c>
      <c r="EW249">
        <v>1383363932</v>
      </c>
      <c r="EX249" t="s">
        <v>3090</v>
      </c>
    </row>
    <row r="250" spans="1:154" x14ac:dyDescent="0.25">
      <c r="A250" s="3">
        <v>45926.838020833333</v>
      </c>
      <c r="B250" s="4" t="s">
        <v>153</v>
      </c>
      <c r="C250" s="4" t="s">
        <v>154</v>
      </c>
      <c r="D250" s="4" t="s">
        <v>155</v>
      </c>
      <c r="E250" s="4" t="s">
        <v>2728</v>
      </c>
      <c r="F250" s="4" t="s">
        <v>157</v>
      </c>
      <c r="G250" s="4" t="s">
        <v>948</v>
      </c>
      <c r="H250" s="4" t="s">
        <v>159</v>
      </c>
      <c r="I250" s="4" t="s">
        <v>3091</v>
      </c>
      <c r="J250" s="4" t="s">
        <v>3092</v>
      </c>
      <c r="K250" s="5">
        <v>45658</v>
      </c>
      <c r="L250" s="4" t="s">
        <v>327</v>
      </c>
      <c r="M250" s="4" t="s">
        <v>3091</v>
      </c>
      <c r="N250" s="4" t="s">
        <v>153</v>
      </c>
      <c r="O250" s="4" t="s">
        <v>3093</v>
      </c>
      <c r="P250" s="4" t="s">
        <v>3094</v>
      </c>
      <c r="Q250" s="4" t="s">
        <v>153</v>
      </c>
      <c r="R250" s="4" t="s">
        <v>191</v>
      </c>
      <c r="S250" s="4" t="s">
        <v>153</v>
      </c>
      <c r="T250" s="4" t="s">
        <v>153</v>
      </c>
      <c r="U250" s="4" t="s">
        <v>153</v>
      </c>
      <c r="V250" s="4" t="s">
        <v>153</v>
      </c>
      <c r="W250" s="4" t="s">
        <v>153</v>
      </c>
      <c r="X250" s="4" t="s">
        <v>153</v>
      </c>
      <c r="Y250" s="4" t="s">
        <v>153</v>
      </c>
      <c r="Z250" s="4" t="s">
        <v>153</v>
      </c>
      <c r="AA250" s="4" t="s">
        <v>3095</v>
      </c>
      <c r="AB250" s="4" t="s">
        <v>153</v>
      </c>
      <c r="AC250" s="4" t="s">
        <v>3096</v>
      </c>
      <c r="AD250" s="4" t="s">
        <v>167</v>
      </c>
      <c r="AE250" s="4" t="s">
        <v>3097</v>
      </c>
      <c r="AF250" s="4" t="s">
        <v>3098</v>
      </c>
      <c r="AG250" s="4" t="s">
        <v>3099</v>
      </c>
      <c r="AH250" s="4" t="s">
        <v>153</v>
      </c>
      <c r="AI250" s="5"/>
      <c r="AJ250" t="s">
        <v>153</v>
      </c>
      <c r="AK250" s="4"/>
      <c r="AL250" t="s">
        <v>153</v>
      </c>
      <c r="AM250" t="s">
        <v>153</v>
      </c>
      <c r="AO250" t="s">
        <v>153</v>
      </c>
      <c r="AP250" s="4"/>
      <c r="AQ250" t="s">
        <v>153</v>
      </c>
      <c r="AR250" s="5"/>
      <c r="AT250" s="4" t="s">
        <v>153</v>
      </c>
      <c r="AU250" s="4" t="s">
        <v>153</v>
      </c>
      <c r="AV250" s="4" t="s">
        <v>153</v>
      </c>
      <c r="AW250" t="s">
        <v>153</v>
      </c>
      <c r="AX250" t="s">
        <v>153</v>
      </c>
      <c r="AY250" t="s">
        <v>153</v>
      </c>
      <c r="AZ250" t="s">
        <v>153</v>
      </c>
      <c r="BA250" t="s">
        <v>153</v>
      </c>
      <c r="BB250" t="s">
        <v>153</v>
      </c>
      <c r="BC250" t="s">
        <v>153</v>
      </c>
      <c r="BD250" s="4" t="s">
        <v>153</v>
      </c>
      <c r="BE250" s="4" t="s">
        <v>153</v>
      </c>
      <c r="BF250" t="s">
        <v>153</v>
      </c>
      <c r="BG250" s="4" t="s">
        <v>153</v>
      </c>
      <c r="BH250" t="s">
        <v>153</v>
      </c>
      <c r="BI250" s="4" t="s">
        <v>153</v>
      </c>
      <c r="BJ250" t="s">
        <v>153</v>
      </c>
      <c r="BK250" s="4" t="s">
        <v>153</v>
      </c>
      <c r="BL250" t="s">
        <v>153</v>
      </c>
      <c r="BM250" t="s">
        <v>153</v>
      </c>
      <c r="BN250" s="4" t="s">
        <v>153</v>
      </c>
      <c r="BO250" s="4" t="s">
        <v>153</v>
      </c>
      <c r="BP250" s="4" t="s">
        <v>153</v>
      </c>
      <c r="BQ250" s="4" t="s">
        <v>153</v>
      </c>
      <c r="BR250" s="4" t="s">
        <v>153</v>
      </c>
      <c r="BS250" s="4" t="s">
        <v>153</v>
      </c>
      <c r="BT250" s="4" t="s">
        <v>153</v>
      </c>
      <c r="BU250" s="4" t="s">
        <v>153</v>
      </c>
      <c r="BV250" s="4"/>
      <c r="BW250" s="4" t="s">
        <v>153</v>
      </c>
      <c r="BX250" s="4" t="s">
        <v>153</v>
      </c>
      <c r="BY250" s="4" t="s">
        <v>153</v>
      </c>
      <c r="BZ250" s="4" t="s">
        <v>153</v>
      </c>
      <c r="CA250" s="4" t="s">
        <v>153</v>
      </c>
      <c r="CB250" s="4"/>
      <c r="CC250" s="4" t="s">
        <v>153</v>
      </c>
      <c r="CD250" t="s">
        <v>153</v>
      </c>
      <c r="CE250" s="4" t="s">
        <v>153</v>
      </c>
      <c r="CF250" s="4" t="s">
        <v>153</v>
      </c>
      <c r="CG250" s="4" t="s">
        <v>153</v>
      </c>
      <c r="CH250" s="5"/>
      <c r="CI250" t="s">
        <v>153</v>
      </c>
      <c r="CJ250" s="4"/>
      <c r="CK250" t="s">
        <v>153</v>
      </c>
      <c r="CL250" t="s">
        <v>153</v>
      </c>
      <c r="CM250" t="s">
        <v>153</v>
      </c>
      <c r="CN250" t="s">
        <v>153</v>
      </c>
      <c r="CO250" s="5"/>
      <c r="CP250" s="4" t="s">
        <v>153</v>
      </c>
      <c r="CQ250" s="4" t="s">
        <v>153</v>
      </c>
      <c r="CR250" t="s">
        <v>153</v>
      </c>
      <c r="CS250" t="s">
        <v>153</v>
      </c>
      <c r="CT250" t="s">
        <v>153</v>
      </c>
      <c r="CU250" t="s">
        <v>153</v>
      </c>
      <c r="CV250" t="s">
        <v>153</v>
      </c>
      <c r="CW250" t="s">
        <v>153</v>
      </c>
      <c r="CX250" t="s">
        <v>153</v>
      </c>
      <c r="CY250" t="s">
        <v>153</v>
      </c>
      <c r="CZ250" t="s">
        <v>153</v>
      </c>
      <c r="DA250" t="s">
        <v>153</v>
      </c>
      <c r="DB250" t="s">
        <v>153</v>
      </c>
      <c r="DC250" t="s">
        <v>153</v>
      </c>
      <c r="DD250" t="s">
        <v>153</v>
      </c>
      <c r="DE250" t="s">
        <v>153</v>
      </c>
      <c r="DF250" t="s">
        <v>153</v>
      </c>
      <c r="DG250" t="s">
        <v>153</v>
      </c>
      <c r="DI250" t="s">
        <v>153</v>
      </c>
      <c r="DJ250" t="s">
        <v>153</v>
      </c>
      <c r="DK250" t="s">
        <v>153</v>
      </c>
      <c r="DL250" t="s">
        <v>153</v>
      </c>
      <c r="DN250" t="s">
        <v>153</v>
      </c>
      <c r="DO250" t="s">
        <v>153</v>
      </c>
      <c r="DP250" t="s">
        <v>153</v>
      </c>
      <c r="DQ250" t="s">
        <v>153</v>
      </c>
      <c r="DR250" t="s">
        <v>153</v>
      </c>
      <c r="DS250" t="s">
        <v>153</v>
      </c>
      <c r="DT250" t="s">
        <v>153</v>
      </c>
      <c r="DU250" t="s">
        <v>153</v>
      </c>
      <c r="DV250" t="s">
        <v>153</v>
      </c>
      <c r="DW250" t="s">
        <v>153</v>
      </c>
      <c r="DX250" s="2"/>
      <c r="DY250" t="s">
        <v>153</v>
      </c>
      <c r="DZ250" t="s">
        <v>153</v>
      </c>
      <c r="EA250" t="s">
        <v>153</v>
      </c>
      <c r="EB250" t="s">
        <v>153</v>
      </c>
      <c r="EC250" t="s">
        <v>153</v>
      </c>
      <c r="ED250" t="s">
        <v>153</v>
      </c>
      <c r="EE250" t="s">
        <v>153</v>
      </c>
      <c r="EF250" t="s">
        <v>153</v>
      </c>
      <c r="EH250" t="s">
        <v>153</v>
      </c>
      <c r="EI250" t="s">
        <v>153</v>
      </c>
      <c r="EJ250" t="s">
        <v>153</v>
      </c>
      <c r="EK250" t="s">
        <v>153</v>
      </c>
      <c r="EM250" t="s">
        <v>153</v>
      </c>
      <c r="EN250" t="s">
        <v>153</v>
      </c>
      <c r="EP250" s="4" t="s">
        <v>153</v>
      </c>
      <c r="EQ250" s="4" t="s">
        <v>153</v>
      </c>
      <c r="ER250" s="4" t="s">
        <v>153</v>
      </c>
      <c r="ES250" s="4" t="s">
        <v>153</v>
      </c>
      <c r="ET250" t="s">
        <v>153</v>
      </c>
      <c r="EU250" t="s">
        <v>3051</v>
      </c>
      <c r="EV250" t="s">
        <v>179</v>
      </c>
      <c r="EW250">
        <v>1384535494</v>
      </c>
      <c r="EX250" t="s">
        <v>2741</v>
      </c>
    </row>
    <row r="251" spans="1:154" x14ac:dyDescent="0.25">
      <c r="A251" s="3">
        <v>45929.740081018521</v>
      </c>
      <c r="B251" s="4" t="s">
        <v>153</v>
      </c>
      <c r="C251" s="4" t="s">
        <v>822</v>
      </c>
      <c r="D251" s="4" t="s">
        <v>823</v>
      </c>
      <c r="E251" s="4" t="s">
        <v>824</v>
      </c>
      <c r="F251" s="4" t="s">
        <v>825</v>
      </c>
      <c r="G251" s="4" t="s">
        <v>423</v>
      </c>
      <c r="H251" s="4" t="s">
        <v>826</v>
      </c>
      <c r="I251" s="4" t="s">
        <v>3100</v>
      </c>
      <c r="J251" s="4" t="s">
        <v>2387</v>
      </c>
      <c r="K251" s="5"/>
      <c r="L251" s="4" t="s">
        <v>153</v>
      </c>
      <c r="M251" s="4" t="s">
        <v>153</v>
      </c>
      <c r="N251" s="4" t="s">
        <v>153</v>
      </c>
      <c r="O251" s="4" t="s">
        <v>153</v>
      </c>
      <c r="P251" s="4" t="s">
        <v>153</v>
      </c>
      <c r="Q251" s="4" t="s">
        <v>153</v>
      </c>
      <c r="R251" s="4" t="s">
        <v>153</v>
      </c>
      <c r="S251" s="4" t="s">
        <v>153</v>
      </c>
      <c r="T251" s="4" t="s">
        <v>153</v>
      </c>
      <c r="U251" s="4" t="s">
        <v>153</v>
      </c>
      <c r="V251" s="4" t="s">
        <v>153</v>
      </c>
      <c r="W251" s="4" t="s">
        <v>153</v>
      </c>
      <c r="X251" s="4" t="s">
        <v>153</v>
      </c>
      <c r="Y251" s="4" t="s">
        <v>153</v>
      </c>
      <c r="Z251" s="4" t="s">
        <v>153</v>
      </c>
      <c r="AA251" s="4" t="s">
        <v>153</v>
      </c>
      <c r="AB251" s="4" t="s">
        <v>153</v>
      </c>
      <c r="AC251" s="4" t="s">
        <v>153</v>
      </c>
      <c r="AD251" s="4" t="s">
        <v>153</v>
      </c>
      <c r="AE251" s="4" t="s">
        <v>153</v>
      </c>
      <c r="AF251" s="4" t="s">
        <v>153</v>
      </c>
      <c r="AG251" s="4" t="s">
        <v>153</v>
      </c>
      <c r="AH251" s="4" t="s">
        <v>153</v>
      </c>
      <c r="AI251" s="5"/>
      <c r="AJ251" t="s">
        <v>153</v>
      </c>
      <c r="AK251" s="4"/>
      <c r="AL251" t="s">
        <v>153</v>
      </c>
      <c r="AM251" t="s">
        <v>153</v>
      </c>
      <c r="AO251" t="s">
        <v>153</v>
      </c>
      <c r="AP251" s="4"/>
      <c r="AQ251" t="s">
        <v>153</v>
      </c>
      <c r="AR251" s="5"/>
      <c r="AT251" s="4" t="s">
        <v>153</v>
      </c>
      <c r="AU251" s="4" t="s">
        <v>153</v>
      </c>
      <c r="AV251" s="4" t="s">
        <v>153</v>
      </c>
      <c r="AW251" t="s">
        <v>153</v>
      </c>
      <c r="AX251" t="s">
        <v>153</v>
      </c>
      <c r="AY251" t="s">
        <v>153</v>
      </c>
      <c r="AZ251" t="s">
        <v>153</v>
      </c>
      <c r="BA251" t="s">
        <v>153</v>
      </c>
      <c r="BB251" t="s">
        <v>153</v>
      </c>
      <c r="BC251" t="s">
        <v>153</v>
      </c>
      <c r="BD251" s="4" t="s">
        <v>153</v>
      </c>
      <c r="BE251" s="4" t="s">
        <v>153</v>
      </c>
      <c r="BF251" t="s">
        <v>153</v>
      </c>
      <c r="BG251" s="4" t="s">
        <v>153</v>
      </c>
      <c r="BH251" t="s">
        <v>153</v>
      </c>
      <c r="BI251" s="4" t="s">
        <v>2085</v>
      </c>
      <c r="BJ251" t="s">
        <v>153</v>
      </c>
      <c r="BK251" s="4" t="s">
        <v>153</v>
      </c>
      <c r="BL251" t="s">
        <v>864</v>
      </c>
      <c r="BM251" t="s">
        <v>2086</v>
      </c>
      <c r="BN251" s="4" t="s">
        <v>190</v>
      </c>
      <c r="BO251" s="4" t="s">
        <v>153</v>
      </c>
      <c r="BP251" s="4" t="s">
        <v>153</v>
      </c>
      <c r="BQ251" s="4" t="s">
        <v>153</v>
      </c>
      <c r="BR251" s="4" t="s">
        <v>3101</v>
      </c>
      <c r="BS251" s="4" t="s">
        <v>153</v>
      </c>
      <c r="BT251" s="4" t="s">
        <v>2450</v>
      </c>
      <c r="BU251" s="4" t="s">
        <v>347</v>
      </c>
      <c r="BV251" s="4">
        <v>91107</v>
      </c>
      <c r="BW251" s="4" t="s">
        <v>430</v>
      </c>
      <c r="BX251" s="4" t="s">
        <v>3102</v>
      </c>
      <c r="BY251" s="4" t="s">
        <v>153</v>
      </c>
      <c r="BZ251" s="4" t="s">
        <v>2450</v>
      </c>
      <c r="CA251" s="4" t="s">
        <v>347</v>
      </c>
      <c r="CB251" s="4">
        <v>91117</v>
      </c>
      <c r="CC251" s="4" t="s">
        <v>430</v>
      </c>
      <c r="CD251" t="s">
        <v>3103</v>
      </c>
      <c r="CE251" s="4" t="s">
        <v>153</v>
      </c>
      <c r="CF251" s="4" t="s">
        <v>153</v>
      </c>
      <c r="CG251" s="4" t="s">
        <v>153</v>
      </c>
      <c r="CH251" s="5"/>
      <c r="CI251" t="s">
        <v>153</v>
      </c>
      <c r="CJ251" s="4"/>
      <c r="CK251" t="s">
        <v>153</v>
      </c>
      <c r="CL251" t="s">
        <v>153</v>
      </c>
      <c r="CM251" t="s">
        <v>3104</v>
      </c>
      <c r="CN251" t="s">
        <v>153</v>
      </c>
      <c r="CO251" s="5"/>
      <c r="CP251" s="4" t="s">
        <v>153</v>
      </c>
      <c r="CQ251" s="4" t="s">
        <v>153</v>
      </c>
      <c r="CR251" t="s">
        <v>153</v>
      </c>
      <c r="CS251" t="s">
        <v>153</v>
      </c>
      <c r="CT251" t="s">
        <v>153</v>
      </c>
      <c r="CU251" t="s">
        <v>153</v>
      </c>
      <c r="CV251" t="s">
        <v>153</v>
      </c>
      <c r="CW251" t="s">
        <v>153</v>
      </c>
      <c r="CX251" t="s">
        <v>153</v>
      </c>
      <c r="CY251" t="s">
        <v>153</v>
      </c>
      <c r="CZ251" t="s">
        <v>153</v>
      </c>
      <c r="DA251" t="s">
        <v>153</v>
      </c>
      <c r="DB251" t="s">
        <v>153</v>
      </c>
      <c r="DC251" t="s">
        <v>153</v>
      </c>
      <c r="DD251" t="s">
        <v>153</v>
      </c>
      <c r="DE251" t="s">
        <v>153</v>
      </c>
      <c r="DF251" t="s">
        <v>153</v>
      </c>
      <c r="DG251" t="s">
        <v>153</v>
      </c>
      <c r="DI251" t="s">
        <v>153</v>
      </c>
      <c r="DJ251" t="s">
        <v>153</v>
      </c>
      <c r="DK251" t="s">
        <v>153</v>
      </c>
      <c r="DL251" t="s">
        <v>153</v>
      </c>
      <c r="DN251" t="s">
        <v>153</v>
      </c>
      <c r="DO251" t="s">
        <v>153</v>
      </c>
      <c r="DP251" t="s">
        <v>153</v>
      </c>
      <c r="DQ251" t="s">
        <v>153</v>
      </c>
      <c r="DR251" t="s">
        <v>153</v>
      </c>
      <c r="DS251" t="s">
        <v>153</v>
      </c>
      <c r="DT251" t="s">
        <v>153</v>
      </c>
      <c r="DU251" t="s">
        <v>153</v>
      </c>
      <c r="DV251" t="s">
        <v>153</v>
      </c>
      <c r="DW251" t="s">
        <v>153</v>
      </c>
      <c r="DX251" s="2"/>
      <c r="DY251" t="s">
        <v>153</v>
      </c>
      <c r="DZ251" t="s">
        <v>153</v>
      </c>
      <c r="EA251" t="s">
        <v>153</v>
      </c>
      <c r="EB251" t="s">
        <v>153</v>
      </c>
      <c r="EC251" t="s">
        <v>153</v>
      </c>
      <c r="ED251" t="s">
        <v>153</v>
      </c>
      <c r="EE251" t="s">
        <v>153</v>
      </c>
      <c r="EF251" t="s">
        <v>153</v>
      </c>
      <c r="EH251" t="s">
        <v>153</v>
      </c>
      <c r="EI251" t="s">
        <v>153</v>
      </c>
      <c r="EJ251" t="s">
        <v>153</v>
      </c>
      <c r="EK251" t="s">
        <v>153</v>
      </c>
      <c r="EM251" t="s">
        <v>153</v>
      </c>
      <c r="EN251" t="s">
        <v>153</v>
      </c>
      <c r="EP251" s="4" t="s">
        <v>153</v>
      </c>
      <c r="EQ251" s="4" t="s">
        <v>153</v>
      </c>
      <c r="ER251" s="4" t="s">
        <v>153</v>
      </c>
      <c r="ES251" s="4" t="s">
        <v>153</v>
      </c>
      <c r="ET251" t="s">
        <v>153</v>
      </c>
      <c r="EU251" t="s">
        <v>3089</v>
      </c>
      <c r="EV251" t="s">
        <v>845</v>
      </c>
      <c r="EW251">
        <v>1385172200</v>
      </c>
      <c r="EX251" t="s">
        <v>3069</v>
      </c>
    </row>
    <row r="252" spans="1:154" x14ac:dyDescent="0.25">
      <c r="A252" s="3">
        <v>45931.580057870371</v>
      </c>
      <c r="B252" s="4" t="s">
        <v>153</v>
      </c>
      <c r="C252" s="4" t="s">
        <v>2205</v>
      </c>
      <c r="D252" s="4" t="s">
        <v>2206</v>
      </c>
      <c r="E252" s="4" t="s">
        <v>3105</v>
      </c>
      <c r="F252" s="4" t="s">
        <v>1366</v>
      </c>
      <c r="G252" s="4" t="s">
        <v>185</v>
      </c>
      <c r="H252" s="4" t="s">
        <v>793</v>
      </c>
      <c r="I252" s="4" t="s">
        <v>3106</v>
      </c>
      <c r="J252" s="4" t="s">
        <v>153</v>
      </c>
      <c r="K252" s="5"/>
      <c r="L252" s="4" t="s">
        <v>153</v>
      </c>
      <c r="M252" s="4" t="s">
        <v>3106</v>
      </c>
      <c r="N252" s="4" t="s">
        <v>3107</v>
      </c>
      <c r="O252" s="4" t="s">
        <v>419</v>
      </c>
      <c r="P252" s="4" t="s">
        <v>3108</v>
      </c>
      <c r="Q252" s="4" t="s">
        <v>1486</v>
      </c>
      <c r="R252" s="4" t="s">
        <v>191</v>
      </c>
      <c r="S252" s="4" t="s">
        <v>3109</v>
      </c>
      <c r="T252" s="4" t="s">
        <v>3110</v>
      </c>
      <c r="U252" s="4" t="s">
        <v>3111</v>
      </c>
      <c r="V252" s="4" t="s">
        <v>153</v>
      </c>
      <c r="W252" s="4" t="s">
        <v>3112</v>
      </c>
      <c r="X252" s="4" t="s">
        <v>799</v>
      </c>
      <c r="Y252" s="4" t="s">
        <v>3113</v>
      </c>
      <c r="Z252" s="4" t="s">
        <v>197</v>
      </c>
      <c r="AA252" s="4" t="s">
        <v>3114</v>
      </c>
      <c r="AB252" s="4" t="s">
        <v>153</v>
      </c>
      <c r="AC252" s="4" t="s">
        <v>3112</v>
      </c>
      <c r="AD252" s="4" t="s">
        <v>799</v>
      </c>
      <c r="AE252" s="4" t="s">
        <v>3113</v>
      </c>
      <c r="AF252" s="4" t="s">
        <v>3115</v>
      </c>
      <c r="AG252" s="4" t="s">
        <v>3116</v>
      </c>
      <c r="AH252" s="4" t="s">
        <v>153</v>
      </c>
      <c r="AI252" s="5">
        <v>45808</v>
      </c>
      <c r="AJ252" t="s">
        <v>3117</v>
      </c>
      <c r="AK252" s="4">
        <v>1</v>
      </c>
      <c r="AL252" t="s">
        <v>153</v>
      </c>
      <c r="AM252" t="s">
        <v>153</v>
      </c>
      <c r="AO252" t="s">
        <v>153</v>
      </c>
      <c r="AP252" s="4"/>
      <c r="AQ252" t="s">
        <v>153</v>
      </c>
      <c r="AR252" s="5"/>
      <c r="AT252" s="4" t="s">
        <v>153</v>
      </c>
      <c r="AU252" s="4" t="s">
        <v>153</v>
      </c>
      <c r="AV252" s="4" t="s">
        <v>153</v>
      </c>
      <c r="AW252" t="s">
        <v>153</v>
      </c>
      <c r="AX252" t="s">
        <v>153</v>
      </c>
      <c r="AY252" t="s">
        <v>153</v>
      </c>
      <c r="AZ252" t="s">
        <v>153</v>
      </c>
      <c r="BA252" t="s">
        <v>153</v>
      </c>
      <c r="BB252" t="s">
        <v>153</v>
      </c>
      <c r="BC252" t="s">
        <v>153</v>
      </c>
      <c r="BD252" s="4" t="s">
        <v>153</v>
      </c>
      <c r="BE252" s="4" t="s">
        <v>153</v>
      </c>
      <c r="BF252" t="s">
        <v>153</v>
      </c>
      <c r="BG252" s="4" t="s">
        <v>153</v>
      </c>
      <c r="BH252" t="s">
        <v>153</v>
      </c>
      <c r="BI252" s="4" t="s">
        <v>153</v>
      </c>
      <c r="BJ252" t="s">
        <v>153</v>
      </c>
      <c r="BK252" s="4" t="s">
        <v>153</v>
      </c>
      <c r="BL252" t="s">
        <v>153</v>
      </c>
      <c r="BM252" t="s">
        <v>153</v>
      </c>
      <c r="BN252" s="4" t="s">
        <v>153</v>
      </c>
      <c r="BO252" s="4" t="s">
        <v>153</v>
      </c>
      <c r="BP252" s="4" t="s">
        <v>153</v>
      </c>
      <c r="BQ252" s="4" t="s">
        <v>153</v>
      </c>
      <c r="BR252" s="4" t="s">
        <v>153</v>
      </c>
      <c r="BS252" s="4" t="s">
        <v>153</v>
      </c>
      <c r="BT252" s="4" t="s">
        <v>153</v>
      </c>
      <c r="BU252" s="4" t="s">
        <v>153</v>
      </c>
      <c r="BV252" s="4"/>
      <c r="BW252" s="4" t="s">
        <v>153</v>
      </c>
      <c r="BX252" s="4" t="s">
        <v>153</v>
      </c>
      <c r="BY252" s="4" t="s">
        <v>153</v>
      </c>
      <c r="BZ252" s="4" t="s">
        <v>153</v>
      </c>
      <c r="CA252" s="4" t="s">
        <v>153</v>
      </c>
      <c r="CB252" s="4"/>
      <c r="CC252" s="4" t="s">
        <v>153</v>
      </c>
      <c r="CD252" t="s">
        <v>153</v>
      </c>
      <c r="CE252" s="4" t="s">
        <v>153</v>
      </c>
      <c r="CF252" s="4" t="s">
        <v>153</v>
      </c>
      <c r="CG252" s="4" t="s">
        <v>153</v>
      </c>
      <c r="CH252" s="5"/>
      <c r="CI252" t="s">
        <v>153</v>
      </c>
      <c r="CJ252" s="4"/>
      <c r="CK252" t="s">
        <v>153</v>
      </c>
      <c r="CL252" t="s">
        <v>153</v>
      </c>
      <c r="CM252" t="s">
        <v>153</v>
      </c>
      <c r="CN252" t="s">
        <v>153</v>
      </c>
      <c r="CO252" s="5"/>
      <c r="CP252" s="4" t="s">
        <v>153</v>
      </c>
      <c r="CQ252" s="4" t="s">
        <v>153</v>
      </c>
      <c r="CR252" t="s">
        <v>153</v>
      </c>
      <c r="CS252" t="s">
        <v>153</v>
      </c>
      <c r="CT252" t="s">
        <v>153</v>
      </c>
      <c r="CU252" t="s">
        <v>153</v>
      </c>
      <c r="CV252" t="s">
        <v>153</v>
      </c>
      <c r="CW252" t="s">
        <v>153</v>
      </c>
      <c r="CX252" t="s">
        <v>153</v>
      </c>
      <c r="CY252" t="s">
        <v>153</v>
      </c>
      <c r="CZ252" t="s">
        <v>153</v>
      </c>
      <c r="DA252" t="s">
        <v>153</v>
      </c>
      <c r="DB252" t="s">
        <v>153</v>
      </c>
      <c r="DC252" t="s">
        <v>153</v>
      </c>
      <c r="DD252" t="s">
        <v>153</v>
      </c>
      <c r="DE252" t="s">
        <v>153</v>
      </c>
      <c r="DF252" t="s">
        <v>153</v>
      </c>
      <c r="DG252" t="s">
        <v>153</v>
      </c>
      <c r="DI252" t="s">
        <v>153</v>
      </c>
      <c r="DJ252" t="s">
        <v>153</v>
      </c>
      <c r="DK252" t="s">
        <v>153</v>
      </c>
      <c r="DL252" t="s">
        <v>153</v>
      </c>
      <c r="DN252" t="s">
        <v>153</v>
      </c>
      <c r="DO252" t="s">
        <v>153</v>
      </c>
      <c r="DP252" t="s">
        <v>153</v>
      </c>
      <c r="DQ252" t="s">
        <v>153</v>
      </c>
      <c r="DR252" t="s">
        <v>153</v>
      </c>
      <c r="DS252" t="s">
        <v>153</v>
      </c>
      <c r="DT252" t="s">
        <v>153</v>
      </c>
      <c r="DU252" t="s">
        <v>153</v>
      </c>
      <c r="DV252" t="s">
        <v>153</v>
      </c>
      <c r="DW252" t="s">
        <v>153</v>
      </c>
      <c r="DX252" s="2"/>
      <c r="DY252" t="s">
        <v>153</v>
      </c>
      <c r="DZ252" t="s">
        <v>153</v>
      </c>
      <c r="EA252" t="s">
        <v>153</v>
      </c>
      <c r="EB252" t="s">
        <v>153</v>
      </c>
      <c r="EC252" t="s">
        <v>153</v>
      </c>
      <c r="ED252" t="s">
        <v>153</v>
      </c>
      <c r="EE252" t="s">
        <v>153</v>
      </c>
      <c r="EF252" t="s">
        <v>153</v>
      </c>
      <c r="EH252" t="s">
        <v>153</v>
      </c>
      <c r="EI252" t="s">
        <v>153</v>
      </c>
      <c r="EJ252" t="s">
        <v>153</v>
      </c>
      <c r="EK252" t="s">
        <v>153</v>
      </c>
      <c r="EM252" t="s">
        <v>153</v>
      </c>
      <c r="EN252" t="s">
        <v>153</v>
      </c>
      <c r="EP252" s="4" t="s">
        <v>153</v>
      </c>
      <c r="EQ252" s="4" t="s">
        <v>153</v>
      </c>
      <c r="ER252" s="4" t="s">
        <v>243</v>
      </c>
      <c r="ES252" s="4" t="s">
        <v>356</v>
      </c>
      <c r="ET252" t="s">
        <v>3118</v>
      </c>
      <c r="EU252" t="s">
        <v>3051</v>
      </c>
      <c r="EV252" t="s">
        <v>3119</v>
      </c>
      <c r="EW252">
        <v>1385837300</v>
      </c>
      <c r="EX252" t="s">
        <v>1376</v>
      </c>
    </row>
    <row r="253" spans="1:154" x14ac:dyDescent="0.25">
      <c r="A253" s="3">
        <v>45947.53</v>
      </c>
      <c r="B253" s="4" t="s">
        <v>153</v>
      </c>
      <c r="C253" s="4" t="s">
        <v>1028</v>
      </c>
      <c r="D253" s="4" t="s">
        <v>1029</v>
      </c>
      <c r="E253" s="4" t="s">
        <v>1030</v>
      </c>
      <c r="F253" s="4" t="s">
        <v>1031</v>
      </c>
      <c r="G253" s="4" t="s">
        <v>423</v>
      </c>
      <c r="H253" s="4" t="s">
        <v>1032</v>
      </c>
      <c r="I253" s="4" t="s">
        <v>3120</v>
      </c>
      <c r="J253" s="4" t="s">
        <v>3121</v>
      </c>
      <c r="K253" s="5"/>
      <c r="L253" s="4" t="s">
        <v>153</v>
      </c>
      <c r="M253" s="4" t="s">
        <v>153</v>
      </c>
      <c r="N253" s="4" t="s">
        <v>153</v>
      </c>
      <c r="O253" s="4" t="s">
        <v>153</v>
      </c>
      <c r="P253" s="4" t="s">
        <v>153</v>
      </c>
      <c r="Q253" s="4" t="s">
        <v>153</v>
      </c>
      <c r="R253" s="4" t="s">
        <v>153</v>
      </c>
      <c r="S253" s="4" t="s">
        <v>153</v>
      </c>
      <c r="T253" s="4" t="s">
        <v>153</v>
      </c>
      <c r="U253" s="4" t="s">
        <v>153</v>
      </c>
      <c r="V253" s="4" t="s">
        <v>153</v>
      </c>
      <c r="W253" s="4" t="s">
        <v>153</v>
      </c>
      <c r="X253" s="4" t="s">
        <v>153</v>
      </c>
      <c r="Y253" s="4" t="s">
        <v>153</v>
      </c>
      <c r="Z253" s="4" t="s">
        <v>153</v>
      </c>
      <c r="AA253" s="4" t="s">
        <v>153</v>
      </c>
      <c r="AB253" s="4" t="s">
        <v>153</v>
      </c>
      <c r="AC253" s="4" t="s">
        <v>153</v>
      </c>
      <c r="AD253" s="4" t="s">
        <v>153</v>
      </c>
      <c r="AE253" s="4" t="s">
        <v>153</v>
      </c>
      <c r="AF253" s="4" t="s">
        <v>153</v>
      </c>
      <c r="AG253" s="4" t="s">
        <v>153</v>
      </c>
      <c r="AH253" s="4" t="s">
        <v>153</v>
      </c>
      <c r="AI253" s="5"/>
      <c r="AJ253" t="s">
        <v>153</v>
      </c>
      <c r="AK253" s="4"/>
      <c r="AL253" t="s">
        <v>153</v>
      </c>
      <c r="AM253" t="s">
        <v>153</v>
      </c>
      <c r="AO253" t="s">
        <v>153</v>
      </c>
      <c r="AP253" s="4"/>
      <c r="AQ253" t="s">
        <v>153</v>
      </c>
      <c r="AR253" s="5"/>
      <c r="AT253" s="4" t="s">
        <v>153</v>
      </c>
      <c r="AU253" s="4" t="s">
        <v>153</v>
      </c>
      <c r="AV253" s="4" t="s">
        <v>153</v>
      </c>
      <c r="AW253" t="s">
        <v>153</v>
      </c>
      <c r="AX253" t="s">
        <v>153</v>
      </c>
      <c r="AY253" t="s">
        <v>153</v>
      </c>
      <c r="AZ253" t="s">
        <v>153</v>
      </c>
      <c r="BA253" t="s">
        <v>153</v>
      </c>
      <c r="BB253" t="s">
        <v>153</v>
      </c>
      <c r="BC253" t="s">
        <v>153</v>
      </c>
      <c r="BD253" s="4" t="s">
        <v>153</v>
      </c>
      <c r="BE253" s="4" t="s">
        <v>153</v>
      </c>
      <c r="BF253" t="s">
        <v>153</v>
      </c>
      <c r="BG253" s="4" t="s">
        <v>153</v>
      </c>
      <c r="BH253" t="s">
        <v>153</v>
      </c>
      <c r="BI253" s="4" t="s">
        <v>153</v>
      </c>
      <c r="BJ253" t="s">
        <v>153</v>
      </c>
      <c r="BK253" s="4" t="s">
        <v>153</v>
      </c>
      <c r="BL253" t="s">
        <v>3122</v>
      </c>
      <c r="BM253" t="s">
        <v>3123</v>
      </c>
      <c r="BN253" s="4" t="s">
        <v>153</v>
      </c>
      <c r="BO253" s="4" t="s">
        <v>153</v>
      </c>
      <c r="BP253" s="4" t="s">
        <v>153</v>
      </c>
      <c r="BQ253" s="4" t="s">
        <v>153</v>
      </c>
      <c r="BR253" s="4" t="s">
        <v>153</v>
      </c>
      <c r="BS253" s="4" t="s">
        <v>153</v>
      </c>
      <c r="BT253" s="4" t="s">
        <v>153</v>
      </c>
      <c r="BU253" s="4" t="s">
        <v>153</v>
      </c>
      <c r="BV253" s="4"/>
      <c r="BW253" s="4" t="s">
        <v>430</v>
      </c>
      <c r="BX253" s="4" t="s">
        <v>153</v>
      </c>
      <c r="BY253" s="4" t="s">
        <v>153</v>
      </c>
      <c r="BZ253" s="4" t="s">
        <v>153</v>
      </c>
      <c r="CA253" s="4" t="s">
        <v>153</v>
      </c>
      <c r="CB253" s="4"/>
      <c r="CC253" s="4" t="s">
        <v>430</v>
      </c>
      <c r="CD253" t="s">
        <v>153</v>
      </c>
      <c r="CE253" s="4" t="s">
        <v>3124</v>
      </c>
      <c r="CF253" s="4" t="s">
        <v>3125</v>
      </c>
      <c r="CG253" s="4" t="s">
        <v>3126</v>
      </c>
      <c r="CH253" s="5"/>
      <c r="CI253" t="s">
        <v>153</v>
      </c>
      <c r="CJ253" s="4"/>
      <c r="CK253" t="s">
        <v>153</v>
      </c>
      <c r="CL253" t="s">
        <v>153</v>
      </c>
      <c r="CM253" t="s">
        <v>153</v>
      </c>
      <c r="CN253" t="s">
        <v>153</v>
      </c>
      <c r="CO253" s="5"/>
      <c r="CP253" s="4" t="s">
        <v>153</v>
      </c>
      <c r="CQ253" s="4" t="s">
        <v>153</v>
      </c>
      <c r="CR253" t="s">
        <v>153</v>
      </c>
      <c r="CS253" t="s">
        <v>153</v>
      </c>
      <c r="CT253" t="s">
        <v>153</v>
      </c>
      <c r="CU253" t="s">
        <v>153</v>
      </c>
      <c r="CV253" t="s">
        <v>153</v>
      </c>
      <c r="CW253" t="s">
        <v>153</v>
      </c>
      <c r="CX253" t="s">
        <v>153</v>
      </c>
      <c r="CY253" t="s">
        <v>153</v>
      </c>
      <c r="CZ253" t="s">
        <v>153</v>
      </c>
      <c r="DA253" t="s">
        <v>153</v>
      </c>
      <c r="DB253" t="s">
        <v>153</v>
      </c>
      <c r="DC253" t="s">
        <v>153</v>
      </c>
      <c r="DD253" t="s">
        <v>153</v>
      </c>
      <c r="DE253" t="s">
        <v>153</v>
      </c>
      <c r="DF253" t="s">
        <v>153</v>
      </c>
      <c r="DG253" t="s">
        <v>153</v>
      </c>
      <c r="DI253" t="s">
        <v>153</v>
      </c>
      <c r="DJ253" t="s">
        <v>153</v>
      </c>
      <c r="DK253" t="s">
        <v>153</v>
      </c>
      <c r="DL253" t="s">
        <v>153</v>
      </c>
      <c r="DN253" t="s">
        <v>153</v>
      </c>
      <c r="DO253" t="s">
        <v>153</v>
      </c>
      <c r="DP253" t="s">
        <v>153</v>
      </c>
      <c r="DQ253" t="s">
        <v>153</v>
      </c>
      <c r="DR253" t="s">
        <v>153</v>
      </c>
      <c r="DS253" t="s">
        <v>153</v>
      </c>
      <c r="DT253" t="s">
        <v>153</v>
      </c>
      <c r="DU253" t="s">
        <v>153</v>
      </c>
      <c r="DV253" t="s">
        <v>153</v>
      </c>
      <c r="DW253" t="s">
        <v>153</v>
      </c>
      <c r="DX253" s="2"/>
      <c r="DY253" t="s">
        <v>153</v>
      </c>
      <c r="DZ253" t="s">
        <v>153</v>
      </c>
      <c r="EA253" t="s">
        <v>153</v>
      </c>
      <c r="EB253" t="s">
        <v>153</v>
      </c>
      <c r="EC253" t="s">
        <v>153</v>
      </c>
      <c r="ED253" t="s">
        <v>153</v>
      </c>
      <c r="EE253" t="s">
        <v>153</v>
      </c>
      <c r="EF253" t="s">
        <v>153</v>
      </c>
      <c r="EH253" t="s">
        <v>153</v>
      </c>
      <c r="EI253" t="s">
        <v>153</v>
      </c>
      <c r="EJ253" t="s">
        <v>153</v>
      </c>
      <c r="EK253" t="s">
        <v>153</v>
      </c>
      <c r="EM253" t="s">
        <v>153</v>
      </c>
      <c r="EN253" t="s">
        <v>153</v>
      </c>
      <c r="EP253" s="4" t="s">
        <v>153</v>
      </c>
      <c r="EQ253" s="4" t="s">
        <v>153</v>
      </c>
      <c r="ER253" s="4" t="s">
        <v>153</v>
      </c>
      <c r="ES253" s="4" t="s">
        <v>153</v>
      </c>
      <c r="ET253" t="s">
        <v>153</v>
      </c>
      <c r="EU253" t="s">
        <v>3127</v>
      </c>
      <c r="EV253" t="s">
        <v>3128</v>
      </c>
      <c r="EW253">
        <v>1390880188</v>
      </c>
      <c r="EX253" t="s">
        <v>3129</v>
      </c>
    </row>
    <row r="254" spans="1:154" x14ac:dyDescent="0.25">
      <c r="A254" s="3">
        <v>45957.564270833333</v>
      </c>
      <c r="B254" s="4" t="s">
        <v>153</v>
      </c>
      <c r="C254" s="4" t="s">
        <v>2686</v>
      </c>
      <c r="D254" s="4" t="s">
        <v>2687</v>
      </c>
      <c r="E254" s="4" t="s">
        <v>2688</v>
      </c>
      <c r="F254" s="4" t="s">
        <v>2689</v>
      </c>
      <c r="G254" s="4" t="s">
        <v>185</v>
      </c>
      <c r="H254" s="4" t="s">
        <v>226</v>
      </c>
      <c r="I254" s="4" t="s">
        <v>3130</v>
      </c>
      <c r="J254" s="4" t="s">
        <v>153</v>
      </c>
      <c r="K254" s="5"/>
      <c r="L254" s="4" t="s">
        <v>153</v>
      </c>
      <c r="M254" s="4" t="s">
        <v>3130</v>
      </c>
      <c r="N254" s="4" t="s">
        <v>153</v>
      </c>
      <c r="O254" s="4" t="s">
        <v>3131</v>
      </c>
      <c r="P254" s="4" t="s">
        <v>3132</v>
      </c>
      <c r="Q254" s="4" t="s">
        <v>190</v>
      </c>
      <c r="R254" s="4" t="s">
        <v>191</v>
      </c>
      <c r="S254" s="4" t="s">
        <v>3133</v>
      </c>
      <c r="T254" s="4" t="s">
        <v>153</v>
      </c>
      <c r="U254" s="4" t="s">
        <v>3134</v>
      </c>
      <c r="V254" s="4" t="s">
        <v>153</v>
      </c>
      <c r="W254" s="4" t="s">
        <v>3135</v>
      </c>
      <c r="X254" s="4" t="s">
        <v>2720</v>
      </c>
      <c r="Y254" s="4" t="s">
        <v>3136</v>
      </c>
      <c r="Z254" s="4" t="s">
        <v>197</v>
      </c>
      <c r="AA254" s="4" t="s">
        <v>3137</v>
      </c>
      <c r="AB254" s="4" t="s">
        <v>153</v>
      </c>
      <c r="AC254" s="4" t="s">
        <v>3138</v>
      </c>
      <c r="AD254" s="4" t="s">
        <v>2720</v>
      </c>
      <c r="AE254" s="4" t="s">
        <v>3139</v>
      </c>
      <c r="AF254" s="4" t="s">
        <v>3140</v>
      </c>
      <c r="AG254" s="4" t="s">
        <v>3141</v>
      </c>
      <c r="AH254" s="4" t="s">
        <v>153</v>
      </c>
      <c r="AI254" s="5">
        <v>45781</v>
      </c>
      <c r="AJ254" t="s">
        <v>674</v>
      </c>
      <c r="AK254" s="4"/>
      <c r="AL254" t="s">
        <v>3142</v>
      </c>
      <c r="AM254" t="s">
        <v>153</v>
      </c>
      <c r="AO254" t="s">
        <v>153</v>
      </c>
      <c r="AP254" s="4"/>
      <c r="AQ254" t="s">
        <v>153</v>
      </c>
      <c r="AR254" s="5"/>
      <c r="AT254" s="4" t="s">
        <v>153</v>
      </c>
      <c r="AU254" s="4" t="s">
        <v>153</v>
      </c>
      <c r="AV254" s="4" t="s">
        <v>153</v>
      </c>
      <c r="AW254" t="s">
        <v>153</v>
      </c>
      <c r="AX254" t="s">
        <v>153</v>
      </c>
      <c r="AY254" t="s">
        <v>153</v>
      </c>
      <c r="AZ254" t="s">
        <v>153</v>
      </c>
      <c r="BA254" t="s">
        <v>153</v>
      </c>
      <c r="BB254" t="s">
        <v>153</v>
      </c>
      <c r="BC254" t="s">
        <v>153</v>
      </c>
      <c r="BD254" s="4" t="s">
        <v>153</v>
      </c>
      <c r="BE254" s="4" t="s">
        <v>153</v>
      </c>
      <c r="BF254" t="s">
        <v>153</v>
      </c>
      <c r="BG254" s="4" t="s">
        <v>153</v>
      </c>
      <c r="BH254" t="s">
        <v>153</v>
      </c>
      <c r="BI254" s="4" t="s">
        <v>153</v>
      </c>
      <c r="BJ254" t="s">
        <v>153</v>
      </c>
      <c r="BK254" s="4" t="s">
        <v>153</v>
      </c>
      <c r="BL254" t="s">
        <v>153</v>
      </c>
      <c r="BM254" t="s">
        <v>153</v>
      </c>
      <c r="BN254" s="4" t="s">
        <v>153</v>
      </c>
      <c r="BO254" s="4" t="s">
        <v>153</v>
      </c>
      <c r="BP254" s="4" t="s">
        <v>153</v>
      </c>
      <c r="BQ254" s="4" t="s">
        <v>153</v>
      </c>
      <c r="BR254" s="4" t="s">
        <v>153</v>
      </c>
      <c r="BS254" s="4" t="s">
        <v>153</v>
      </c>
      <c r="BT254" s="4" t="s">
        <v>153</v>
      </c>
      <c r="BU254" s="4" t="s">
        <v>153</v>
      </c>
      <c r="BV254" s="4"/>
      <c r="BW254" s="4" t="s">
        <v>153</v>
      </c>
      <c r="BX254" s="4" t="s">
        <v>153</v>
      </c>
      <c r="BY254" s="4" t="s">
        <v>153</v>
      </c>
      <c r="BZ254" s="4" t="s">
        <v>153</v>
      </c>
      <c r="CA254" s="4" t="s">
        <v>153</v>
      </c>
      <c r="CB254" s="4"/>
      <c r="CC254" s="4" t="s">
        <v>153</v>
      </c>
      <c r="CD254" t="s">
        <v>153</v>
      </c>
      <c r="CE254" s="4" t="s">
        <v>153</v>
      </c>
      <c r="CF254" s="4" t="s">
        <v>153</v>
      </c>
      <c r="CG254" s="4" t="s">
        <v>153</v>
      </c>
      <c r="CH254" s="5"/>
      <c r="CI254" t="s">
        <v>153</v>
      </c>
      <c r="CJ254" s="4"/>
      <c r="CK254" t="s">
        <v>153</v>
      </c>
      <c r="CL254" t="s">
        <v>153</v>
      </c>
      <c r="CM254" t="s">
        <v>153</v>
      </c>
      <c r="CN254" t="s">
        <v>153</v>
      </c>
      <c r="CO254" s="5"/>
      <c r="CP254" s="4" t="s">
        <v>153</v>
      </c>
      <c r="CQ254" s="4" t="s">
        <v>153</v>
      </c>
      <c r="CR254" t="s">
        <v>153</v>
      </c>
      <c r="CS254" t="s">
        <v>153</v>
      </c>
      <c r="CT254" t="s">
        <v>153</v>
      </c>
      <c r="CU254" t="s">
        <v>153</v>
      </c>
      <c r="CV254" t="s">
        <v>153</v>
      </c>
      <c r="CW254" t="s">
        <v>153</v>
      </c>
      <c r="CX254" t="s">
        <v>153</v>
      </c>
      <c r="CY254" t="s">
        <v>153</v>
      </c>
      <c r="CZ254" t="s">
        <v>153</v>
      </c>
      <c r="DA254" t="s">
        <v>153</v>
      </c>
      <c r="DB254" t="s">
        <v>153</v>
      </c>
      <c r="DC254" t="s">
        <v>153</v>
      </c>
      <c r="DD254" t="s">
        <v>153</v>
      </c>
      <c r="DE254" t="s">
        <v>153</v>
      </c>
      <c r="DF254" t="s">
        <v>153</v>
      </c>
      <c r="DG254" t="s">
        <v>153</v>
      </c>
      <c r="DI254" t="s">
        <v>153</v>
      </c>
      <c r="DJ254" t="s">
        <v>153</v>
      </c>
      <c r="DK254" t="s">
        <v>153</v>
      </c>
      <c r="DL254" t="s">
        <v>153</v>
      </c>
      <c r="DN254" t="s">
        <v>153</v>
      </c>
      <c r="DO254" t="s">
        <v>153</v>
      </c>
      <c r="DP254" t="s">
        <v>153</v>
      </c>
      <c r="DQ254" t="s">
        <v>153</v>
      </c>
      <c r="DR254" t="s">
        <v>153</v>
      </c>
      <c r="DS254" t="s">
        <v>153</v>
      </c>
      <c r="DT254" t="s">
        <v>153</v>
      </c>
      <c r="DU254" t="s">
        <v>153</v>
      </c>
      <c r="DV254" t="s">
        <v>153</v>
      </c>
      <c r="DW254" t="s">
        <v>153</v>
      </c>
      <c r="DX254" s="2"/>
      <c r="DY254" t="s">
        <v>153</v>
      </c>
      <c r="DZ254" t="s">
        <v>153</v>
      </c>
      <c r="EA254" t="s">
        <v>153</v>
      </c>
      <c r="EB254" t="s">
        <v>153</v>
      </c>
      <c r="EC254" t="s">
        <v>153</v>
      </c>
      <c r="ED254" t="s">
        <v>153</v>
      </c>
      <c r="EE254" t="s">
        <v>153</v>
      </c>
      <c r="EF254" t="s">
        <v>153</v>
      </c>
      <c r="EH254" t="s">
        <v>153</v>
      </c>
      <c r="EI254" t="s">
        <v>153</v>
      </c>
      <c r="EJ254" t="s">
        <v>153</v>
      </c>
      <c r="EK254" t="s">
        <v>153</v>
      </c>
      <c r="EM254" t="s">
        <v>153</v>
      </c>
      <c r="EN254" t="s">
        <v>153</v>
      </c>
      <c r="EP254" s="4" t="s">
        <v>242</v>
      </c>
      <c r="EQ254" s="4" t="s">
        <v>153</v>
      </c>
      <c r="ER254" s="4" t="s">
        <v>153</v>
      </c>
      <c r="ES254" s="4" t="s">
        <v>153</v>
      </c>
      <c r="ET254" t="s">
        <v>3143</v>
      </c>
      <c r="EU254" t="s">
        <v>3144</v>
      </c>
      <c r="EV254" t="s">
        <v>2698</v>
      </c>
      <c r="EW254">
        <v>1395067596</v>
      </c>
      <c r="EX254" t="s">
        <v>3145</v>
      </c>
    </row>
    <row r="255" spans="1:154" x14ac:dyDescent="0.25">
      <c r="A255" s="3">
        <v>45961.563206018516</v>
      </c>
      <c r="B255" s="4" t="s">
        <v>153</v>
      </c>
      <c r="C255" s="4" t="s">
        <v>154</v>
      </c>
      <c r="D255" s="4" t="s">
        <v>155</v>
      </c>
      <c r="E255" s="4" t="s">
        <v>2728</v>
      </c>
      <c r="F255" s="4" t="s">
        <v>157</v>
      </c>
      <c r="G255" s="4" t="s">
        <v>423</v>
      </c>
      <c r="H255" s="4" t="s">
        <v>159</v>
      </c>
      <c r="I255" s="4" t="s">
        <v>3146</v>
      </c>
      <c r="J255" s="4" t="s">
        <v>1914</v>
      </c>
      <c r="K255" s="5"/>
      <c r="L255" s="4" t="s">
        <v>153</v>
      </c>
      <c r="M255" s="4" t="s">
        <v>153</v>
      </c>
      <c r="N255" s="4" t="s">
        <v>153</v>
      </c>
      <c r="O255" s="4" t="s">
        <v>153</v>
      </c>
      <c r="P255" s="4" t="s">
        <v>153</v>
      </c>
      <c r="Q255" s="4" t="s">
        <v>153</v>
      </c>
      <c r="R255" s="4" t="s">
        <v>153</v>
      </c>
      <c r="S255" s="4" t="s">
        <v>153</v>
      </c>
      <c r="T255" s="4" t="s">
        <v>153</v>
      </c>
      <c r="U255" s="4" t="s">
        <v>153</v>
      </c>
      <c r="V255" s="4" t="s">
        <v>153</v>
      </c>
      <c r="W255" s="4" t="s">
        <v>153</v>
      </c>
      <c r="X255" s="4" t="s">
        <v>153</v>
      </c>
      <c r="Y255" s="4" t="s">
        <v>153</v>
      </c>
      <c r="Z255" s="4" t="s">
        <v>153</v>
      </c>
      <c r="AA255" s="4" t="s">
        <v>153</v>
      </c>
      <c r="AB255" s="4" t="s">
        <v>153</v>
      </c>
      <c r="AC255" s="4" t="s">
        <v>153</v>
      </c>
      <c r="AD255" s="4" t="s">
        <v>153</v>
      </c>
      <c r="AE255" s="4" t="s">
        <v>153</v>
      </c>
      <c r="AF255" s="4" t="s">
        <v>153</v>
      </c>
      <c r="AG255" s="4" t="s">
        <v>153</v>
      </c>
      <c r="AH255" s="4" t="s">
        <v>153</v>
      </c>
      <c r="AI255" s="5"/>
      <c r="AJ255" t="s">
        <v>153</v>
      </c>
      <c r="AK255" s="4"/>
      <c r="AL255" t="s">
        <v>153</v>
      </c>
      <c r="AM255" t="s">
        <v>153</v>
      </c>
      <c r="AO255" t="s">
        <v>153</v>
      </c>
      <c r="AP255" s="4"/>
      <c r="AQ255" t="s">
        <v>153</v>
      </c>
      <c r="AR255" s="5"/>
      <c r="AT255" s="4" t="s">
        <v>153</v>
      </c>
      <c r="AU255" s="4" t="s">
        <v>153</v>
      </c>
      <c r="AV255" s="4" t="s">
        <v>153</v>
      </c>
      <c r="AW255" t="s">
        <v>153</v>
      </c>
      <c r="AX255" t="s">
        <v>153</v>
      </c>
      <c r="AY255" t="s">
        <v>153</v>
      </c>
      <c r="AZ255" t="s">
        <v>153</v>
      </c>
      <c r="BA255" t="s">
        <v>153</v>
      </c>
      <c r="BB255" t="s">
        <v>153</v>
      </c>
      <c r="BC255" t="s">
        <v>153</v>
      </c>
      <c r="BD255" s="4" t="s">
        <v>153</v>
      </c>
      <c r="BE255" s="4" t="s">
        <v>153</v>
      </c>
      <c r="BF255" t="s">
        <v>153</v>
      </c>
      <c r="BG255" s="4" t="s">
        <v>153</v>
      </c>
      <c r="BH255" t="s">
        <v>153</v>
      </c>
      <c r="BI255" s="4" t="s">
        <v>3147</v>
      </c>
      <c r="BJ255" t="s">
        <v>3148</v>
      </c>
      <c r="BK255" s="4" t="s">
        <v>3148</v>
      </c>
      <c r="BL255" t="s">
        <v>3149</v>
      </c>
      <c r="BM255" t="s">
        <v>3150</v>
      </c>
      <c r="BN255" s="4" t="s">
        <v>190</v>
      </c>
      <c r="BO255" s="4" t="s">
        <v>666</v>
      </c>
      <c r="BP255" s="4" t="s">
        <v>153</v>
      </c>
      <c r="BQ255" s="4" t="s">
        <v>153</v>
      </c>
      <c r="BR255" s="4" t="s">
        <v>153</v>
      </c>
      <c r="BS255" s="4" t="s">
        <v>153</v>
      </c>
      <c r="BT255" s="4" t="s">
        <v>153</v>
      </c>
      <c r="BU255" s="4" t="s">
        <v>153</v>
      </c>
      <c r="BV255" s="4"/>
      <c r="BW255" s="4" t="s">
        <v>430</v>
      </c>
      <c r="BX255" s="4" t="s">
        <v>153</v>
      </c>
      <c r="BY255" s="4" t="s">
        <v>153</v>
      </c>
      <c r="BZ255" s="4" t="s">
        <v>153</v>
      </c>
      <c r="CA255" s="4" t="s">
        <v>153</v>
      </c>
      <c r="CB255" s="4"/>
      <c r="CC255" s="4" t="s">
        <v>430</v>
      </c>
      <c r="CD255" t="s">
        <v>153</v>
      </c>
      <c r="CE255" s="4" t="s">
        <v>153</v>
      </c>
      <c r="CF255" s="4" t="s">
        <v>153</v>
      </c>
      <c r="CG255" s="4" t="s">
        <v>153</v>
      </c>
      <c r="CH255" s="5"/>
      <c r="CI255" t="s">
        <v>153</v>
      </c>
      <c r="CJ255" s="4"/>
      <c r="CK255" t="s">
        <v>153</v>
      </c>
      <c r="CL255" t="s">
        <v>153</v>
      </c>
      <c r="CM255" t="s">
        <v>3151</v>
      </c>
      <c r="CN255" t="s">
        <v>153</v>
      </c>
      <c r="CO255" s="5"/>
      <c r="CP255" s="4" t="s">
        <v>153</v>
      </c>
      <c r="CQ255" s="4" t="s">
        <v>153</v>
      </c>
      <c r="CR255" t="s">
        <v>153</v>
      </c>
      <c r="CS255" t="s">
        <v>153</v>
      </c>
      <c r="CT255" t="s">
        <v>153</v>
      </c>
      <c r="CU255" t="s">
        <v>153</v>
      </c>
      <c r="CV255" t="s">
        <v>153</v>
      </c>
      <c r="CW255" t="s">
        <v>153</v>
      </c>
      <c r="CX255" t="s">
        <v>153</v>
      </c>
      <c r="CY255" t="s">
        <v>153</v>
      </c>
      <c r="CZ255" t="s">
        <v>153</v>
      </c>
      <c r="DA255" t="s">
        <v>153</v>
      </c>
      <c r="DB255" t="s">
        <v>153</v>
      </c>
      <c r="DC255" t="s">
        <v>153</v>
      </c>
      <c r="DD255" t="s">
        <v>153</v>
      </c>
      <c r="DE255" t="s">
        <v>153</v>
      </c>
      <c r="DF255" t="s">
        <v>153</v>
      </c>
      <c r="DG255" t="s">
        <v>153</v>
      </c>
      <c r="DI255" t="s">
        <v>153</v>
      </c>
      <c r="DJ255" t="s">
        <v>153</v>
      </c>
      <c r="DK255" t="s">
        <v>153</v>
      </c>
      <c r="DL255" t="s">
        <v>153</v>
      </c>
      <c r="DN255" t="s">
        <v>153</v>
      </c>
      <c r="DO255" t="s">
        <v>153</v>
      </c>
      <c r="DP255" t="s">
        <v>153</v>
      </c>
      <c r="DQ255" t="s">
        <v>153</v>
      </c>
      <c r="DR255" t="s">
        <v>153</v>
      </c>
      <c r="DS255" t="s">
        <v>153</v>
      </c>
      <c r="DT255" t="s">
        <v>153</v>
      </c>
      <c r="DU255" t="s">
        <v>153</v>
      </c>
      <c r="DV255" t="s">
        <v>153</v>
      </c>
      <c r="DW255" t="s">
        <v>153</v>
      </c>
      <c r="DX255" s="2"/>
      <c r="DY255" t="s">
        <v>153</v>
      </c>
      <c r="DZ255" t="s">
        <v>153</v>
      </c>
      <c r="EA255" t="s">
        <v>153</v>
      </c>
      <c r="EB255" t="s">
        <v>153</v>
      </c>
      <c r="EC255" t="s">
        <v>153</v>
      </c>
      <c r="ED255" t="s">
        <v>153</v>
      </c>
      <c r="EE255" t="s">
        <v>153</v>
      </c>
      <c r="EF255" t="s">
        <v>153</v>
      </c>
      <c r="EH255" t="s">
        <v>153</v>
      </c>
      <c r="EI255" t="s">
        <v>153</v>
      </c>
      <c r="EJ255" t="s">
        <v>153</v>
      </c>
      <c r="EK255" t="s">
        <v>153</v>
      </c>
      <c r="EM255" t="s">
        <v>153</v>
      </c>
      <c r="EN255" t="s">
        <v>153</v>
      </c>
      <c r="EP255" s="4" t="s">
        <v>153</v>
      </c>
      <c r="EQ255" s="4" t="s">
        <v>153</v>
      </c>
      <c r="ER255" s="4" t="s">
        <v>153</v>
      </c>
      <c r="ES255" s="4" t="s">
        <v>153</v>
      </c>
      <c r="ET255" t="s">
        <v>153</v>
      </c>
      <c r="EU255" t="s">
        <v>3127</v>
      </c>
      <c r="EV255" t="s">
        <v>179</v>
      </c>
      <c r="EW255">
        <v>1396553430</v>
      </c>
      <c r="EX255" t="s">
        <v>2741</v>
      </c>
    </row>
    <row r="256" spans="1:154" x14ac:dyDescent="0.25">
      <c r="A256" s="3">
        <v>45965.471562500003</v>
      </c>
      <c r="B256" s="4" t="s">
        <v>153</v>
      </c>
      <c r="C256" s="4" t="s">
        <v>3152</v>
      </c>
      <c r="D256" s="4" t="s">
        <v>660</v>
      </c>
      <c r="E256" s="4" t="s">
        <v>661</v>
      </c>
      <c r="F256" s="4" t="s">
        <v>662</v>
      </c>
      <c r="G256" s="4" t="s">
        <v>252</v>
      </c>
      <c r="H256" s="4" t="s">
        <v>323</v>
      </c>
      <c r="I256" s="4" t="s">
        <v>3153</v>
      </c>
      <c r="J256" s="4" t="s">
        <v>3154</v>
      </c>
      <c r="K256" s="5"/>
      <c r="L256" s="4" t="s">
        <v>153</v>
      </c>
      <c r="M256" s="4" t="s">
        <v>153</v>
      </c>
      <c r="N256" s="4" t="s">
        <v>153</v>
      </c>
      <c r="O256" s="4" t="s">
        <v>153</v>
      </c>
      <c r="P256" s="4" t="s">
        <v>153</v>
      </c>
      <c r="Q256" s="4" t="s">
        <v>153</v>
      </c>
      <c r="R256" s="4" t="s">
        <v>153</v>
      </c>
      <c r="S256" s="4" t="s">
        <v>153</v>
      </c>
      <c r="T256" s="4" t="s">
        <v>153</v>
      </c>
      <c r="U256" s="4" t="s">
        <v>153</v>
      </c>
      <c r="V256" s="4" t="s">
        <v>153</v>
      </c>
      <c r="W256" s="4" t="s">
        <v>153</v>
      </c>
      <c r="X256" s="4" t="s">
        <v>153</v>
      </c>
      <c r="Y256" s="4" t="s">
        <v>153</v>
      </c>
      <c r="Z256" s="4" t="s">
        <v>153</v>
      </c>
      <c r="AA256" s="4" t="s">
        <v>153</v>
      </c>
      <c r="AB256" s="4" t="s">
        <v>153</v>
      </c>
      <c r="AC256" s="4" t="s">
        <v>153</v>
      </c>
      <c r="AD256" s="4" t="s">
        <v>153</v>
      </c>
      <c r="AE256" s="4" t="s">
        <v>153</v>
      </c>
      <c r="AF256" s="4" t="s">
        <v>153</v>
      </c>
      <c r="AG256" s="4" t="s">
        <v>153</v>
      </c>
      <c r="AH256" s="4" t="s">
        <v>153</v>
      </c>
      <c r="AI256" s="5"/>
      <c r="AJ256" t="s">
        <v>153</v>
      </c>
      <c r="AK256" s="4"/>
      <c r="AL256" t="s">
        <v>153</v>
      </c>
      <c r="AM256" t="s">
        <v>153</v>
      </c>
      <c r="AO256" t="s">
        <v>153</v>
      </c>
      <c r="AP256" s="4"/>
      <c r="AQ256" t="s">
        <v>153</v>
      </c>
      <c r="AR256" s="5">
        <v>45872</v>
      </c>
      <c r="AS256">
        <v>2</v>
      </c>
      <c r="AT256" s="4" t="s">
        <v>3155</v>
      </c>
      <c r="AU256" s="4" t="s">
        <v>1740</v>
      </c>
      <c r="AV256" s="4" t="s">
        <v>256</v>
      </c>
      <c r="AW256" t="s">
        <v>153</v>
      </c>
      <c r="AX256" t="s">
        <v>153</v>
      </c>
      <c r="AY256" t="s">
        <v>3156</v>
      </c>
      <c r="AZ256" t="s">
        <v>3157</v>
      </c>
      <c r="BA256" t="s">
        <v>153</v>
      </c>
      <c r="BB256" t="s">
        <v>153</v>
      </c>
      <c r="BC256" t="s">
        <v>3158</v>
      </c>
      <c r="BD256" s="4" t="s">
        <v>3159</v>
      </c>
      <c r="BE256" s="4" t="s">
        <v>3160</v>
      </c>
      <c r="BF256" t="s">
        <v>242</v>
      </c>
      <c r="BG256" s="4" t="s">
        <v>3161</v>
      </c>
      <c r="BH256" t="s">
        <v>153</v>
      </c>
      <c r="BI256" s="4" t="s">
        <v>153</v>
      </c>
      <c r="BJ256" t="s">
        <v>153</v>
      </c>
      <c r="BK256" s="4" t="s">
        <v>153</v>
      </c>
      <c r="BL256" t="s">
        <v>153</v>
      </c>
      <c r="BM256" t="s">
        <v>153</v>
      </c>
      <c r="BN256" s="4" t="s">
        <v>153</v>
      </c>
      <c r="BO256" s="4" t="s">
        <v>153</v>
      </c>
      <c r="BP256" s="4" t="s">
        <v>153</v>
      </c>
      <c r="BQ256" s="4" t="s">
        <v>153</v>
      </c>
      <c r="BR256" s="4" t="s">
        <v>153</v>
      </c>
      <c r="BS256" s="4" t="s">
        <v>153</v>
      </c>
      <c r="BT256" s="4" t="s">
        <v>153</v>
      </c>
      <c r="BU256" s="4" t="s">
        <v>153</v>
      </c>
      <c r="BV256" s="4"/>
      <c r="BW256" s="4" t="s">
        <v>153</v>
      </c>
      <c r="BX256" s="4" t="s">
        <v>153</v>
      </c>
      <c r="BY256" s="4" t="s">
        <v>153</v>
      </c>
      <c r="BZ256" s="4" t="s">
        <v>153</v>
      </c>
      <c r="CA256" s="4" t="s">
        <v>153</v>
      </c>
      <c r="CB256" s="4"/>
      <c r="CC256" s="4" t="s">
        <v>153</v>
      </c>
      <c r="CD256" t="s">
        <v>153</v>
      </c>
      <c r="CE256" s="4" t="s">
        <v>153</v>
      </c>
      <c r="CF256" s="4" t="s">
        <v>153</v>
      </c>
      <c r="CG256" s="4" t="s">
        <v>153</v>
      </c>
      <c r="CH256" s="5"/>
      <c r="CI256" t="s">
        <v>153</v>
      </c>
      <c r="CJ256" s="4"/>
      <c r="CK256" t="s">
        <v>153</v>
      </c>
      <c r="CL256" t="s">
        <v>153</v>
      </c>
      <c r="CM256" t="s">
        <v>153</v>
      </c>
      <c r="CN256" t="s">
        <v>153</v>
      </c>
      <c r="CO256" s="5"/>
      <c r="CP256" s="4" t="s">
        <v>153</v>
      </c>
      <c r="CQ256" s="4" t="s">
        <v>153</v>
      </c>
      <c r="CR256" t="s">
        <v>153</v>
      </c>
      <c r="CS256" t="s">
        <v>153</v>
      </c>
      <c r="CT256" t="s">
        <v>153</v>
      </c>
      <c r="CU256" t="s">
        <v>153</v>
      </c>
      <c r="CV256" t="s">
        <v>153</v>
      </c>
      <c r="CW256" t="s">
        <v>153</v>
      </c>
      <c r="CX256" t="s">
        <v>153</v>
      </c>
      <c r="CY256" t="s">
        <v>153</v>
      </c>
      <c r="CZ256" t="s">
        <v>153</v>
      </c>
      <c r="DA256" t="s">
        <v>153</v>
      </c>
      <c r="DB256" t="s">
        <v>153</v>
      </c>
      <c r="DC256" t="s">
        <v>153</v>
      </c>
      <c r="DD256" t="s">
        <v>153</v>
      </c>
      <c r="DE256" t="s">
        <v>153</v>
      </c>
      <c r="DF256" t="s">
        <v>153</v>
      </c>
      <c r="DG256" t="s">
        <v>153</v>
      </c>
      <c r="DI256" t="s">
        <v>153</v>
      </c>
      <c r="DJ256" t="s">
        <v>153</v>
      </c>
      <c r="DK256" t="s">
        <v>153</v>
      </c>
      <c r="DL256" t="s">
        <v>153</v>
      </c>
      <c r="DN256" t="s">
        <v>153</v>
      </c>
      <c r="DO256" t="s">
        <v>153</v>
      </c>
      <c r="DP256" t="s">
        <v>153</v>
      </c>
      <c r="DQ256" t="s">
        <v>153</v>
      </c>
      <c r="DR256" t="s">
        <v>153</v>
      </c>
      <c r="DS256" t="s">
        <v>153</v>
      </c>
      <c r="DT256" t="s">
        <v>153</v>
      </c>
      <c r="DU256" t="s">
        <v>153</v>
      </c>
      <c r="DV256" t="s">
        <v>153</v>
      </c>
      <c r="DW256" t="s">
        <v>153</v>
      </c>
      <c r="DX256" s="2"/>
      <c r="DY256" t="s">
        <v>153</v>
      </c>
      <c r="DZ256" t="s">
        <v>153</v>
      </c>
      <c r="EA256" t="s">
        <v>153</v>
      </c>
      <c r="EB256" t="s">
        <v>153</v>
      </c>
      <c r="EC256" t="s">
        <v>153</v>
      </c>
      <c r="ED256" t="s">
        <v>153</v>
      </c>
      <c r="EE256" t="s">
        <v>153</v>
      </c>
      <c r="EF256" t="s">
        <v>153</v>
      </c>
      <c r="EH256" t="s">
        <v>153</v>
      </c>
      <c r="EI256" t="s">
        <v>153</v>
      </c>
      <c r="EJ256" t="s">
        <v>153</v>
      </c>
      <c r="EK256" t="s">
        <v>153</v>
      </c>
      <c r="EM256" t="s">
        <v>153</v>
      </c>
      <c r="EN256" t="s">
        <v>153</v>
      </c>
      <c r="EP256" s="4" t="s">
        <v>153</v>
      </c>
      <c r="EQ256" s="4" t="s">
        <v>153</v>
      </c>
      <c r="ER256" s="4" t="s">
        <v>205</v>
      </c>
      <c r="ES256" s="4" t="s">
        <v>153</v>
      </c>
      <c r="ET256" t="s">
        <v>3162</v>
      </c>
      <c r="EU256" t="s">
        <v>3163</v>
      </c>
      <c r="EV256" t="s">
        <v>2929</v>
      </c>
      <c r="EW256">
        <v>1397846855</v>
      </c>
      <c r="EX256" t="s">
        <v>3164</v>
      </c>
    </row>
    <row r="257" spans="1:154" x14ac:dyDescent="0.25">
      <c r="A257" s="3">
        <v>45972.481608796297</v>
      </c>
      <c r="B257" s="4" t="s">
        <v>153</v>
      </c>
      <c r="C257" s="4" t="s">
        <v>502</v>
      </c>
      <c r="D257" s="4" t="s">
        <v>503</v>
      </c>
      <c r="E257" s="4" t="s">
        <v>504</v>
      </c>
      <c r="F257" s="4" t="s">
        <v>505</v>
      </c>
      <c r="G257" s="4" t="s">
        <v>252</v>
      </c>
      <c r="H257" s="4" t="s">
        <v>2214</v>
      </c>
      <c r="I257" s="4" t="s">
        <v>3165</v>
      </c>
      <c r="J257" s="4" t="s">
        <v>3166</v>
      </c>
      <c r="K257" s="5"/>
      <c r="L257" s="4" t="s">
        <v>153</v>
      </c>
      <c r="M257" s="4" t="s">
        <v>153</v>
      </c>
      <c r="N257" s="4" t="s">
        <v>153</v>
      </c>
      <c r="O257" s="4" t="s">
        <v>153</v>
      </c>
      <c r="P257" s="4" t="s">
        <v>153</v>
      </c>
      <c r="Q257" s="4" t="s">
        <v>153</v>
      </c>
      <c r="R257" s="4" t="s">
        <v>153</v>
      </c>
      <c r="S257" s="4" t="s">
        <v>153</v>
      </c>
      <c r="T257" s="4" t="s">
        <v>153</v>
      </c>
      <c r="U257" s="4" t="s">
        <v>153</v>
      </c>
      <c r="V257" s="4" t="s">
        <v>153</v>
      </c>
      <c r="W257" s="4" t="s">
        <v>153</v>
      </c>
      <c r="X257" s="4" t="s">
        <v>153</v>
      </c>
      <c r="Y257" s="4" t="s">
        <v>153</v>
      </c>
      <c r="Z257" s="4" t="s">
        <v>153</v>
      </c>
      <c r="AA257" s="4" t="s">
        <v>153</v>
      </c>
      <c r="AB257" s="4" t="s">
        <v>153</v>
      </c>
      <c r="AC257" s="4" t="s">
        <v>153</v>
      </c>
      <c r="AD257" s="4" t="s">
        <v>153</v>
      </c>
      <c r="AE257" s="4" t="s">
        <v>153</v>
      </c>
      <c r="AF257" s="4" t="s">
        <v>153</v>
      </c>
      <c r="AG257" s="4" t="s">
        <v>153</v>
      </c>
      <c r="AH257" s="4" t="s">
        <v>153</v>
      </c>
      <c r="AI257" s="5"/>
      <c r="AJ257" t="s">
        <v>153</v>
      </c>
      <c r="AK257" s="4"/>
      <c r="AL257" t="s">
        <v>153</v>
      </c>
      <c r="AM257" t="s">
        <v>153</v>
      </c>
      <c r="AO257" t="s">
        <v>153</v>
      </c>
      <c r="AP257" s="4"/>
      <c r="AQ257" t="s">
        <v>153</v>
      </c>
      <c r="AR257" s="5">
        <v>45984</v>
      </c>
      <c r="AS257">
        <v>0</v>
      </c>
      <c r="AT257" s="4" t="s">
        <v>153</v>
      </c>
      <c r="AU257" s="4" t="s">
        <v>153</v>
      </c>
      <c r="AV257" s="4" t="s">
        <v>256</v>
      </c>
      <c r="AW257" t="s">
        <v>153</v>
      </c>
      <c r="AX257" t="s">
        <v>153</v>
      </c>
      <c r="AY257" t="s">
        <v>3167</v>
      </c>
      <c r="AZ257" t="s">
        <v>153</v>
      </c>
      <c r="BA257" t="s">
        <v>153</v>
      </c>
      <c r="BB257" t="s">
        <v>153</v>
      </c>
      <c r="BC257" t="s">
        <v>153</v>
      </c>
      <c r="BD257" s="4" t="s">
        <v>3168</v>
      </c>
      <c r="BE257" s="4" t="s">
        <v>3169</v>
      </c>
      <c r="BF257" t="s">
        <v>242</v>
      </c>
      <c r="BG257" s="4" t="s">
        <v>637</v>
      </c>
      <c r="BH257" t="s">
        <v>153</v>
      </c>
      <c r="BI257" s="4" t="s">
        <v>153</v>
      </c>
      <c r="BJ257" t="s">
        <v>153</v>
      </c>
      <c r="BK257" s="4" t="s">
        <v>153</v>
      </c>
      <c r="BL257" t="s">
        <v>153</v>
      </c>
      <c r="BM257" t="s">
        <v>153</v>
      </c>
      <c r="BN257" s="4" t="s">
        <v>153</v>
      </c>
      <c r="BO257" s="4" t="s">
        <v>153</v>
      </c>
      <c r="BP257" s="4" t="s">
        <v>153</v>
      </c>
      <c r="BQ257" s="4" t="s">
        <v>153</v>
      </c>
      <c r="BR257" s="4" t="s">
        <v>153</v>
      </c>
      <c r="BS257" s="4" t="s">
        <v>153</v>
      </c>
      <c r="BT257" s="4" t="s">
        <v>153</v>
      </c>
      <c r="BU257" s="4" t="s">
        <v>153</v>
      </c>
      <c r="BV257" s="4"/>
      <c r="BW257" s="4" t="s">
        <v>153</v>
      </c>
      <c r="BX257" s="4" t="s">
        <v>153</v>
      </c>
      <c r="BY257" s="4" t="s">
        <v>153</v>
      </c>
      <c r="BZ257" s="4" t="s">
        <v>153</v>
      </c>
      <c r="CA257" s="4" t="s">
        <v>153</v>
      </c>
      <c r="CB257" s="4"/>
      <c r="CC257" s="4" t="s">
        <v>153</v>
      </c>
      <c r="CD257" t="s">
        <v>153</v>
      </c>
      <c r="CE257" s="4" t="s">
        <v>153</v>
      </c>
      <c r="CF257" s="4" t="s">
        <v>153</v>
      </c>
      <c r="CG257" s="4" t="s">
        <v>153</v>
      </c>
      <c r="CH257" s="5"/>
      <c r="CI257" t="s">
        <v>153</v>
      </c>
      <c r="CJ257" s="4"/>
      <c r="CK257" t="s">
        <v>153</v>
      </c>
      <c r="CL257" t="s">
        <v>153</v>
      </c>
      <c r="CM257" t="s">
        <v>153</v>
      </c>
      <c r="CN257" t="s">
        <v>153</v>
      </c>
      <c r="CO257" s="5"/>
      <c r="CP257" s="4" t="s">
        <v>153</v>
      </c>
      <c r="CQ257" s="4" t="s">
        <v>153</v>
      </c>
      <c r="CR257" t="s">
        <v>153</v>
      </c>
      <c r="CS257" t="s">
        <v>153</v>
      </c>
      <c r="CT257" t="s">
        <v>153</v>
      </c>
      <c r="CU257" t="s">
        <v>153</v>
      </c>
      <c r="CV257" t="s">
        <v>153</v>
      </c>
      <c r="CW257" t="s">
        <v>153</v>
      </c>
      <c r="CX257" t="s">
        <v>153</v>
      </c>
      <c r="CY257" t="s">
        <v>153</v>
      </c>
      <c r="CZ257" t="s">
        <v>153</v>
      </c>
      <c r="DA257" t="s">
        <v>153</v>
      </c>
      <c r="DB257" t="s">
        <v>153</v>
      </c>
      <c r="DC257" t="s">
        <v>153</v>
      </c>
      <c r="DD257" t="s">
        <v>153</v>
      </c>
      <c r="DE257" t="s">
        <v>153</v>
      </c>
      <c r="DF257" t="s">
        <v>153</v>
      </c>
      <c r="DG257" t="s">
        <v>153</v>
      </c>
      <c r="DI257" t="s">
        <v>153</v>
      </c>
      <c r="DJ257" t="s">
        <v>153</v>
      </c>
      <c r="DK257" t="s">
        <v>153</v>
      </c>
      <c r="DL257" t="s">
        <v>153</v>
      </c>
      <c r="DN257" t="s">
        <v>153</v>
      </c>
      <c r="DO257" t="s">
        <v>153</v>
      </c>
      <c r="DP257" t="s">
        <v>153</v>
      </c>
      <c r="DQ257" t="s">
        <v>153</v>
      </c>
      <c r="DR257" t="s">
        <v>153</v>
      </c>
      <c r="DS257" t="s">
        <v>153</v>
      </c>
      <c r="DT257" t="s">
        <v>153</v>
      </c>
      <c r="DU257" t="s">
        <v>153</v>
      </c>
      <c r="DV257" t="s">
        <v>153</v>
      </c>
      <c r="DW257" t="s">
        <v>153</v>
      </c>
      <c r="DX257" s="2"/>
      <c r="DY257" t="s">
        <v>153</v>
      </c>
      <c r="DZ257" t="s">
        <v>153</v>
      </c>
      <c r="EA257" t="s">
        <v>153</v>
      </c>
      <c r="EB257" t="s">
        <v>153</v>
      </c>
      <c r="EC257" t="s">
        <v>153</v>
      </c>
      <c r="ED257" t="s">
        <v>153</v>
      </c>
      <c r="EE257" t="s">
        <v>153</v>
      </c>
      <c r="EF257" t="s">
        <v>153</v>
      </c>
      <c r="EH257" t="s">
        <v>153</v>
      </c>
      <c r="EI257" t="s">
        <v>153</v>
      </c>
      <c r="EJ257" t="s">
        <v>153</v>
      </c>
      <c r="EK257" t="s">
        <v>153</v>
      </c>
      <c r="EM257" t="s">
        <v>153</v>
      </c>
      <c r="EN257" t="s">
        <v>153</v>
      </c>
      <c r="EP257" s="4" t="s">
        <v>153</v>
      </c>
      <c r="EQ257" s="4" t="s">
        <v>153</v>
      </c>
      <c r="ER257" s="4" t="s">
        <v>176</v>
      </c>
      <c r="ES257" s="4" t="s">
        <v>153</v>
      </c>
      <c r="ET257" t="s">
        <v>3170</v>
      </c>
      <c r="EU257" t="s">
        <v>3163</v>
      </c>
      <c r="EV257" t="s">
        <v>2532</v>
      </c>
      <c r="EW257">
        <v>1400832112</v>
      </c>
      <c r="EX257" t="s">
        <v>2533</v>
      </c>
    </row>
    <row r="258" spans="1:154" x14ac:dyDescent="0.25">
      <c r="A258" s="3">
        <v>45972.573009259257</v>
      </c>
      <c r="B258" s="4" t="s">
        <v>153</v>
      </c>
      <c r="C258" s="4" t="s">
        <v>502</v>
      </c>
      <c r="D258" s="4" t="s">
        <v>503</v>
      </c>
      <c r="E258" s="4" t="s">
        <v>504</v>
      </c>
      <c r="F258" s="4" t="s">
        <v>505</v>
      </c>
      <c r="G258" s="4" t="s">
        <v>252</v>
      </c>
      <c r="H258" s="4" t="s">
        <v>2214</v>
      </c>
      <c r="I258" s="4" t="s">
        <v>3171</v>
      </c>
      <c r="J258" s="4" t="s">
        <v>3172</v>
      </c>
      <c r="K258" s="5"/>
      <c r="L258" s="4" t="s">
        <v>153</v>
      </c>
      <c r="M258" s="4" t="s">
        <v>153</v>
      </c>
      <c r="N258" s="4" t="s">
        <v>153</v>
      </c>
      <c r="O258" s="4" t="s">
        <v>153</v>
      </c>
      <c r="P258" s="4" t="s">
        <v>153</v>
      </c>
      <c r="Q258" s="4" t="s">
        <v>153</v>
      </c>
      <c r="R258" s="4" t="s">
        <v>153</v>
      </c>
      <c r="S258" s="4" t="s">
        <v>153</v>
      </c>
      <c r="T258" s="4" t="s">
        <v>153</v>
      </c>
      <c r="U258" s="4" t="s">
        <v>153</v>
      </c>
      <c r="V258" s="4" t="s">
        <v>153</v>
      </c>
      <c r="W258" s="4" t="s">
        <v>153</v>
      </c>
      <c r="X258" s="4" t="s">
        <v>153</v>
      </c>
      <c r="Y258" s="4" t="s">
        <v>153</v>
      </c>
      <c r="Z258" s="4" t="s">
        <v>153</v>
      </c>
      <c r="AA258" s="4" t="s">
        <v>153</v>
      </c>
      <c r="AB258" s="4" t="s">
        <v>153</v>
      </c>
      <c r="AC258" s="4" t="s">
        <v>153</v>
      </c>
      <c r="AD258" s="4" t="s">
        <v>153</v>
      </c>
      <c r="AE258" s="4" t="s">
        <v>153</v>
      </c>
      <c r="AF258" s="4" t="s">
        <v>153</v>
      </c>
      <c r="AG258" s="4" t="s">
        <v>153</v>
      </c>
      <c r="AH258" s="4" t="s">
        <v>153</v>
      </c>
      <c r="AI258" s="5"/>
      <c r="AJ258" t="s">
        <v>153</v>
      </c>
      <c r="AK258" s="4"/>
      <c r="AL258" t="s">
        <v>153</v>
      </c>
      <c r="AM258" t="s">
        <v>153</v>
      </c>
      <c r="AO258" t="s">
        <v>153</v>
      </c>
      <c r="AP258" s="4"/>
      <c r="AQ258" t="s">
        <v>153</v>
      </c>
      <c r="AR258" s="5">
        <v>45972</v>
      </c>
      <c r="AS258">
        <v>0</v>
      </c>
      <c r="AT258" s="4" t="s">
        <v>153</v>
      </c>
      <c r="AU258" s="4" t="s">
        <v>153</v>
      </c>
      <c r="AV258" s="4" t="s">
        <v>153</v>
      </c>
      <c r="AW258" t="s">
        <v>153</v>
      </c>
      <c r="AX258" t="s">
        <v>153</v>
      </c>
      <c r="AY258" t="s">
        <v>153</v>
      </c>
      <c r="AZ258" t="s">
        <v>153</v>
      </c>
      <c r="BA258" t="s">
        <v>153</v>
      </c>
      <c r="BB258" t="s">
        <v>153</v>
      </c>
      <c r="BC258" t="s">
        <v>153</v>
      </c>
      <c r="BD258" s="4" t="s">
        <v>3173</v>
      </c>
      <c r="BE258" s="4" t="s">
        <v>3174</v>
      </c>
      <c r="BF258" t="s">
        <v>242</v>
      </c>
      <c r="BG258" s="4" t="s">
        <v>637</v>
      </c>
      <c r="BH258" t="s">
        <v>153</v>
      </c>
      <c r="BI258" s="4" t="s">
        <v>153</v>
      </c>
      <c r="BJ258" t="s">
        <v>153</v>
      </c>
      <c r="BK258" s="4" t="s">
        <v>153</v>
      </c>
      <c r="BL258" t="s">
        <v>153</v>
      </c>
      <c r="BM258" t="s">
        <v>153</v>
      </c>
      <c r="BN258" s="4" t="s">
        <v>153</v>
      </c>
      <c r="BO258" s="4" t="s">
        <v>153</v>
      </c>
      <c r="BP258" s="4" t="s">
        <v>153</v>
      </c>
      <c r="BQ258" s="4" t="s">
        <v>153</v>
      </c>
      <c r="BR258" s="4" t="s">
        <v>153</v>
      </c>
      <c r="BS258" s="4" t="s">
        <v>153</v>
      </c>
      <c r="BT258" s="4" t="s">
        <v>153</v>
      </c>
      <c r="BU258" s="4" t="s">
        <v>153</v>
      </c>
      <c r="BV258" s="4"/>
      <c r="BW258" s="4" t="s">
        <v>153</v>
      </c>
      <c r="BX258" s="4" t="s">
        <v>153</v>
      </c>
      <c r="BY258" s="4" t="s">
        <v>153</v>
      </c>
      <c r="BZ258" s="4" t="s">
        <v>153</v>
      </c>
      <c r="CA258" s="4" t="s">
        <v>153</v>
      </c>
      <c r="CB258" s="4"/>
      <c r="CC258" s="4" t="s">
        <v>153</v>
      </c>
      <c r="CD258" t="s">
        <v>153</v>
      </c>
      <c r="CE258" s="4" t="s">
        <v>153</v>
      </c>
      <c r="CF258" s="4" t="s">
        <v>153</v>
      </c>
      <c r="CG258" s="4" t="s">
        <v>153</v>
      </c>
      <c r="CH258" s="5"/>
      <c r="CI258" t="s">
        <v>153</v>
      </c>
      <c r="CJ258" s="4"/>
      <c r="CK258" t="s">
        <v>153</v>
      </c>
      <c r="CL258" t="s">
        <v>153</v>
      </c>
      <c r="CM258" t="s">
        <v>153</v>
      </c>
      <c r="CN258" t="s">
        <v>153</v>
      </c>
      <c r="CO258" s="5"/>
      <c r="CP258" s="4" t="s">
        <v>153</v>
      </c>
      <c r="CQ258" s="4" t="s">
        <v>153</v>
      </c>
      <c r="CR258" t="s">
        <v>153</v>
      </c>
      <c r="CS258" t="s">
        <v>153</v>
      </c>
      <c r="CT258" t="s">
        <v>153</v>
      </c>
      <c r="CU258" t="s">
        <v>153</v>
      </c>
      <c r="CV258" t="s">
        <v>153</v>
      </c>
      <c r="CW258" t="s">
        <v>153</v>
      </c>
      <c r="CX258" t="s">
        <v>153</v>
      </c>
      <c r="CY258" t="s">
        <v>153</v>
      </c>
      <c r="CZ258" t="s">
        <v>153</v>
      </c>
      <c r="DA258" t="s">
        <v>153</v>
      </c>
      <c r="DB258" t="s">
        <v>153</v>
      </c>
      <c r="DC258" t="s">
        <v>153</v>
      </c>
      <c r="DD258" t="s">
        <v>153</v>
      </c>
      <c r="DE258" t="s">
        <v>153</v>
      </c>
      <c r="DF258" t="s">
        <v>153</v>
      </c>
      <c r="DG258" t="s">
        <v>153</v>
      </c>
      <c r="DI258" t="s">
        <v>153</v>
      </c>
      <c r="DJ258" t="s">
        <v>153</v>
      </c>
      <c r="DK258" t="s">
        <v>153</v>
      </c>
      <c r="DL258" t="s">
        <v>153</v>
      </c>
      <c r="DN258" t="s">
        <v>153</v>
      </c>
      <c r="DO258" t="s">
        <v>153</v>
      </c>
      <c r="DP258" t="s">
        <v>153</v>
      </c>
      <c r="DQ258" t="s">
        <v>153</v>
      </c>
      <c r="DR258" t="s">
        <v>153</v>
      </c>
      <c r="DS258" t="s">
        <v>153</v>
      </c>
      <c r="DT258" t="s">
        <v>153</v>
      </c>
      <c r="DU258" t="s">
        <v>153</v>
      </c>
      <c r="DV258" t="s">
        <v>153</v>
      </c>
      <c r="DW258" t="s">
        <v>153</v>
      </c>
      <c r="DX258" s="2"/>
      <c r="DY258" t="s">
        <v>153</v>
      </c>
      <c r="DZ258" t="s">
        <v>153</v>
      </c>
      <c r="EA258" t="s">
        <v>153</v>
      </c>
      <c r="EB258" t="s">
        <v>153</v>
      </c>
      <c r="EC258" t="s">
        <v>153</v>
      </c>
      <c r="ED258" t="s">
        <v>153</v>
      </c>
      <c r="EE258" t="s">
        <v>153</v>
      </c>
      <c r="EF258" t="s">
        <v>153</v>
      </c>
      <c r="EH258" t="s">
        <v>153</v>
      </c>
      <c r="EI258" t="s">
        <v>153</v>
      </c>
      <c r="EJ258" t="s">
        <v>153</v>
      </c>
      <c r="EK258" t="s">
        <v>153</v>
      </c>
      <c r="EM258" t="s">
        <v>153</v>
      </c>
      <c r="EN258" t="s">
        <v>153</v>
      </c>
      <c r="EP258" s="4" t="s">
        <v>153</v>
      </c>
      <c r="EQ258" s="4" t="s">
        <v>153</v>
      </c>
      <c r="ER258" s="4" t="s">
        <v>191</v>
      </c>
      <c r="ES258" s="4" t="s">
        <v>153</v>
      </c>
      <c r="ET258" t="s">
        <v>3175</v>
      </c>
      <c r="EU258" t="s">
        <v>3163</v>
      </c>
      <c r="EV258" t="s">
        <v>2532</v>
      </c>
      <c r="EW258">
        <v>1400878400</v>
      </c>
      <c r="EX258" t="s">
        <v>2533</v>
      </c>
    </row>
    <row r="259" spans="1:154" x14ac:dyDescent="0.25">
      <c r="A259" s="3">
        <v>46006.393622685187</v>
      </c>
      <c r="B259" s="4" t="s">
        <v>153</v>
      </c>
      <c r="C259" s="4" t="s">
        <v>3176</v>
      </c>
      <c r="D259" s="4" t="s">
        <v>3177</v>
      </c>
      <c r="E259" s="4" t="s">
        <v>3178</v>
      </c>
      <c r="F259" s="4" t="s">
        <v>3179</v>
      </c>
      <c r="G259" s="4" t="s">
        <v>252</v>
      </c>
      <c r="H259" s="4" t="s">
        <v>553</v>
      </c>
      <c r="I259" s="4" t="s">
        <v>3180</v>
      </c>
      <c r="J259" s="4" t="s">
        <v>3181</v>
      </c>
      <c r="K259" s="5"/>
      <c r="L259" s="4" t="s">
        <v>153</v>
      </c>
      <c r="M259" s="4" t="s">
        <v>153</v>
      </c>
      <c r="N259" s="4" t="s">
        <v>153</v>
      </c>
      <c r="O259" s="4" t="s">
        <v>153</v>
      </c>
      <c r="P259" s="4" t="s">
        <v>153</v>
      </c>
      <c r="Q259" s="4" t="s">
        <v>153</v>
      </c>
      <c r="R259" s="4" t="s">
        <v>153</v>
      </c>
      <c r="S259" s="4" t="s">
        <v>153</v>
      </c>
      <c r="T259" s="4" t="s">
        <v>153</v>
      </c>
      <c r="U259" s="4" t="s">
        <v>153</v>
      </c>
      <c r="V259" s="4" t="s">
        <v>153</v>
      </c>
      <c r="W259" s="4" t="s">
        <v>153</v>
      </c>
      <c r="X259" s="4" t="s">
        <v>153</v>
      </c>
      <c r="Y259" s="4" t="s">
        <v>153</v>
      </c>
      <c r="Z259" s="4" t="s">
        <v>153</v>
      </c>
      <c r="AA259" s="4" t="s">
        <v>153</v>
      </c>
      <c r="AB259" s="4" t="s">
        <v>153</v>
      </c>
      <c r="AC259" s="4" t="s">
        <v>153</v>
      </c>
      <c r="AD259" s="4" t="s">
        <v>153</v>
      </c>
      <c r="AE259" s="4" t="s">
        <v>153</v>
      </c>
      <c r="AF259" s="4" t="s">
        <v>153</v>
      </c>
      <c r="AG259" s="4" t="s">
        <v>153</v>
      </c>
      <c r="AH259" s="4" t="s">
        <v>153</v>
      </c>
      <c r="AI259" s="5"/>
      <c r="AJ259" t="s">
        <v>153</v>
      </c>
      <c r="AK259" s="4"/>
      <c r="AL259" t="s">
        <v>153</v>
      </c>
      <c r="AM259" t="s">
        <v>153</v>
      </c>
      <c r="AO259" t="s">
        <v>153</v>
      </c>
      <c r="AP259" s="4"/>
      <c r="AQ259" t="s">
        <v>153</v>
      </c>
      <c r="AR259" s="5">
        <v>45838</v>
      </c>
      <c r="AS259">
        <v>1</v>
      </c>
      <c r="AT259" s="4" t="s">
        <v>484</v>
      </c>
      <c r="AU259" s="4" t="s">
        <v>3182</v>
      </c>
      <c r="AV259" s="4" t="s">
        <v>256</v>
      </c>
      <c r="AW259" t="s">
        <v>153</v>
      </c>
      <c r="AX259" t="s">
        <v>153</v>
      </c>
      <c r="AY259" t="s">
        <v>3183</v>
      </c>
      <c r="AZ259" t="s">
        <v>653</v>
      </c>
      <c r="BA259" t="s">
        <v>153</v>
      </c>
      <c r="BB259" t="s">
        <v>153</v>
      </c>
      <c r="BC259" t="s">
        <v>153</v>
      </c>
      <c r="BD259" s="4" t="s">
        <v>3184</v>
      </c>
      <c r="BE259" s="4" t="s">
        <v>3185</v>
      </c>
      <c r="BF259" t="s">
        <v>243</v>
      </c>
      <c r="BG259" s="4" t="s">
        <v>153</v>
      </c>
      <c r="BH259" t="s">
        <v>153</v>
      </c>
      <c r="BI259" s="4" t="s">
        <v>153</v>
      </c>
      <c r="BJ259" t="s">
        <v>153</v>
      </c>
      <c r="BK259" s="4" t="s">
        <v>153</v>
      </c>
      <c r="BL259" t="s">
        <v>153</v>
      </c>
      <c r="BM259" t="s">
        <v>153</v>
      </c>
      <c r="BN259" s="4" t="s">
        <v>153</v>
      </c>
      <c r="BO259" s="4" t="s">
        <v>153</v>
      </c>
      <c r="BP259" s="4" t="s">
        <v>153</v>
      </c>
      <c r="BQ259" s="4" t="s">
        <v>153</v>
      </c>
      <c r="BR259" s="4" t="s">
        <v>153</v>
      </c>
      <c r="BS259" s="4" t="s">
        <v>153</v>
      </c>
      <c r="BT259" s="4" t="s">
        <v>153</v>
      </c>
      <c r="BU259" s="4" t="s">
        <v>153</v>
      </c>
      <c r="BV259" s="4"/>
      <c r="BW259" s="4" t="s">
        <v>153</v>
      </c>
      <c r="BX259" s="4" t="s">
        <v>153</v>
      </c>
      <c r="BY259" s="4" t="s">
        <v>153</v>
      </c>
      <c r="BZ259" s="4" t="s">
        <v>153</v>
      </c>
      <c r="CA259" s="4" t="s">
        <v>153</v>
      </c>
      <c r="CB259" s="4"/>
      <c r="CC259" s="4" t="s">
        <v>153</v>
      </c>
      <c r="CD259" t="s">
        <v>153</v>
      </c>
      <c r="CE259" s="4" t="s">
        <v>153</v>
      </c>
      <c r="CF259" s="4" t="s">
        <v>153</v>
      </c>
      <c r="CG259" s="4" t="s">
        <v>153</v>
      </c>
      <c r="CH259" s="5"/>
      <c r="CI259" t="s">
        <v>153</v>
      </c>
      <c r="CJ259" s="4"/>
      <c r="CK259" t="s">
        <v>153</v>
      </c>
      <c r="CL259" t="s">
        <v>153</v>
      </c>
      <c r="CM259" t="s">
        <v>153</v>
      </c>
      <c r="CN259" t="s">
        <v>153</v>
      </c>
      <c r="CO259" s="5"/>
      <c r="CP259" s="4" t="s">
        <v>153</v>
      </c>
      <c r="CQ259" s="4" t="s">
        <v>153</v>
      </c>
      <c r="CR259" t="s">
        <v>153</v>
      </c>
      <c r="CS259" t="s">
        <v>153</v>
      </c>
      <c r="CT259" t="s">
        <v>153</v>
      </c>
      <c r="CU259" t="s">
        <v>153</v>
      </c>
      <c r="CV259" t="s">
        <v>153</v>
      </c>
      <c r="CW259" t="s">
        <v>153</v>
      </c>
      <c r="CX259" t="s">
        <v>153</v>
      </c>
      <c r="CY259" t="s">
        <v>153</v>
      </c>
      <c r="CZ259" t="s">
        <v>153</v>
      </c>
      <c r="DA259" t="s">
        <v>153</v>
      </c>
      <c r="DB259" t="s">
        <v>153</v>
      </c>
      <c r="DC259" t="s">
        <v>153</v>
      </c>
      <c r="DD259" t="s">
        <v>153</v>
      </c>
      <c r="DE259" t="s">
        <v>153</v>
      </c>
      <c r="DF259" t="s">
        <v>153</v>
      </c>
      <c r="DG259" t="s">
        <v>153</v>
      </c>
      <c r="DI259" t="s">
        <v>153</v>
      </c>
      <c r="DJ259" t="s">
        <v>153</v>
      </c>
      <c r="DK259" t="s">
        <v>153</v>
      </c>
      <c r="DL259" t="s">
        <v>153</v>
      </c>
      <c r="DN259" t="s">
        <v>153</v>
      </c>
      <c r="DO259" t="s">
        <v>153</v>
      </c>
      <c r="DP259" t="s">
        <v>153</v>
      </c>
      <c r="DQ259" t="s">
        <v>153</v>
      </c>
      <c r="DR259" t="s">
        <v>153</v>
      </c>
      <c r="DS259" t="s">
        <v>153</v>
      </c>
      <c r="DT259" t="s">
        <v>153</v>
      </c>
      <c r="DU259" t="s">
        <v>153</v>
      </c>
      <c r="DV259" t="s">
        <v>153</v>
      </c>
      <c r="DW259" t="s">
        <v>153</v>
      </c>
      <c r="DX259" s="2"/>
      <c r="DY259" t="s">
        <v>153</v>
      </c>
      <c r="DZ259" t="s">
        <v>153</v>
      </c>
      <c r="EA259" t="s">
        <v>153</v>
      </c>
      <c r="EB259" t="s">
        <v>153</v>
      </c>
      <c r="EC259" t="s">
        <v>153</v>
      </c>
      <c r="ED259" t="s">
        <v>153</v>
      </c>
      <c r="EE259" t="s">
        <v>153</v>
      </c>
      <c r="EF259" t="s">
        <v>153</v>
      </c>
      <c r="EH259" t="s">
        <v>153</v>
      </c>
      <c r="EI259" t="s">
        <v>153</v>
      </c>
      <c r="EJ259" t="s">
        <v>153</v>
      </c>
      <c r="EK259" t="s">
        <v>153</v>
      </c>
      <c r="EM259" t="s">
        <v>153</v>
      </c>
      <c r="EN259" t="s">
        <v>153</v>
      </c>
      <c r="EP259" s="4" t="s">
        <v>153</v>
      </c>
      <c r="EQ259" s="4" t="s">
        <v>153</v>
      </c>
      <c r="ER259" s="4" t="s">
        <v>191</v>
      </c>
      <c r="ES259" s="4" t="s">
        <v>153</v>
      </c>
      <c r="ET259" t="s">
        <v>153</v>
      </c>
      <c r="EU259" t="s">
        <v>2972</v>
      </c>
      <c r="EV259" t="s">
        <v>3186</v>
      </c>
      <c r="EW259">
        <v>1414790381</v>
      </c>
      <c r="EX259" t="s">
        <v>3187</v>
      </c>
    </row>
    <row r="260" spans="1:154" x14ac:dyDescent="0.25">
      <c r="A260" s="3">
        <v>46006.675856481481</v>
      </c>
      <c r="B260" s="4" t="s">
        <v>153</v>
      </c>
      <c r="C260" s="4" t="s">
        <v>3188</v>
      </c>
      <c r="D260" s="4" t="s">
        <v>3189</v>
      </c>
      <c r="E260" s="4" t="s">
        <v>3190</v>
      </c>
      <c r="F260" s="4" t="s">
        <v>3191</v>
      </c>
      <c r="G260" s="4" t="s">
        <v>423</v>
      </c>
      <c r="H260" s="4" t="s">
        <v>323</v>
      </c>
      <c r="I260" s="4" t="s">
        <v>3192</v>
      </c>
      <c r="J260" s="4" t="s">
        <v>153</v>
      </c>
      <c r="K260" s="5"/>
      <c r="L260" s="4" t="s">
        <v>153</v>
      </c>
      <c r="M260" s="4" t="s">
        <v>153</v>
      </c>
      <c r="N260" s="4" t="s">
        <v>153</v>
      </c>
      <c r="O260" s="4" t="s">
        <v>153</v>
      </c>
      <c r="P260" s="4" t="s">
        <v>153</v>
      </c>
      <c r="Q260" s="4" t="s">
        <v>153</v>
      </c>
      <c r="R260" s="4" t="s">
        <v>153</v>
      </c>
      <c r="S260" s="4" t="s">
        <v>153</v>
      </c>
      <c r="T260" s="4" t="s">
        <v>153</v>
      </c>
      <c r="U260" s="4" t="s">
        <v>153</v>
      </c>
      <c r="V260" s="4" t="s">
        <v>153</v>
      </c>
      <c r="W260" s="4" t="s">
        <v>153</v>
      </c>
      <c r="X260" s="4" t="s">
        <v>153</v>
      </c>
      <c r="Y260" s="4" t="s">
        <v>153</v>
      </c>
      <c r="Z260" s="4" t="s">
        <v>153</v>
      </c>
      <c r="AA260" s="4" t="s">
        <v>153</v>
      </c>
      <c r="AB260" s="4" t="s">
        <v>153</v>
      </c>
      <c r="AC260" s="4" t="s">
        <v>153</v>
      </c>
      <c r="AD260" s="4" t="s">
        <v>153</v>
      </c>
      <c r="AE260" s="4" t="s">
        <v>153</v>
      </c>
      <c r="AF260" s="4" t="s">
        <v>153</v>
      </c>
      <c r="AG260" s="4" t="s">
        <v>153</v>
      </c>
      <c r="AH260" s="4" t="s">
        <v>153</v>
      </c>
      <c r="AI260" s="5"/>
      <c r="AJ260" t="s">
        <v>153</v>
      </c>
      <c r="AK260" s="4"/>
      <c r="AL260" t="s">
        <v>153</v>
      </c>
      <c r="AM260" t="s">
        <v>153</v>
      </c>
      <c r="AO260" t="s">
        <v>153</v>
      </c>
      <c r="AP260" s="4"/>
      <c r="AQ260" t="s">
        <v>153</v>
      </c>
      <c r="AR260" s="5"/>
      <c r="AT260" s="4" t="s">
        <v>153</v>
      </c>
      <c r="AU260" s="4" t="s">
        <v>153</v>
      </c>
      <c r="AV260" s="4" t="s">
        <v>153</v>
      </c>
      <c r="AW260" t="s">
        <v>153</v>
      </c>
      <c r="AX260" t="s">
        <v>153</v>
      </c>
      <c r="AY260" t="s">
        <v>153</v>
      </c>
      <c r="AZ260" t="s">
        <v>153</v>
      </c>
      <c r="BA260" t="s">
        <v>153</v>
      </c>
      <c r="BB260" t="s">
        <v>153</v>
      </c>
      <c r="BC260" t="s">
        <v>153</v>
      </c>
      <c r="BD260" s="4" t="s">
        <v>153</v>
      </c>
      <c r="BE260" s="4" t="s">
        <v>153</v>
      </c>
      <c r="BF260" t="s">
        <v>153</v>
      </c>
      <c r="BG260" s="4" t="s">
        <v>153</v>
      </c>
      <c r="BH260" t="s">
        <v>153</v>
      </c>
      <c r="BI260" s="4" t="s">
        <v>3192</v>
      </c>
      <c r="BJ260" t="s">
        <v>153</v>
      </c>
      <c r="BK260" s="4" t="s">
        <v>153</v>
      </c>
      <c r="BL260" t="s">
        <v>3188</v>
      </c>
      <c r="BM260" t="s">
        <v>3189</v>
      </c>
      <c r="BN260" s="4" t="s">
        <v>403</v>
      </c>
      <c r="BO260" s="4" t="s">
        <v>191</v>
      </c>
      <c r="BP260" s="4" t="s">
        <v>3193</v>
      </c>
      <c r="BQ260" s="4" t="s">
        <v>153</v>
      </c>
      <c r="BR260" s="4" t="s">
        <v>3194</v>
      </c>
      <c r="BS260" s="4" t="s">
        <v>153</v>
      </c>
      <c r="BT260" s="4" t="s">
        <v>3195</v>
      </c>
      <c r="BU260" s="4" t="s">
        <v>1700</v>
      </c>
      <c r="BV260" s="4">
        <v>1824</v>
      </c>
      <c r="BW260" s="4" t="s">
        <v>430</v>
      </c>
      <c r="BX260" s="4" t="s">
        <v>153</v>
      </c>
      <c r="BY260" s="4" t="s">
        <v>153</v>
      </c>
      <c r="BZ260" s="4" t="s">
        <v>153</v>
      </c>
      <c r="CA260" s="4" t="s">
        <v>1700</v>
      </c>
      <c r="CB260" s="4"/>
      <c r="CC260" s="4" t="s">
        <v>430</v>
      </c>
      <c r="CD260" t="s">
        <v>153</v>
      </c>
      <c r="CE260" s="4" t="s">
        <v>3196</v>
      </c>
      <c r="CF260" s="4" t="s">
        <v>3197</v>
      </c>
      <c r="CG260" s="4" t="s">
        <v>3198</v>
      </c>
      <c r="CH260" s="5"/>
      <c r="CI260" t="s">
        <v>3199</v>
      </c>
      <c r="CJ260" s="4"/>
      <c r="CK260" t="s">
        <v>433</v>
      </c>
      <c r="CL260" t="s">
        <v>3200</v>
      </c>
      <c r="CM260" t="s">
        <v>153</v>
      </c>
      <c r="CN260" t="s">
        <v>153</v>
      </c>
      <c r="CO260" s="5"/>
      <c r="CP260" s="4" t="s">
        <v>153</v>
      </c>
      <c r="CQ260" s="4" t="s">
        <v>153</v>
      </c>
      <c r="CR260" t="s">
        <v>153</v>
      </c>
      <c r="CS260" t="s">
        <v>153</v>
      </c>
      <c r="CT260" t="s">
        <v>153</v>
      </c>
      <c r="CU260" t="s">
        <v>153</v>
      </c>
      <c r="CV260" t="s">
        <v>153</v>
      </c>
      <c r="CW260" t="s">
        <v>153</v>
      </c>
      <c r="CX260" t="s">
        <v>153</v>
      </c>
      <c r="CY260" t="s">
        <v>153</v>
      </c>
      <c r="CZ260" t="s">
        <v>153</v>
      </c>
      <c r="DA260" t="s">
        <v>153</v>
      </c>
      <c r="DB260" t="s">
        <v>153</v>
      </c>
      <c r="DC260" t="s">
        <v>153</v>
      </c>
      <c r="DD260" t="s">
        <v>153</v>
      </c>
      <c r="DE260" t="s">
        <v>153</v>
      </c>
      <c r="DF260" t="s">
        <v>153</v>
      </c>
      <c r="DG260" t="s">
        <v>153</v>
      </c>
      <c r="DI260" t="s">
        <v>153</v>
      </c>
      <c r="DJ260" t="s">
        <v>153</v>
      </c>
      <c r="DK260" t="s">
        <v>153</v>
      </c>
      <c r="DL260" t="s">
        <v>153</v>
      </c>
      <c r="DN260" t="s">
        <v>153</v>
      </c>
      <c r="DO260" t="s">
        <v>153</v>
      </c>
      <c r="DP260" t="s">
        <v>153</v>
      </c>
      <c r="DQ260" t="s">
        <v>153</v>
      </c>
      <c r="DR260" t="s">
        <v>153</v>
      </c>
      <c r="DS260" t="s">
        <v>153</v>
      </c>
      <c r="DT260" t="s">
        <v>153</v>
      </c>
      <c r="DU260" t="s">
        <v>153</v>
      </c>
      <c r="DV260" t="s">
        <v>153</v>
      </c>
      <c r="DW260" t="s">
        <v>153</v>
      </c>
      <c r="DX260" s="2"/>
      <c r="DY260" t="s">
        <v>153</v>
      </c>
      <c r="DZ260" t="s">
        <v>153</v>
      </c>
      <c r="EA260" t="s">
        <v>153</v>
      </c>
      <c r="EB260" t="s">
        <v>153</v>
      </c>
      <c r="EC260" t="s">
        <v>153</v>
      </c>
      <c r="ED260" t="s">
        <v>153</v>
      </c>
      <c r="EE260" t="s">
        <v>153</v>
      </c>
      <c r="EF260" t="s">
        <v>153</v>
      </c>
      <c r="EH260" t="s">
        <v>153</v>
      </c>
      <c r="EI260" t="s">
        <v>153</v>
      </c>
      <c r="EJ260" t="s">
        <v>153</v>
      </c>
      <c r="EK260" t="s">
        <v>153</v>
      </c>
      <c r="EM260" t="s">
        <v>153</v>
      </c>
      <c r="EN260" t="s">
        <v>153</v>
      </c>
      <c r="EP260" s="4" t="s">
        <v>153</v>
      </c>
      <c r="EQ260" s="4" t="s">
        <v>153</v>
      </c>
      <c r="ER260" s="4" t="s">
        <v>191</v>
      </c>
      <c r="ES260" s="4" t="s">
        <v>153</v>
      </c>
      <c r="ET260" t="s">
        <v>153</v>
      </c>
      <c r="EU260" t="s">
        <v>3201</v>
      </c>
      <c r="EV260" t="s">
        <v>3202</v>
      </c>
      <c r="EW260">
        <v>1414949899</v>
      </c>
      <c r="EX260" t="s">
        <v>3203</v>
      </c>
    </row>
    <row r="261" spans="1:154" x14ac:dyDescent="0.25">
      <c r="A261" s="3">
        <v>46024.42423611111</v>
      </c>
      <c r="B261" s="4" t="s">
        <v>153</v>
      </c>
      <c r="C261" s="4" t="s">
        <v>555</v>
      </c>
      <c r="D261" s="4" t="s">
        <v>3204</v>
      </c>
      <c r="E261" s="4" t="s">
        <v>3205</v>
      </c>
      <c r="F261" s="4" t="s">
        <v>3206</v>
      </c>
      <c r="G261" s="4" t="s">
        <v>252</v>
      </c>
      <c r="H261" s="4" t="s">
        <v>1393</v>
      </c>
      <c r="I261" s="4" t="s">
        <v>3207</v>
      </c>
      <c r="J261" s="4" t="s">
        <v>3208</v>
      </c>
      <c r="K261" s="5"/>
      <c r="L261" s="4" t="s">
        <v>153</v>
      </c>
      <c r="M261" s="4" t="s">
        <v>153</v>
      </c>
      <c r="N261" s="4" t="s">
        <v>153</v>
      </c>
      <c r="O261" s="4" t="s">
        <v>153</v>
      </c>
      <c r="P261" s="4" t="s">
        <v>153</v>
      </c>
      <c r="Q261" s="4" t="s">
        <v>153</v>
      </c>
      <c r="R261" s="4" t="s">
        <v>153</v>
      </c>
      <c r="S261" s="4" t="s">
        <v>153</v>
      </c>
      <c r="T261" s="4" t="s">
        <v>153</v>
      </c>
      <c r="U261" s="4" t="s">
        <v>153</v>
      </c>
      <c r="V261" s="4" t="s">
        <v>153</v>
      </c>
      <c r="W261" s="4" t="s">
        <v>153</v>
      </c>
      <c r="X261" s="4" t="s">
        <v>153</v>
      </c>
      <c r="Y261" s="4" t="s">
        <v>153</v>
      </c>
      <c r="Z261" s="4" t="s">
        <v>153</v>
      </c>
      <c r="AA261" s="4" t="s">
        <v>153</v>
      </c>
      <c r="AB261" s="4" t="s">
        <v>153</v>
      </c>
      <c r="AC261" s="4" t="s">
        <v>153</v>
      </c>
      <c r="AD261" s="4" t="s">
        <v>153</v>
      </c>
      <c r="AE261" s="4" t="s">
        <v>153</v>
      </c>
      <c r="AF261" s="4" t="s">
        <v>153</v>
      </c>
      <c r="AG261" s="4" t="s">
        <v>153</v>
      </c>
      <c r="AH261" s="4" t="s">
        <v>153</v>
      </c>
      <c r="AI261" s="5"/>
      <c r="AJ261" t="s">
        <v>153</v>
      </c>
      <c r="AK261" s="4"/>
      <c r="AL261" t="s">
        <v>153</v>
      </c>
      <c r="AM261" t="s">
        <v>153</v>
      </c>
      <c r="AO261" t="s">
        <v>153</v>
      </c>
      <c r="AP261" s="4"/>
      <c r="AQ261" t="s">
        <v>153</v>
      </c>
      <c r="AR261" s="5">
        <v>46023</v>
      </c>
      <c r="AS261">
        <v>1</v>
      </c>
      <c r="AT261" s="4" t="s">
        <v>1007</v>
      </c>
      <c r="AU261" s="4" t="s">
        <v>3209</v>
      </c>
      <c r="AV261" s="4" t="s">
        <v>271</v>
      </c>
      <c r="AW261" t="s">
        <v>3210</v>
      </c>
      <c r="AX261" t="s">
        <v>153</v>
      </c>
      <c r="AY261" t="s">
        <v>3211</v>
      </c>
      <c r="AZ261" t="s">
        <v>3212</v>
      </c>
      <c r="BA261" t="s">
        <v>153</v>
      </c>
      <c r="BB261" t="s">
        <v>153</v>
      </c>
      <c r="BC261" t="s">
        <v>153</v>
      </c>
      <c r="BD261" s="4" t="s">
        <v>3213</v>
      </c>
      <c r="BE261" s="4" t="s">
        <v>3214</v>
      </c>
      <c r="BF261" t="s">
        <v>242</v>
      </c>
      <c r="BG261" s="4" t="s">
        <v>637</v>
      </c>
      <c r="BH261" t="s">
        <v>153</v>
      </c>
      <c r="BI261" s="4" t="s">
        <v>153</v>
      </c>
      <c r="BJ261" t="s">
        <v>153</v>
      </c>
      <c r="BK261" s="4" t="s">
        <v>153</v>
      </c>
      <c r="BL261" t="s">
        <v>153</v>
      </c>
      <c r="BM261" t="s">
        <v>153</v>
      </c>
      <c r="BN261" s="4" t="s">
        <v>153</v>
      </c>
      <c r="BO261" s="4" t="s">
        <v>153</v>
      </c>
      <c r="BP261" s="4" t="s">
        <v>153</v>
      </c>
      <c r="BQ261" s="4" t="s">
        <v>153</v>
      </c>
      <c r="BR261" s="4" t="s">
        <v>153</v>
      </c>
      <c r="BS261" s="4" t="s">
        <v>153</v>
      </c>
      <c r="BT261" s="4" t="s">
        <v>153</v>
      </c>
      <c r="BU261" s="4" t="s">
        <v>153</v>
      </c>
      <c r="BV261" s="4"/>
      <c r="BW261" s="4" t="s">
        <v>153</v>
      </c>
      <c r="BX261" s="4" t="s">
        <v>153</v>
      </c>
      <c r="BY261" s="4" t="s">
        <v>153</v>
      </c>
      <c r="BZ261" s="4" t="s">
        <v>153</v>
      </c>
      <c r="CA261" s="4" t="s">
        <v>153</v>
      </c>
      <c r="CB261" s="4"/>
      <c r="CC261" s="4" t="s">
        <v>153</v>
      </c>
      <c r="CD261" t="s">
        <v>153</v>
      </c>
      <c r="CE261" s="4" t="s">
        <v>153</v>
      </c>
      <c r="CF261" s="4" t="s">
        <v>153</v>
      </c>
      <c r="CG261" s="4" t="s">
        <v>153</v>
      </c>
      <c r="CH261" s="5"/>
      <c r="CI261" t="s">
        <v>153</v>
      </c>
      <c r="CJ261" s="4"/>
      <c r="CK261" t="s">
        <v>153</v>
      </c>
      <c r="CL261" t="s">
        <v>153</v>
      </c>
      <c r="CM261" t="s">
        <v>153</v>
      </c>
      <c r="CN261" t="s">
        <v>153</v>
      </c>
      <c r="CO261" s="5"/>
      <c r="CP261" s="4" t="s">
        <v>153</v>
      </c>
      <c r="CQ261" s="4" t="s">
        <v>153</v>
      </c>
      <c r="CR261" t="s">
        <v>153</v>
      </c>
      <c r="CS261" t="s">
        <v>153</v>
      </c>
      <c r="CT261" t="s">
        <v>153</v>
      </c>
      <c r="CU261" t="s">
        <v>153</v>
      </c>
      <c r="CV261" t="s">
        <v>153</v>
      </c>
      <c r="CW261" t="s">
        <v>153</v>
      </c>
      <c r="CX261" t="s">
        <v>153</v>
      </c>
      <c r="CY261" t="s">
        <v>153</v>
      </c>
      <c r="CZ261" t="s">
        <v>153</v>
      </c>
      <c r="DA261" t="s">
        <v>153</v>
      </c>
      <c r="DB261" t="s">
        <v>153</v>
      </c>
      <c r="DC261" t="s">
        <v>153</v>
      </c>
      <c r="DD261" t="s">
        <v>153</v>
      </c>
      <c r="DE261" t="s">
        <v>153</v>
      </c>
      <c r="DF261" t="s">
        <v>153</v>
      </c>
      <c r="DG261" t="s">
        <v>153</v>
      </c>
      <c r="DI261" t="s">
        <v>153</v>
      </c>
      <c r="DJ261" t="s">
        <v>153</v>
      </c>
      <c r="DK261" t="s">
        <v>153</v>
      </c>
      <c r="DL261" t="s">
        <v>153</v>
      </c>
      <c r="DN261" t="s">
        <v>153</v>
      </c>
      <c r="DO261" t="s">
        <v>153</v>
      </c>
      <c r="DP261" t="s">
        <v>153</v>
      </c>
      <c r="DQ261" t="s">
        <v>153</v>
      </c>
      <c r="DR261" t="s">
        <v>153</v>
      </c>
      <c r="DS261" t="s">
        <v>153</v>
      </c>
      <c r="DT261" t="s">
        <v>153</v>
      </c>
      <c r="DU261" t="s">
        <v>153</v>
      </c>
      <c r="DV261" t="s">
        <v>153</v>
      </c>
      <c r="DW261" t="s">
        <v>153</v>
      </c>
      <c r="DX261" s="2"/>
      <c r="DY261" t="s">
        <v>153</v>
      </c>
      <c r="DZ261" t="s">
        <v>153</v>
      </c>
      <c r="EA261" t="s">
        <v>153</v>
      </c>
      <c r="EB261" t="s">
        <v>153</v>
      </c>
      <c r="EC261" t="s">
        <v>153</v>
      </c>
      <c r="ED261" t="s">
        <v>153</v>
      </c>
      <c r="EE261" t="s">
        <v>153</v>
      </c>
      <c r="EF261" t="s">
        <v>153</v>
      </c>
      <c r="EH261" t="s">
        <v>153</v>
      </c>
      <c r="EI261" t="s">
        <v>153</v>
      </c>
      <c r="EJ261" t="s">
        <v>153</v>
      </c>
      <c r="EK261" t="s">
        <v>153</v>
      </c>
      <c r="EM261" t="s">
        <v>153</v>
      </c>
      <c r="EN261" t="s">
        <v>153</v>
      </c>
      <c r="EP261" s="4" t="s">
        <v>153</v>
      </c>
      <c r="EQ261" s="4" t="s">
        <v>153</v>
      </c>
      <c r="ER261" s="4" t="s">
        <v>191</v>
      </c>
      <c r="ES261" s="4" t="s">
        <v>153</v>
      </c>
      <c r="ET261" t="s">
        <v>153</v>
      </c>
      <c r="EU261" t="s">
        <v>2972</v>
      </c>
      <c r="EV261" t="s">
        <v>3215</v>
      </c>
      <c r="EW261">
        <v>1419431236</v>
      </c>
      <c r="EX261" t="s">
        <v>3216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AAF2D9-25A9-4F4A-A703-C4AE864442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makeiteasy</vt:lpstr>
      <vt:lpstr>uids</vt:lpstr>
      <vt:lpstr>formstack_subs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Eccles</dc:creator>
  <cp:lastModifiedBy>Kevin Eccles</cp:lastModifiedBy>
  <dcterms:created xsi:type="dcterms:W3CDTF">2026-01-15T12:25:00Z</dcterms:created>
  <dcterms:modified xsi:type="dcterms:W3CDTF">2026-02-12T21:05:47Z</dcterms:modified>
</cp:coreProperties>
</file>